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汇报摘要" sheetId="1" state="visible" r:id="rId1"/>
    <sheet name="02-整体周趋势" sheetId="2" state="visible" r:id="rId2"/>
    <sheet name="03-近周回落归因" sheetId="3" state="visible" r:id="rId3"/>
    <sheet name="04-原味大大专题" sheetId="4" state="visible" r:id="rId4"/>
    <sheet name="05-各周亏损TOP5" sheetId="5" state="visible" r:id="rId5"/>
    <sheet name="06-全量ID每周净利润" sheetId="6" state="visible" r:id="rId6"/>
    <sheet name="07-口径与说明" sheetId="7" state="visible" r:id="rId7"/>
  </sheets>
  <definedNames>
    <definedName name="_xlnm.Print_Titles" localSheetId="0">'01-汇报摘要'!$1:$2</definedName>
    <definedName name="_xlnm._FilterDatabase" localSheetId="5" hidden="1">'06-全量ID每周净利润'!$A$3:$L$52</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微软雅黑"/>
      <b val="1"/>
      <color rgb="001F4E79"/>
      <sz val="18"/>
    </font>
    <font>
      <name val="微软雅黑"/>
      <color rgb="00666666"/>
      <sz val="10"/>
    </font>
    <font>
      <name val="微软雅黑"/>
      <b val="1"/>
      <color rgb="001F4E79"/>
      <sz val="13"/>
    </font>
    <font>
      <name val="微软雅黑"/>
      <b val="1"/>
      <color rgb="00FFFFFF"/>
      <sz val="11"/>
    </font>
    <font>
      <name val="微软雅黑"/>
      <b val="1"/>
      <sz val="10"/>
    </font>
    <font>
      <name val="微软雅黑"/>
      <sz val="10"/>
    </font>
    <font>
      <name val="微软雅黑"/>
      <color rgb="00548235"/>
      <sz val="10"/>
    </font>
    <font>
      <name val="微软雅黑"/>
      <color rgb="00C00000"/>
      <sz val="10"/>
    </font>
    <font>
      <name val="微软雅黑"/>
      <i val="1"/>
      <color rgb="00666666"/>
      <sz val="9"/>
    </font>
    <font>
      <name val="微软雅黑"/>
      <b val="1"/>
      <color rgb="001F4E79"/>
      <sz val="16"/>
    </font>
    <font>
      <name val="微软雅黑"/>
      <b val="1"/>
      <color rgb="00C65911"/>
      <sz val="12"/>
    </font>
    <font>
      <name val="微软雅黑"/>
      <b val="1"/>
      <color rgb="00548235"/>
      <sz val="12"/>
    </font>
    <font>
      <name val="微软雅黑"/>
      <b val="1"/>
      <color rgb="001F4E79"/>
      <sz val="12"/>
    </font>
  </fonts>
  <fills count="9">
    <fill>
      <patternFill/>
    </fill>
    <fill>
      <patternFill patternType="gray125"/>
    </fill>
    <fill>
      <patternFill patternType="solid">
        <fgColor rgb="001F4E79"/>
      </patternFill>
    </fill>
    <fill>
      <patternFill patternType="solid">
        <fgColor rgb="00D6EAF8"/>
      </patternFill>
    </fill>
    <fill>
      <patternFill patternType="solid">
        <fgColor rgb="00FCE4D6"/>
      </patternFill>
    </fill>
    <fill>
      <patternFill patternType="solid">
        <fgColor rgb="00F2F2F2"/>
      </patternFill>
    </fill>
    <fill>
      <patternFill patternType="solid">
        <fgColor rgb="00C65911"/>
      </patternFill>
    </fill>
    <fill>
      <patternFill patternType="solid">
        <fgColor rgb="00F4B183"/>
      </patternFill>
    </fill>
    <fill>
      <patternFill patternType="solid">
        <fgColor rgb="00548235"/>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6" fillId="5" borderId="1" applyAlignment="1" pivotButton="0" quotePrefix="0" xfId="0">
      <alignment horizontal="center" vertical="center" wrapText="1"/>
    </xf>
    <xf numFmtId="3" fontId="7" fillId="5" borderId="1" applyAlignment="1" pivotButton="0" quotePrefix="0" xfId="0">
      <alignment horizontal="center" vertical="center" wrapText="1"/>
    </xf>
    <xf numFmtId="3" fontId="8"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0" borderId="1" applyAlignment="1" pivotButton="0" quotePrefix="0" xfId="0">
      <alignment horizontal="center" vertical="center" wrapText="1"/>
    </xf>
    <xf numFmtId="3" fontId="7" fillId="0" borderId="1" applyAlignment="1" pivotButton="0" quotePrefix="0" xfId="0">
      <alignment horizontal="center" vertical="center" wrapText="1"/>
    </xf>
    <xf numFmtId="3" fontId="8"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4" borderId="1" applyAlignment="1" pivotButton="0" quotePrefix="0" xfId="0">
      <alignment horizontal="center" vertical="center" wrapText="1"/>
    </xf>
    <xf numFmtId="3" fontId="7" fillId="4" borderId="1" applyAlignment="1" pivotButton="0" quotePrefix="0" xfId="0">
      <alignment horizontal="center" vertical="center" wrapText="1"/>
    </xf>
    <xf numFmtId="3" fontId="8"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3" fontId="8"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9" fillId="0" borderId="0" pivotButton="0" quotePrefix="0" xfId="0"/>
    <xf numFmtId="0" fontId="10" fillId="0" borderId="0" applyAlignment="1" pivotButton="0" quotePrefix="0" xfId="0">
      <alignment horizontal="left" vertical="center"/>
    </xf>
    <xf numFmtId="0" fontId="11" fillId="0" borderId="0" pivotButton="0" quotePrefix="0" xfId="0"/>
    <xf numFmtId="0" fontId="12" fillId="0" borderId="0" pivotButton="0" quotePrefix="0" xfId="0"/>
    <xf numFmtId="0" fontId="13" fillId="0" borderId="0" pivotButton="0" quotePrefix="0" xfId="0"/>
    <xf numFmtId="164" fontId="6" fillId="4" borderId="1" applyAlignment="1" pivotButton="0" quotePrefix="0" xfId="0">
      <alignment horizontal="center" vertical="center" wrapText="1"/>
    </xf>
    <xf numFmtId="164" fontId="6" fillId="0" borderId="1" applyAlignment="1" pivotButton="0" quotePrefix="0" xfId="0">
      <alignment horizontal="center" vertical="center" wrapText="1"/>
    </xf>
    <xf numFmtId="164" fontId="6" fillId="5" borderId="1" applyAlignment="1" pivotButton="0" quotePrefix="0" xfId="0">
      <alignment horizontal="center" vertical="center" wrapText="1"/>
    </xf>
    <xf numFmtId="3" fontId="6" fillId="5" borderId="1" applyAlignment="1" pivotButton="0" quotePrefix="0" xfId="0">
      <alignment horizontal="center" vertical="center" wrapText="1"/>
    </xf>
    <xf numFmtId="3"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推广后净利润周趋势</a:t>
            </a:r>
          </a:p>
        </rich>
      </tx>
    </title>
    <plotArea>
      <lineChart>
        <grouping val="standard"/>
        <ser>
          <idx val="0"/>
          <order val="0"/>
          <tx>
            <strRef>
              <f>'02-整体周趋势'!E3</f>
            </strRef>
          </tx>
          <spPr>
            <a:ln>
              <a:prstDash val="solid"/>
            </a:ln>
          </spPr>
          <marker>
            <symbol val="none"/>
            <spPr>
              <a:ln>
                <a:prstDash val="solid"/>
              </a:ln>
            </spPr>
          </marker>
          <cat>
            <numRef>
              <f>'02-整体周趋势'!$A$4:$A$11</f>
            </numRef>
          </cat>
          <val>
            <numRef>
              <f>'02-整体周趋势'!$E$4:$E$11</f>
            </numRef>
          </val>
        </ser>
        <axId val="10"/>
        <axId val="100"/>
      </lineChart>
      <catAx>
        <axId val="10"/>
        <scaling>
          <orientation val="minMax"/>
        </scaling>
        <axPos val="l"/>
        <title>
          <tx>
            <rich>
              <a:bodyPr/>
              <a:p>
                <a:pPr>
                  <a:defRPr/>
                </a:pPr>
                <a:r>
                  <a:t>周次</a:t>
                </a:r>
              </a:p>
            </rich>
          </tx>
        </title>
        <majorTickMark val="none"/>
        <minorTickMark val="none"/>
        <crossAx val="100"/>
        <lblOffset val="100"/>
      </catAx>
      <valAx>
        <axId val="100"/>
        <scaling>
          <orientation val="minMax"/>
        </scaling>
        <axPos val="l"/>
        <majorGridlines/>
        <title>
          <tx>
            <rich>
              <a:bodyPr/>
              <a:p>
                <a:pPr>
                  <a:defRPr/>
                </a:pPr>
                <a:r>
                  <a:t>净利润(元)</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拖累TOP10：净利润变化</a:t>
            </a:r>
          </a:p>
        </rich>
      </tx>
    </title>
    <plotArea>
      <barChart>
        <barDir val="bar"/>
        <grouping val="clustered"/>
        <ser>
          <idx val="0"/>
          <order val="0"/>
          <tx>
            <strRef>
              <f>'03-近周回落归因'!G4</f>
            </strRef>
          </tx>
          <spPr>
            <a:ln>
              <a:prstDash val="solid"/>
            </a:ln>
          </spPr>
          <cat>
            <numRef>
              <f>'03-近周回落归因'!$C$5:$C$14</f>
            </numRef>
          </cat>
          <val>
            <numRef>
              <f>'03-近周回落归因'!$G$5:$G$14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H51"/>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14" customWidth="1" min="3" max="3"/>
    <col width="55" customWidth="1" min="4" max="4"/>
    <col width="14" customWidth="1" min="5" max="5"/>
    <col width="14" customWidth="1" min="6" max="6"/>
    <col width="18" customWidth="1" min="7" max="7"/>
  </cols>
  <sheetData>
    <row r="1" ht="28" customHeight="1">
      <c r="A1" s="1" t="inlineStr">
        <is>
          <t>天猫近3个月 · ID周净利润分析汇报</t>
        </is>
      </c>
    </row>
    <row r="2">
      <c r="A2" s="2" t="inlineStr">
        <is>
          <t>口径：净利润(推广后)｜数据周次：5.11–8.2（部分周缺失）｜单位：元</t>
        </is>
      </c>
    </row>
    <row r="4">
      <c r="A4" s="3" t="inlineStr">
        <is>
          <t>一、核心结论（给领导看）</t>
        </is>
      </c>
    </row>
    <row r="5">
      <c r="A5" s="4" t="inlineStr">
        <is>
          <t>序号</t>
        </is>
      </c>
      <c r="B5" s="4" t="inlineStr">
        <is>
          <t>内容</t>
        </is>
      </c>
    </row>
    <row r="6" ht="35" customHeight="1">
      <c r="A6" s="5" t="inlineStr">
        <is>
          <t>结论1</t>
        </is>
      </c>
      <c r="B6" s="6" t="inlineStr">
        <is>
          <t>原味大大包“推广前有利润”，但推广后多数被广告费用吃掉，对整体利润的净贡献有限。</t>
        </is>
      </c>
    </row>
    <row r="7" ht="35" customHeight="1">
      <c r="A7" s="7" t="inlineStr">
        <is>
          <t>结论2</t>
        </is>
      </c>
      <c r="B7" s="8" t="inlineStr">
        <is>
          <t>近周整体利润回落发生在 7.6-7.12 → 7.13-7.19：由约 -4,111 恶化至 -5,180（少赚/多亏约 1,069 元）。</t>
        </is>
      </c>
    </row>
    <row r="8" ht="35" customHeight="1">
      <c r="A8" s="5" t="inlineStr">
        <is>
          <t>结论3</t>
        </is>
      </c>
      <c r="B8" s="6" t="inlineStr">
        <is>
          <t>主因不是大大包，而是主链与箱规链接恶化，首要拖累ID：668566625747（袋面主链接，单周恶化 -667）。</t>
        </is>
      </c>
    </row>
    <row r="9" ht="35" customHeight="1">
      <c r="A9" s="7" t="inlineStr">
        <is>
          <t>结论4</t>
        </is>
      </c>
      <c r="B9" s="8" t="inlineStr">
        <is>
          <t>每周绝对亏损长期集中在三大主链：袋面次链接、袋面主链接、杯面主链接；巴东牛肉新链接也持续大额亏损。</t>
        </is>
      </c>
    </row>
    <row r="10" ht="35" customHeight="1">
      <c r="A10" s="5" t="inlineStr">
        <is>
          <t>建议</t>
        </is>
      </c>
      <c r="B10" s="6" t="inlineStr">
        <is>
          <t>优先复盘袋面主链接推广费率与投产；同步控30包/箱规亏损；大大包控制推广侵蚀，保留推广前利润。</t>
        </is>
      </c>
    </row>
    <row r="12">
      <c r="A12" s="3" t="inlineStr">
        <is>
          <t>二、整体周趋势（推广后净利润）</t>
        </is>
      </c>
    </row>
    <row r="13">
      <c r="A13" s="4" t="inlineStr">
        <is>
          <t>周次</t>
        </is>
      </c>
      <c r="B13" s="4" t="inlineStr">
        <is>
          <t>成交金额</t>
        </is>
      </c>
      <c r="C13" s="4" t="inlineStr">
        <is>
          <t>推广前净利润</t>
        </is>
      </c>
      <c r="D13" s="4" t="inlineStr">
        <is>
          <t>推广花费</t>
        </is>
      </c>
      <c r="E13" s="4" t="inlineStr">
        <is>
          <t>推广后净利润</t>
        </is>
      </c>
      <c r="F13" s="4" t="inlineStr">
        <is>
          <t>环比变化</t>
        </is>
      </c>
      <c r="G13" s="4" t="inlineStr">
        <is>
          <t>说明</t>
        </is>
      </c>
    </row>
    <row r="14">
      <c r="A14" s="9" t="inlineStr">
        <is>
          <t>5.11-5.17</t>
        </is>
      </c>
      <c r="B14" s="10" t="n">
        <v>118254</v>
      </c>
      <c r="C14" s="10" t="n">
        <v>15584</v>
      </c>
      <c r="D14" s="10" t="n">
        <v>22197</v>
      </c>
      <c r="E14" s="11" t="n">
        <v>-6305</v>
      </c>
      <c r="F14" s="9" t="n"/>
      <c r="G14" s="12" t="inlineStr">
        <is>
          <t>单周</t>
        </is>
      </c>
    </row>
    <row r="15">
      <c r="A15" s="13" t="inlineStr">
        <is>
          <t>5.25-5.31</t>
        </is>
      </c>
      <c r="B15" s="14" t="n">
        <v>123379</v>
      </c>
      <c r="C15" s="14" t="n">
        <v>16529</v>
      </c>
      <c r="D15" s="14" t="n">
        <v>22866</v>
      </c>
      <c r="E15" s="15" t="n">
        <v>-6518</v>
      </c>
      <c r="F15" s="15" t="n">
        <v>-213</v>
      </c>
      <c r="G15" s="16" t="inlineStr">
        <is>
          <t>单周</t>
        </is>
      </c>
    </row>
    <row r="16">
      <c r="A16" s="9" t="inlineStr">
        <is>
          <t>6.15-6.21</t>
        </is>
      </c>
      <c r="B16" s="10" t="n">
        <v>102109</v>
      </c>
      <c r="C16" s="10" t="n">
        <v>13775</v>
      </c>
      <c r="D16" s="10" t="n">
        <v>19491</v>
      </c>
      <c r="E16" s="11" t="n">
        <v>-6628</v>
      </c>
      <c r="F16" s="11" t="n">
        <v>-110</v>
      </c>
      <c r="G16" s="12" t="inlineStr">
        <is>
          <t>单周</t>
        </is>
      </c>
    </row>
    <row r="17">
      <c r="A17" s="13" t="inlineStr">
        <is>
          <t>6.22-6.28</t>
        </is>
      </c>
      <c r="B17" s="14" t="n">
        <v>86705</v>
      </c>
      <c r="C17" s="14" t="n">
        <v>11721</v>
      </c>
      <c r="D17" s="14" t="n">
        <v>17055</v>
      </c>
      <c r="E17" s="15" t="n">
        <v>-6335</v>
      </c>
      <c r="F17" s="14" t="n">
        <v>293</v>
      </c>
      <c r="G17" s="16" t="inlineStr">
        <is>
          <t>单周</t>
        </is>
      </c>
    </row>
    <row r="18">
      <c r="A18" s="9" t="inlineStr">
        <is>
          <t>6.29-7.5</t>
        </is>
      </c>
      <c r="B18" s="10" t="n">
        <v>93260</v>
      </c>
      <c r="C18" s="10" t="n">
        <v>12987</v>
      </c>
      <c r="D18" s="10" t="n">
        <v>17356</v>
      </c>
      <c r="E18" s="11" t="n">
        <v>-5229</v>
      </c>
      <c r="F18" s="10" t="n">
        <v>1106</v>
      </c>
      <c r="G18" s="12" t="inlineStr">
        <is>
          <t>单周</t>
        </is>
      </c>
    </row>
    <row r="19">
      <c r="A19" s="13" t="inlineStr">
        <is>
          <t>7.6-7.12</t>
        </is>
      </c>
      <c r="B19" s="14" t="n">
        <v>120624</v>
      </c>
      <c r="C19" s="14" t="n">
        <v>16854</v>
      </c>
      <c r="D19" s="14" t="n">
        <v>20166</v>
      </c>
      <c r="E19" s="15" t="n">
        <v>-4111</v>
      </c>
      <c r="F19" s="14" t="n">
        <v>1118</v>
      </c>
      <c r="G19" s="16" t="inlineStr">
        <is>
          <t>单周</t>
        </is>
      </c>
    </row>
    <row r="20">
      <c r="A20" s="17" t="inlineStr">
        <is>
          <t>7.13-7.19</t>
        </is>
      </c>
      <c r="B20" s="18" t="n">
        <v>100698</v>
      </c>
      <c r="C20" s="18" t="n">
        <v>13663</v>
      </c>
      <c r="D20" s="18" t="n">
        <v>17573</v>
      </c>
      <c r="E20" s="19" t="n">
        <v>-5180</v>
      </c>
      <c r="F20" s="19" t="n">
        <v>-1069</v>
      </c>
      <c r="G20" s="20" t="inlineStr">
        <is>
          <t>单周</t>
        </is>
      </c>
    </row>
    <row r="21">
      <c r="A21" s="13" t="inlineStr">
        <is>
          <t>7.20-8.2</t>
        </is>
      </c>
      <c r="B21" s="14" t="n">
        <v>107470</v>
      </c>
      <c r="C21" s="14" t="n">
        <v>15014</v>
      </c>
      <c r="D21" s="14" t="n">
        <v>19205</v>
      </c>
      <c r="E21" s="15" t="n">
        <v>-5109</v>
      </c>
      <c r="F21" s="14" t="n">
        <v>71</v>
      </c>
      <c r="G21" s="16" t="inlineStr">
        <is>
          <t>两周合计，不可直接与单周比</t>
        </is>
      </c>
    </row>
    <row r="24">
      <c r="A24" s="3" t="inlineStr">
        <is>
          <t>三、近周利润回落归因 TOP（7.6-7.12 → 7.13-7.19）</t>
        </is>
      </c>
    </row>
    <row r="25">
      <c r="A25" s="21" t="inlineStr">
        <is>
          <t>排名</t>
        </is>
      </c>
      <c r="B25" s="21" t="inlineStr">
        <is>
          <t>商品ID</t>
        </is>
      </c>
      <c r="C25" s="21" t="inlineStr">
        <is>
          <t>定位</t>
        </is>
      </c>
      <c r="D25" s="21" t="inlineStr">
        <is>
          <t>商品名称</t>
        </is>
      </c>
      <c r="E25" s="21" t="inlineStr">
        <is>
          <t>7.6-7.12</t>
        </is>
      </c>
      <c r="F25" s="21" t="inlineStr">
        <is>
          <t>7.13-7.19</t>
        </is>
      </c>
      <c r="G25" s="21" t="inlineStr">
        <is>
          <t>变化</t>
        </is>
      </c>
    </row>
    <row r="26">
      <c r="A26" s="22" t="n">
        <v>1</v>
      </c>
      <c r="B26" s="23" t="inlineStr">
        <is>
          <t>668566625747</t>
        </is>
      </c>
      <c r="C26" s="23" t="inlineStr">
        <is>
          <t>袋面主链接</t>
        </is>
      </c>
      <c r="D26" s="23" t="inlineStr">
        <is>
          <t>印尼营多捞面进口网红泡面袋装方便面速食食品拉面火鸡面拌面整箱</t>
        </is>
      </c>
      <c r="E26" s="24" t="n">
        <v>-911</v>
      </c>
      <c r="F26" s="24" t="n">
        <v>-1578</v>
      </c>
      <c r="G26" s="24" t="n">
        <v>-667</v>
      </c>
    </row>
    <row r="27">
      <c r="A27" s="13" t="n">
        <v>2</v>
      </c>
      <c r="B27" s="16" t="inlineStr">
        <is>
          <t>648600900806</t>
        </is>
      </c>
      <c r="C27" s="16" t="inlineStr">
        <is>
          <t>30包</t>
        </is>
      </c>
      <c r="D27" s="16" t="inlineStr">
        <is>
          <t>进口营多捞面一整箱30包网红速食方便面宿舍速食泡面干拌面拉面</t>
        </is>
      </c>
      <c r="E27" s="14" t="n">
        <v>41</v>
      </c>
      <c r="F27" s="15" t="n">
        <v>-202</v>
      </c>
      <c r="G27" s="15" t="n">
        <v>-243</v>
      </c>
    </row>
    <row r="28">
      <c r="A28" s="9" t="n">
        <v>3</v>
      </c>
      <c r="B28" s="12" t="inlineStr">
        <is>
          <t>649369494424</t>
        </is>
      </c>
      <c r="C28" s="12" t="inlineStr">
        <is>
          <t>24包经典/牛系列</t>
        </is>
      </c>
      <c r="D28" s="12" t="inlineStr">
        <is>
          <t>营多捞面干拌面一整箱24袋装批发泡面混搭宿舍速食方便面火鸡面</t>
        </is>
      </c>
      <c r="E28" s="10" t="n">
        <v>457</v>
      </c>
      <c r="F28" s="10" t="n">
        <v>247</v>
      </c>
      <c r="G28" s="11" t="n">
        <v>-210</v>
      </c>
    </row>
    <row r="29">
      <c r="A29" s="13" t="n">
        <v>4</v>
      </c>
      <c r="B29" s="16" t="inlineStr">
        <is>
          <t>766165464414</t>
        </is>
      </c>
      <c r="C29" s="16" t="inlineStr">
        <is>
          <t>12包</t>
        </is>
      </c>
      <c r="D29" s="16" t="inlineStr">
        <is>
          <t>营多印尼进口营多捞面方便面火鸡面干拌面12包宿舍速食泡面夜宵</t>
        </is>
      </c>
      <c r="E29" s="14" t="n">
        <v>129</v>
      </c>
      <c r="F29" s="14" t="n">
        <v>10</v>
      </c>
      <c r="G29" s="15" t="n">
        <v>-119</v>
      </c>
    </row>
    <row r="30">
      <c r="A30" s="9" t="n">
        <v>5</v>
      </c>
      <c r="B30" s="12" t="inlineStr">
        <is>
          <t>648598580775</t>
        </is>
      </c>
      <c r="C30" s="12" t="inlineStr">
        <is>
          <t>原味大包</t>
        </is>
      </c>
      <c r="D30" s="12" t="inlineStr">
        <is>
          <t>印尼进口大大包营多原味捞面5包干拌面速食超大包方便面速食宵夜</t>
        </is>
      </c>
      <c r="E30" s="10" t="n">
        <v>64</v>
      </c>
      <c r="F30" s="11" t="n">
        <v>-37</v>
      </c>
      <c r="G30" s="11" t="n">
        <v>-101</v>
      </c>
    </row>
    <row r="31">
      <c r="A31" s="13" t="n">
        <v>6</v>
      </c>
      <c r="B31" s="16" t="inlineStr">
        <is>
          <t>1059563993918</t>
        </is>
      </c>
      <c r="C31" s="16" t="inlineStr">
        <is>
          <t>巴东牛肉</t>
        </is>
      </c>
      <c r="D31" s="16" t="inlineStr">
        <is>
          <t>营多进口新口味巴东炖牛肉味捞面印尼料理方便面泡面捞面夜宵速食</t>
        </is>
      </c>
      <c r="E31" s="15" t="n">
        <v>-50</v>
      </c>
      <c r="F31" s="15" t="n">
        <v>-115</v>
      </c>
      <c r="G31" s="15" t="n">
        <v>-65</v>
      </c>
    </row>
    <row r="32">
      <c r="A32" s="9" t="n">
        <v>7</v>
      </c>
      <c r="B32" s="12" t="inlineStr">
        <is>
          <t>649014937782</t>
        </is>
      </c>
      <c r="C32" s="12" t="inlineStr">
        <is>
          <t>24包</t>
        </is>
      </c>
      <c r="D32" s="12" t="inlineStr">
        <is>
          <t>印尼营多捞面干拌面一整箱24袋装批发泡面宿舍速食方便面火鸡面</t>
        </is>
      </c>
      <c r="E32" s="11" t="n">
        <v>-5</v>
      </c>
      <c r="F32" s="11" t="n">
        <v>-63</v>
      </c>
      <c r="G32" s="11" t="n">
        <v>-58</v>
      </c>
    </row>
    <row r="33">
      <c r="A33" s="13" t="n">
        <v>8</v>
      </c>
      <c r="B33" s="16" t="inlineStr">
        <is>
          <t>1013887677295</t>
        </is>
      </c>
      <c r="C33" s="16" t="inlineStr">
        <is>
          <t>原味大包</t>
        </is>
      </c>
      <c r="D33" s="16" t="inlineStr">
        <is>
          <t>indomie印尼进口营多原味大大包129g捞面方便面速食食品宵夜小吃</t>
        </is>
      </c>
      <c r="E33" s="15" t="n">
        <v>-128</v>
      </c>
      <c r="F33" s="15" t="n">
        <v>-174</v>
      </c>
      <c r="G33" s="15" t="n">
        <v>-46</v>
      </c>
    </row>
    <row r="34">
      <c r="A34" s="9" t="n">
        <v>9</v>
      </c>
      <c r="B34" s="12" t="inlineStr">
        <is>
          <t>648604228786</t>
        </is>
      </c>
      <c r="C34" s="12" t="inlineStr">
        <is>
          <t>杯面混搭</t>
        </is>
      </c>
      <c r="D34" s="12" t="inlineStr">
        <is>
          <t>INDOMIE营多日式杯面原味经典泡面整箱批发速食宿舍旅行宵夜宿舍</t>
        </is>
      </c>
      <c r="E34" s="10" t="n">
        <v>16</v>
      </c>
      <c r="F34" s="11" t="n">
        <v>-15</v>
      </c>
      <c r="G34" s="11" t="n">
        <v>-31</v>
      </c>
    </row>
    <row r="35">
      <c r="A35" s="13" t="n">
        <v>10</v>
      </c>
      <c r="B35" s="16" t="inlineStr">
        <is>
          <t>735014804839</t>
        </is>
      </c>
      <c r="C35" s="16" t="inlineStr">
        <is>
          <t>24/30包</t>
        </is>
      </c>
      <c r="D35" s="16" t="inlineStr">
        <is>
          <t>进口营多捞面多口味Indomie网红方便面干拌面泡面30包整箱批发面</t>
        </is>
      </c>
      <c r="E35" s="14" t="n">
        <v>108</v>
      </c>
      <c r="F35" s="14" t="n">
        <v>79</v>
      </c>
      <c r="G35" s="15" t="n">
        <v>-29</v>
      </c>
    </row>
    <row r="38">
      <c r="A38" s="3" t="inlineStr">
        <is>
          <t>四、原味大大包：推广前有利润，推广后净贡献弱</t>
        </is>
      </c>
    </row>
    <row r="39">
      <c r="A39" s="25" t="inlineStr">
        <is>
          <t>周次</t>
        </is>
      </c>
      <c r="B39" s="25" t="inlineStr">
        <is>
          <t>成交金额</t>
        </is>
      </c>
      <c r="C39" s="25" t="inlineStr">
        <is>
          <t>推广前净利润</t>
        </is>
      </c>
      <c r="D39" s="25" t="inlineStr">
        <is>
          <t>推广花费</t>
        </is>
      </c>
      <c r="E39" s="25" t="inlineStr">
        <is>
          <t>推广后净利润</t>
        </is>
      </c>
      <c r="F39" s="25" t="inlineStr">
        <is>
          <t>推广侵蚀(前-后)</t>
        </is>
      </c>
      <c r="G39" s="25" t="inlineStr">
        <is>
          <t>链接数</t>
        </is>
      </c>
    </row>
    <row r="40">
      <c r="A40" s="9" t="inlineStr">
        <is>
          <t>6.22-6.28</t>
        </is>
      </c>
      <c r="B40" s="10" t="n">
        <v>1529</v>
      </c>
      <c r="C40" s="10" t="n">
        <v>318</v>
      </c>
      <c r="D40" s="10" t="n">
        <v>184</v>
      </c>
      <c r="E40" s="10" t="n">
        <v>110</v>
      </c>
      <c r="F40" s="10" t="n">
        <v>208</v>
      </c>
      <c r="G40" s="12" t="n">
        <v>2</v>
      </c>
    </row>
    <row r="41">
      <c r="A41" s="13" t="inlineStr">
        <is>
          <t>6.29-7.5</t>
        </is>
      </c>
      <c r="B41" s="14" t="n">
        <v>2913</v>
      </c>
      <c r="C41" s="14" t="n">
        <v>624</v>
      </c>
      <c r="D41" s="14" t="n">
        <v>614</v>
      </c>
      <c r="E41" s="15" t="n">
        <v>-10</v>
      </c>
      <c r="F41" s="14" t="n">
        <v>634</v>
      </c>
      <c r="G41" s="16" t="n">
        <v>2</v>
      </c>
    </row>
    <row r="42">
      <c r="A42" s="9" t="inlineStr">
        <is>
          <t>7.6-7.12</t>
        </is>
      </c>
      <c r="B42" s="10" t="n">
        <v>6314</v>
      </c>
      <c r="C42" s="10" t="n">
        <v>1185</v>
      </c>
      <c r="D42" s="10" t="n">
        <v>1322</v>
      </c>
      <c r="E42" s="11" t="n">
        <v>-171</v>
      </c>
      <c r="F42" s="10" t="n">
        <v>1356</v>
      </c>
      <c r="G42" s="12" t="n">
        <v>3</v>
      </c>
    </row>
    <row r="43">
      <c r="A43" s="13" t="inlineStr">
        <is>
          <t>7.13-7.19</t>
        </is>
      </c>
      <c r="B43" s="14" t="n">
        <v>5199</v>
      </c>
      <c r="C43" s="14" t="n">
        <v>867</v>
      </c>
      <c r="D43" s="14" t="n">
        <v>1010</v>
      </c>
      <c r="E43" s="15" t="n">
        <v>-196</v>
      </c>
      <c r="F43" s="14" t="n">
        <v>1063</v>
      </c>
      <c r="G43" s="16" t="n">
        <v>3</v>
      </c>
    </row>
    <row r="44">
      <c r="A44" s="9" t="inlineStr">
        <is>
          <t>7.20-8.2</t>
        </is>
      </c>
      <c r="B44" s="10" t="n">
        <v>10396</v>
      </c>
      <c r="C44" s="10" t="n">
        <v>2007</v>
      </c>
      <c r="D44" s="10" t="n">
        <v>2127</v>
      </c>
      <c r="E44" s="11" t="n">
        <v>-175</v>
      </c>
      <c r="F44" s="10" t="n">
        <v>2182</v>
      </c>
      <c r="G44" s="12" t="n">
        <v>4</v>
      </c>
    </row>
    <row r="50">
      <c r="A50" s="26" t="inlineStr">
        <is>
          <t>说明：数据中无精确标题“原味大大大面饼”，已按“原味大大包/大大包”口径归类。</t>
        </is>
      </c>
    </row>
    <row r="51">
      <c r="A51" s="26" t="inlineStr">
        <is>
          <t>缺失周次：5.18-5.24、5月底至6.15前部分周等；7.20-8.2为两周合计。</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14" customWidth="1" min="2" max="2"/>
    <col width="16" customWidth="1" min="3" max="3"/>
    <col width="14" customWidth="1" min="4" max="4"/>
    <col width="16" customWidth="1" min="5" max="5"/>
    <col width="12" customWidth="1" min="6" max="6"/>
    <col width="28" customWidth="1" min="7" max="7"/>
  </cols>
  <sheetData>
    <row r="1" ht="28" customHeight="1">
      <c r="A1" s="27" t="inlineStr">
        <is>
          <t>整体经营周趋势</t>
        </is>
      </c>
    </row>
    <row r="3">
      <c r="A3" s="4" t="inlineStr">
        <is>
          <t>周次</t>
        </is>
      </c>
      <c r="B3" s="4" t="inlineStr">
        <is>
          <t>成交金额</t>
        </is>
      </c>
      <c r="C3" s="4" t="inlineStr">
        <is>
          <t>推广前净利润</t>
        </is>
      </c>
      <c r="D3" s="4" t="inlineStr">
        <is>
          <t>推广花费</t>
        </is>
      </c>
      <c r="E3" s="4" t="inlineStr">
        <is>
          <t>推广后净利润</t>
        </is>
      </c>
      <c r="F3" s="4" t="inlineStr">
        <is>
          <t>环比变化</t>
        </is>
      </c>
      <c r="G3" s="4" t="inlineStr">
        <is>
          <t>说明</t>
        </is>
      </c>
    </row>
    <row r="4">
      <c r="A4" s="9" t="inlineStr">
        <is>
          <t>5.11-5.17</t>
        </is>
      </c>
      <c r="B4" s="10" t="n">
        <v>118254</v>
      </c>
      <c r="C4" s="10" t="n">
        <v>15584</v>
      </c>
      <c r="D4" s="10" t="n">
        <v>22197</v>
      </c>
      <c r="E4" s="11" t="n">
        <v>-6305</v>
      </c>
      <c r="F4" s="9" t="n"/>
      <c r="G4" s="12" t="inlineStr">
        <is>
          <t>单周</t>
        </is>
      </c>
    </row>
    <row r="5">
      <c r="A5" s="13" t="inlineStr">
        <is>
          <t>5.25-5.31</t>
        </is>
      </c>
      <c r="B5" s="14" t="n">
        <v>123379</v>
      </c>
      <c r="C5" s="14" t="n">
        <v>16529</v>
      </c>
      <c r="D5" s="14" t="n">
        <v>22866</v>
      </c>
      <c r="E5" s="15" t="n">
        <v>-6518</v>
      </c>
      <c r="F5" s="15" t="n">
        <v>-213</v>
      </c>
      <c r="G5" s="16" t="inlineStr">
        <is>
          <t>单周</t>
        </is>
      </c>
    </row>
    <row r="6">
      <c r="A6" s="9" t="inlineStr">
        <is>
          <t>6.15-6.21</t>
        </is>
      </c>
      <c r="B6" s="10" t="n">
        <v>102109</v>
      </c>
      <c r="C6" s="10" t="n">
        <v>13775</v>
      </c>
      <c r="D6" s="10" t="n">
        <v>19491</v>
      </c>
      <c r="E6" s="11" t="n">
        <v>-6628</v>
      </c>
      <c r="F6" s="11" t="n">
        <v>-110</v>
      </c>
      <c r="G6" s="12" t="inlineStr">
        <is>
          <t>单周</t>
        </is>
      </c>
    </row>
    <row r="7">
      <c r="A7" s="13" t="inlineStr">
        <is>
          <t>6.22-6.28</t>
        </is>
      </c>
      <c r="B7" s="14" t="n">
        <v>86705</v>
      </c>
      <c r="C7" s="14" t="n">
        <v>11721</v>
      </c>
      <c r="D7" s="14" t="n">
        <v>17055</v>
      </c>
      <c r="E7" s="15" t="n">
        <v>-6335</v>
      </c>
      <c r="F7" s="14" t="n">
        <v>293</v>
      </c>
      <c r="G7" s="16" t="inlineStr">
        <is>
          <t>单周</t>
        </is>
      </c>
    </row>
    <row r="8">
      <c r="A8" s="9" t="inlineStr">
        <is>
          <t>6.29-7.5</t>
        </is>
      </c>
      <c r="B8" s="10" t="n">
        <v>93260</v>
      </c>
      <c r="C8" s="10" t="n">
        <v>12987</v>
      </c>
      <c r="D8" s="10" t="n">
        <v>17356</v>
      </c>
      <c r="E8" s="11" t="n">
        <v>-5229</v>
      </c>
      <c r="F8" s="10" t="n">
        <v>1106</v>
      </c>
      <c r="G8" s="12" t="inlineStr">
        <is>
          <t>单周</t>
        </is>
      </c>
    </row>
    <row r="9">
      <c r="A9" s="13" t="inlineStr">
        <is>
          <t>7.6-7.12</t>
        </is>
      </c>
      <c r="B9" s="14" t="n">
        <v>120624</v>
      </c>
      <c r="C9" s="14" t="n">
        <v>16854</v>
      </c>
      <c r="D9" s="14" t="n">
        <v>20166</v>
      </c>
      <c r="E9" s="15" t="n">
        <v>-4111</v>
      </c>
      <c r="F9" s="14" t="n">
        <v>1118</v>
      </c>
      <c r="G9" s="16" t="inlineStr">
        <is>
          <t>单周</t>
        </is>
      </c>
    </row>
    <row r="10">
      <c r="A10" s="9" t="inlineStr">
        <is>
          <t>7.13-7.19</t>
        </is>
      </c>
      <c r="B10" s="10" t="n">
        <v>100698</v>
      </c>
      <c r="C10" s="10" t="n">
        <v>13663</v>
      </c>
      <c r="D10" s="10" t="n">
        <v>17573</v>
      </c>
      <c r="E10" s="11" t="n">
        <v>-5180</v>
      </c>
      <c r="F10" s="11" t="n">
        <v>-1069</v>
      </c>
      <c r="G10" s="12" t="inlineStr">
        <is>
          <t>单周</t>
        </is>
      </c>
    </row>
    <row r="11">
      <c r="A11" s="13" t="inlineStr">
        <is>
          <t>7.20-8.2</t>
        </is>
      </c>
      <c r="B11" s="14" t="n">
        <v>107470</v>
      </c>
      <c r="C11" s="14" t="n">
        <v>15014</v>
      </c>
      <c r="D11" s="14" t="n">
        <v>19205</v>
      </c>
      <c r="E11" s="15" t="n">
        <v>-5109</v>
      </c>
      <c r="F11" s="14" t="n">
        <v>71</v>
      </c>
      <c r="G11" s="16" t="inlineStr">
        <is>
          <t>两周合计，不可直接与单周比</t>
        </is>
      </c>
    </row>
  </sheetData>
  <mergeCells count="1">
    <mergeCell ref="A1:G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8" customWidth="1" min="1" max="1"/>
    <col width="16" customWidth="1" min="2" max="2"/>
    <col width="14" customWidth="1" min="3" max="3"/>
    <col width="56" customWidth="1" min="4" max="4"/>
    <col width="12" customWidth="1" min="5" max="5"/>
    <col width="12" customWidth="1" min="6" max="6"/>
    <col width="10" customWidth="1" min="7" max="7"/>
  </cols>
  <sheetData>
    <row r="1" ht="28" customHeight="1">
      <c r="A1" s="27" t="inlineStr">
        <is>
          <t>近周利润回落归因（7.6-7.12 → 7.13-7.19）</t>
        </is>
      </c>
    </row>
    <row r="3">
      <c r="A3" s="28" t="inlineStr">
        <is>
          <t>拖累 TOP10（变化越负，拖累越大）</t>
        </is>
      </c>
    </row>
    <row r="4">
      <c r="A4" s="21" t="inlineStr">
        <is>
          <t>排名</t>
        </is>
      </c>
      <c r="B4" s="21" t="inlineStr">
        <is>
          <t>商品ID</t>
        </is>
      </c>
      <c r="C4" s="21" t="inlineStr">
        <is>
          <t>定位</t>
        </is>
      </c>
      <c r="D4" s="21" t="inlineStr">
        <is>
          <t>商品名称</t>
        </is>
      </c>
      <c r="E4" s="21" t="inlineStr">
        <is>
          <t>7.6-7.12</t>
        </is>
      </c>
      <c r="F4" s="21" t="inlineStr">
        <is>
          <t>7.13-7.19</t>
        </is>
      </c>
      <c r="G4" s="21" t="inlineStr">
        <is>
          <t>变化</t>
        </is>
      </c>
    </row>
    <row r="5">
      <c r="A5" s="13" t="n">
        <v>1</v>
      </c>
      <c r="B5" s="16" t="inlineStr">
        <is>
          <t>668566625747</t>
        </is>
      </c>
      <c r="C5" s="16" t="inlineStr">
        <is>
          <t>袋面主链接</t>
        </is>
      </c>
      <c r="D5" s="16" t="inlineStr">
        <is>
          <t>印尼营多捞面进口网红泡面袋装方便面速食食品拉面火鸡面拌面整箱</t>
        </is>
      </c>
      <c r="E5" s="15" t="n">
        <v>-911</v>
      </c>
      <c r="F5" s="15" t="n">
        <v>-1578</v>
      </c>
      <c r="G5" s="15" t="n">
        <v>-667</v>
      </c>
    </row>
    <row r="6">
      <c r="A6" s="9" t="n">
        <v>2</v>
      </c>
      <c r="B6" s="12" t="inlineStr">
        <is>
          <t>648600900806</t>
        </is>
      </c>
      <c r="C6" s="12" t="inlineStr">
        <is>
          <t>30包</t>
        </is>
      </c>
      <c r="D6" s="12" t="inlineStr">
        <is>
          <t>进口营多捞面一整箱30包网红速食方便面宿舍速食泡面干拌面拉面</t>
        </is>
      </c>
      <c r="E6" s="10" t="n">
        <v>41</v>
      </c>
      <c r="F6" s="11" t="n">
        <v>-202</v>
      </c>
      <c r="G6" s="11" t="n">
        <v>-243</v>
      </c>
    </row>
    <row r="7">
      <c r="A7" s="13" t="n">
        <v>3</v>
      </c>
      <c r="B7" s="16" t="inlineStr">
        <is>
          <t>649369494424</t>
        </is>
      </c>
      <c r="C7" s="16" t="inlineStr">
        <is>
          <t>24包经典/牛系列</t>
        </is>
      </c>
      <c r="D7" s="16" t="inlineStr">
        <is>
          <t>营多捞面干拌面一整箱24袋装批发泡面混搭宿舍速食方便面火鸡面</t>
        </is>
      </c>
      <c r="E7" s="14" t="n">
        <v>457</v>
      </c>
      <c r="F7" s="14" t="n">
        <v>247</v>
      </c>
      <c r="G7" s="15" t="n">
        <v>-210</v>
      </c>
    </row>
    <row r="8">
      <c r="A8" s="9" t="n">
        <v>4</v>
      </c>
      <c r="B8" s="12" t="inlineStr">
        <is>
          <t>766165464414</t>
        </is>
      </c>
      <c r="C8" s="12" t="inlineStr">
        <is>
          <t>12包</t>
        </is>
      </c>
      <c r="D8" s="12" t="inlineStr">
        <is>
          <t>营多印尼进口营多捞面方便面火鸡面干拌面12包宿舍速食泡面夜宵</t>
        </is>
      </c>
      <c r="E8" s="10" t="n">
        <v>129</v>
      </c>
      <c r="F8" s="10" t="n">
        <v>10</v>
      </c>
      <c r="G8" s="11" t="n">
        <v>-119</v>
      </c>
    </row>
    <row r="9">
      <c r="A9" s="13" t="n">
        <v>5</v>
      </c>
      <c r="B9" s="16" t="inlineStr">
        <is>
          <t>648598580775</t>
        </is>
      </c>
      <c r="C9" s="16" t="inlineStr">
        <is>
          <t>原味大包</t>
        </is>
      </c>
      <c r="D9" s="16" t="inlineStr">
        <is>
          <t>印尼进口大大包营多原味捞面5包干拌面速食超大包方便面速食宵夜</t>
        </is>
      </c>
      <c r="E9" s="14" t="n">
        <v>64</v>
      </c>
      <c r="F9" s="15" t="n">
        <v>-37</v>
      </c>
      <c r="G9" s="15" t="n">
        <v>-101</v>
      </c>
    </row>
    <row r="10">
      <c r="A10" s="9" t="n">
        <v>6</v>
      </c>
      <c r="B10" s="12" t="inlineStr">
        <is>
          <t>1059563993918</t>
        </is>
      </c>
      <c r="C10" s="12" t="inlineStr">
        <is>
          <t>巴东牛肉</t>
        </is>
      </c>
      <c r="D10" s="12" t="inlineStr">
        <is>
          <t>营多进口新口味巴东炖牛肉味捞面印尼料理方便面泡面捞面夜宵速食</t>
        </is>
      </c>
      <c r="E10" s="11" t="n">
        <v>-50</v>
      </c>
      <c r="F10" s="11" t="n">
        <v>-115</v>
      </c>
      <c r="G10" s="11" t="n">
        <v>-65</v>
      </c>
    </row>
    <row r="11">
      <c r="A11" s="13" t="n">
        <v>7</v>
      </c>
      <c r="B11" s="16" t="inlineStr">
        <is>
          <t>649014937782</t>
        </is>
      </c>
      <c r="C11" s="16" t="inlineStr">
        <is>
          <t>24包</t>
        </is>
      </c>
      <c r="D11" s="16" t="inlineStr">
        <is>
          <t>印尼营多捞面干拌面一整箱24袋装批发泡面宿舍速食方便面火鸡面</t>
        </is>
      </c>
      <c r="E11" s="15" t="n">
        <v>-5</v>
      </c>
      <c r="F11" s="15" t="n">
        <v>-63</v>
      </c>
      <c r="G11" s="15" t="n">
        <v>-58</v>
      </c>
    </row>
    <row r="12">
      <c r="A12" s="9" t="n">
        <v>8</v>
      </c>
      <c r="B12" s="12" t="inlineStr">
        <is>
          <t>1013887677295</t>
        </is>
      </c>
      <c r="C12" s="12" t="inlineStr">
        <is>
          <t>原味大包</t>
        </is>
      </c>
      <c r="D12" s="12" t="inlineStr">
        <is>
          <t>indomie印尼进口营多原味大大包129g捞面方便面速食食品宵夜小吃</t>
        </is>
      </c>
      <c r="E12" s="11" t="n">
        <v>-128</v>
      </c>
      <c r="F12" s="11" t="n">
        <v>-174</v>
      </c>
      <c r="G12" s="11" t="n">
        <v>-46</v>
      </c>
    </row>
    <row r="13">
      <c r="A13" s="13" t="n">
        <v>9</v>
      </c>
      <c r="B13" s="16" t="inlineStr">
        <is>
          <t>648604228786</t>
        </is>
      </c>
      <c r="C13" s="16" t="inlineStr">
        <is>
          <t>杯面混搭</t>
        </is>
      </c>
      <c r="D13" s="16" t="inlineStr">
        <is>
          <t>INDOMIE营多日式杯面原味经典泡面整箱批发速食宿舍旅行宵夜宿舍</t>
        </is>
      </c>
      <c r="E13" s="14" t="n">
        <v>16</v>
      </c>
      <c r="F13" s="15" t="n">
        <v>-15</v>
      </c>
      <c r="G13" s="15" t="n">
        <v>-31</v>
      </c>
    </row>
    <row r="14">
      <c r="A14" s="9" t="n">
        <v>10</v>
      </c>
      <c r="B14" s="12" t="inlineStr">
        <is>
          <t>735014804839</t>
        </is>
      </c>
      <c r="C14" s="12" t="inlineStr">
        <is>
          <t>24/30包</t>
        </is>
      </c>
      <c r="D14" s="12" t="inlineStr">
        <is>
          <t>进口营多捞面多口味Indomie网红方便面干拌面泡面30包整箱批发面</t>
        </is>
      </c>
      <c r="E14" s="10" t="n">
        <v>108</v>
      </c>
      <c r="F14" s="10" t="n">
        <v>79</v>
      </c>
      <c r="G14" s="11" t="n">
        <v>-29</v>
      </c>
    </row>
    <row r="17">
      <c r="A17" s="29" t="inlineStr">
        <is>
          <t>改善 TOP5（变化为正，对冲回落）</t>
        </is>
      </c>
    </row>
    <row r="18">
      <c r="A18" s="25" t="inlineStr">
        <is>
          <t>排名</t>
        </is>
      </c>
      <c r="B18" s="25" t="inlineStr">
        <is>
          <t>商品ID</t>
        </is>
      </c>
      <c r="C18" s="25" t="inlineStr">
        <is>
          <t>定位</t>
        </is>
      </c>
      <c r="D18" s="25" t="inlineStr">
        <is>
          <t>商品名称</t>
        </is>
      </c>
      <c r="E18" s="25" t="inlineStr">
        <is>
          <t>7.6-7.12</t>
        </is>
      </c>
      <c r="F18" s="25" t="inlineStr">
        <is>
          <t>7.13-7.19</t>
        </is>
      </c>
      <c r="G18" s="25" t="inlineStr">
        <is>
          <t>变化</t>
        </is>
      </c>
    </row>
    <row r="19">
      <c r="A19" s="13" t="n">
        <v>1</v>
      </c>
      <c r="B19" s="16" t="inlineStr">
        <is>
          <t>649361890551</t>
        </is>
      </c>
      <c r="C19" s="16" t="inlineStr">
        <is>
          <t>袋面次链接</t>
        </is>
      </c>
      <c r="D19" s="16" t="inlineStr">
        <is>
          <t>营多捞面印尼进口Indomie网红夜宵早餐方便面火鸡面泡面拌面</t>
        </is>
      </c>
      <c r="E19" s="15" t="n">
        <v>-1808</v>
      </c>
      <c r="F19" s="15" t="n">
        <v>-1447</v>
      </c>
      <c r="G19" s="14" t="n">
        <v>361</v>
      </c>
    </row>
    <row r="20">
      <c r="A20" s="9" t="n">
        <v>2</v>
      </c>
      <c r="B20" s="12" t="inlineStr">
        <is>
          <t>649735171438</t>
        </is>
      </c>
      <c r="C20" s="12" t="inlineStr">
        <is>
          <t>杯面主链接</t>
        </is>
      </c>
      <c r="D20" s="12" t="inlineStr">
        <is>
          <t>印尼进口indomie营多捞面杯面速食泡面干拌面盒桶装方便面火鸡面</t>
        </is>
      </c>
      <c r="E20" s="11" t="n">
        <v>-1024</v>
      </c>
      <c r="F20" s="11" t="n">
        <v>-963</v>
      </c>
      <c r="G20" s="10" t="n">
        <v>61</v>
      </c>
    </row>
    <row r="21">
      <c r="A21" s="13" t="n">
        <v>3</v>
      </c>
      <c r="B21" s="16" t="inlineStr">
        <is>
          <t>648681860568</t>
        </is>
      </c>
      <c r="C21" s="16" t="inlineStr">
        <is>
          <t>杯面次链接</t>
        </is>
      </c>
      <c r="D21" s="16" t="inlineStr">
        <is>
          <t>营多捞面杯装方便面泡面速食干拌面原味整箱批发印尼进口桶装拌面</t>
        </is>
      </c>
      <c r="E21" s="15" t="n">
        <v>-160</v>
      </c>
      <c r="F21" s="15" t="n">
        <v>-100</v>
      </c>
      <c r="G21" s="14" t="n">
        <v>60</v>
      </c>
    </row>
    <row r="22">
      <c r="A22" s="9" t="n">
        <v>4</v>
      </c>
      <c r="B22" s="12" t="inlineStr">
        <is>
          <t>971242260371</t>
        </is>
      </c>
      <c r="C22" s="12" t="inlineStr">
        <is>
          <t>韩式袋面</t>
        </is>
      </c>
      <c r="D22" s="12" t="inlineStr">
        <is>
          <t>新品营多捞面韩式辣蘑菇汤面泡面方便面速食干拌面宿舍宵夜旅行</t>
        </is>
      </c>
      <c r="E22" s="11" t="n">
        <v>-60</v>
      </c>
      <c r="F22" s="11" t="n">
        <v>-21</v>
      </c>
      <c r="G22" s="10" t="n">
        <v>39</v>
      </c>
    </row>
    <row r="23">
      <c r="A23" s="13" t="n">
        <v>5</v>
      </c>
      <c r="B23" s="16" t="inlineStr">
        <is>
          <t>1058280415678</t>
        </is>
      </c>
      <c r="C23" s="16" t="inlineStr">
        <is>
          <t>原味大包</t>
        </is>
      </c>
      <c r="D23" s="16" t="inlineStr">
        <is>
          <t>印尼进口大大包营多原味捞面5包干拌面速食超大包方便面速食宵夜</t>
        </is>
      </c>
      <c r="E23" s="14" t="n">
        <v>29</v>
      </c>
      <c r="F23" s="14" t="n">
        <v>52</v>
      </c>
      <c r="G23" s="14" t="n">
        <v>23</v>
      </c>
    </row>
  </sheetData>
  <mergeCells count="1">
    <mergeCell ref="A1:G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0"/>
  <sheetViews>
    <sheetView workbookViewId="0">
      <pane ySplit="16" topLeftCell="A17" activePane="bottomLeft" state="frozen"/>
      <selection pane="bottomLeft" activeCell="A1" sqref="A1"/>
    </sheetView>
  </sheetViews>
  <sheetFormatPr baseColWidth="8" defaultRowHeight="15"/>
  <cols>
    <col width="12" customWidth="1" min="1" max="1"/>
    <col width="16" customWidth="1" min="2" max="2"/>
    <col width="12" customWidth="1" min="3" max="3"/>
    <col width="56" customWidth="1" min="4" max="4"/>
    <col width="12" customWidth="1" min="5" max="5"/>
    <col width="14" customWidth="1" min="6" max="6"/>
    <col width="14" customWidth="1" min="7" max="7"/>
    <col width="12" customWidth="1" min="8" max="8"/>
  </cols>
  <sheetData>
    <row r="1" ht="28" customHeight="1">
      <c r="A1" s="27" t="inlineStr">
        <is>
          <t>原味大大包专题：利润补充 vs 推广后表现</t>
        </is>
      </c>
    </row>
    <row r="3">
      <c r="A3" s="29" t="inlineStr">
        <is>
          <t>汇总：大大相关链接按周</t>
        </is>
      </c>
    </row>
    <row r="4">
      <c r="A4" s="25" t="inlineStr">
        <is>
          <t>周次</t>
        </is>
      </c>
      <c r="B4" s="25" t="inlineStr">
        <is>
          <t>成交金额</t>
        </is>
      </c>
      <c r="C4" s="25" t="inlineStr">
        <is>
          <t>推广前净利润</t>
        </is>
      </c>
      <c r="D4" s="25" t="inlineStr">
        <is>
          <t>推广花费</t>
        </is>
      </c>
      <c r="E4" s="25" t="inlineStr">
        <is>
          <t>推广后净利润</t>
        </is>
      </c>
      <c r="F4" s="25" t="inlineStr">
        <is>
          <t>推广侵蚀</t>
        </is>
      </c>
      <c r="G4" s="25" t="inlineStr">
        <is>
          <t>链接数</t>
        </is>
      </c>
    </row>
    <row r="5">
      <c r="A5" s="13" t="inlineStr">
        <is>
          <t>6.22-6.28</t>
        </is>
      </c>
      <c r="B5" s="14" t="n">
        <v>1529</v>
      </c>
      <c r="C5" s="14" t="n">
        <v>318</v>
      </c>
      <c r="D5" s="14" t="n">
        <v>184</v>
      </c>
      <c r="E5" s="14" t="n">
        <v>110</v>
      </c>
      <c r="F5" s="14" t="n">
        <v>208</v>
      </c>
      <c r="G5" s="16" t="n">
        <v>2</v>
      </c>
    </row>
    <row r="6">
      <c r="A6" s="9" t="inlineStr">
        <is>
          <t>6.29-7.5</t>
        </is>
      </c>
      <c r="B6" s="10" t="n">
        <v>2913</v>
      </c>
      <c r="C6" s="10" t="n">
        <v>624</v>
      </c>
      <c r="D6" s="10" t="n">
        <v>614</v>
      </c>
      <c r="E6" s="11" t="n">
        <v>-10</v>
      </c>
      <c r="F6" s="10" t="n">
        <v>634</v>
      </c>
      <c r="G6" s="12" t="n">
        <v>2</v>
      </c>
    </row>
    <row r="7">
      <c r="A7" s="13" t="inlineStr">
        <is>
          <t>7.6-7.12</t>
        </is>
      </c>
      <c r="B7" s="14" t="n">
        <v>6314</v>
      </c>
      <c r="C7" s="14" t="n">
        <v>1185</v>
      </c>
      <c r="D7" s="14" t="n">
        <v>1322</v>
      </c>
      <c r="E7" s="15" t="n">
        <v>-171</v>
      </c>
      <c r="F7" s="14" t="n">
        <v>1356</v>
      </c>
      <c r="G7" s="16" t="n">
        <v>3</v>
      </c>
    </row>
    <row r="8">
      <c r="A8" s="9" t="inlineStr">
        <is>
          <t>7.13-7.19</t>
        </is>
      </c>
      <c r="B8" s="10" t="n">
        <v>5199</v>
      </c>
      <c r="C8" s="10" t="n">
        <v>867</v>
      </c>
      <c r="D8" s="10" t="n">
        <v>1010</v>
      </c>
      <c r="E8" s="11" t="n">
        <v>-196</v>
      </c>
      <c r="F8" s="10" t="n">
        <v>1063</v>
      </c>
      <c r="G8" s="12" t="n">
        <v>3</v>
      </c>
    </row>
    <row r="9">
      <c r="A9" s="13" t="inlineStr">
        <is>
          <t>7.20-8.2</t>
        </is>
      </c>
      <c r="B9" s="14" t="n">
        <v>10396</v>
      </c>
      <c r="C9" s="14" t="n">
        <v>2007</v>
      </c>
      <c r="D9" s="14" t="n">
        <v>2127</v>
      </c>
      <c r="E9" s="15" t="n">
        <v>-175</v>
      </c>
      <c r="F9" s="14" t="n">
        <v>2182</v>
      </c>
      <c r="G9" s="16" t="n">
        <v>4</v>
      </c>
    </row>
    <row r="15">
      <c r="A15" s="30" t="inlineStr">
        <is>
          <t>明细：大大相关 ID × 周</t>
        </is>
      </c>
    </row>
    <row r="16">
      <c r="A16" s="4" t="inlineStr">
        <is>
          <t>周次</t>
        </is>
      </c>
      <c r="B16" s="4" t="inlineStr">
        <is>
          <t>商品ID</t>
        </is>
      </c>
      <c r="C16" s="4" t="inlineStr">
        <is>
          <t>定位</t>
        </is>
      </c>
      <c r="D16" s="4" t="inlineStr">
        <is>
          <t>商品名称</t>
        </is>
      </c>
      <c r="E16" s="4" t="inlineStr">
        <is>
          <t>成交金额</t>
        </is>
      </c>
      <c r="F16" s="4" t="inlineStr">
        <is>
          <t>推广前净利润</t>
        </is>
      </c>
      <c r="G16" s="4" t="inlineStr">
        <is>
          <t>推广后净利润</t>
        </is>
      </c>
      <c r="H16" s="4" t="inlineStr">
        <is>
          <t>推广花费</t>
        </is>
      </c>
    </row>
    <row r="17">
      <c r="A17" s="13" t="inlineStr">
        <is>
          <t>6.22-6.28</t>
        </is>
      </c>
      <c r="B17" s="16" t="inlineStr">
        <is>
          <t>1060999732877</t>
        </is>
      </c>
      <c r="C17" s="16" t="inlineStr">
        <is>
          <t>大大</t>
        </is>
      </c>
      <c r="D17" s="16" t="inlineStr">
        <is>
          <t>indomie印尼进口营多原味大大包129g捞面方便面速食食品宵夜小吃</t>
        </is>
      </c>
      <c r="E17" s="14" t="n">
        <v>322</v>
      </c>
      <c r="F17" s="14" t="n">
        <v>64</v>
      </c>
      <c r="G17" s="14" t="n">
        <v>31</v>
      </c>
      <c r="H17" s="14" t="n">
        <v>27</v>
      </c>
    </row>
    <row r="18">
      <c r="A18" s="9" t="inlineStr">
        <is>
          <t>6.22-6.28</t>
        </is>
      </c>
      <c r="B18" s="12" t="inlineStr">
        <is>
          <t>1058280415678</t>
        </is>
      </c>
      <c r="C18" s="12" t="inlineStr">
        <is>
          <t>大大</t>
        </is>
      </c>
      <c r="D18" s="12" t="inlineStr">
        <is>
          <t>印尼进口大大包营多原味捞面5包干拌面速食超大包方便面速食宵夜</t>
        </is>
      </c>
      <c r="E18" s="10" t="n">
        <v>1207</v>
      </c>
      <c r="F18" s="10" t="n">
        <v>254</v>
      </c>
      <c r="G18" s="10" t="n">
        <v>79</v>
      </c>
      <c r="H18" s="10" t="n">
        <v>157</v>
      </c>
    </row>
    <row r="19">
      <c r="A19" s="13" t="inlineStr">
        <is>
          <t>6.29-7.5</t>
        </is>
      </c>
      <c r="B19" s="16" t="inlineStr">
        <is>
          <t>1060999732877</t>
        </is>
      </c>
      <c r="C19" s="16" t="inlineStr">
        <is>
          <t>原味大包</t>
        </is>
      </c>
      <c r="D19" s="16" t="inlineStr">
        <is>
          <t>indomie印尼进口营多原味大大包129g捞面方便面速食食品宵夜小吃</t>
        </is>
      </c>
      <c r="E19" s="14" t="n">
        <v>1326</v>
      </c>
      <c r="F19" s="14" t="n">
        <v>286</v>
      </c>
      <c r="G19" s="15" t="n">
        <v>-28</v>
      </c>
      <c r="H19" s="14" t="n">
        <v>308</v>
      </c>
    </row>
    <row r="20">
      <c r="A20" s="9" t="inlineStr">
        <is>
          <t>6.29-7.5</t>
        </is>
      </c>
      <c r="B20" s="12" t="inlineStr">
        <is>
          <t>1058280415678</t>
        </is>
      </c>
      <c r="C20" s="12" t="inlineStr">
        <is>
          <t>原味大包</t>
        </is>
      </c>
      <c r="D20" s="12" t="inlineStr">
        <is>
          <t>印尼进口大大包营多原味捞面5包干拌面速食超大包方便面速食宵夜</t>
        </is>
      </c>
      <c r="E20" s="10" t="n">
        <v>1587</v>
      </c>
      <c r="F20" s="10" t="n">
        <v>338</v>
      </c>
      <c r="G20" s="10" t="n">
        <v>18</v>
      </c>
      <c r="H20" s="10" t="n">
        <v>306</v>
      </c>
    </row>
    <row r="21">
      <c r="A21" s="13" t="inlineStr">
        <is>
          <t>7.6-7.12</t>
        </is>
      </c>
      <c r="B21" s="16" t="inlineStr">
        <is>
          <t>648681860568</t>
        </is>
      </c>
      <c r="C21" s="16" t="inlineStr">
        <is>
          <t>原味大包</t>
        </is>
      </c>
      <c r="D21" s="16" t="inlineStr">
        <is>
          <t>indomie印尼进口营多原味大大包129g捞面方便面速食食品宵夜小吃</t>
        </is>
      </c>
      <c r="E21" s="14" t="n">
        <v>1204</v>
      </c>
      <c r="F21" s="14" t="n">
        <v>124</v>
      </c>
      <c r="G21" s="15" t="n">
        <v>-160</v>
      </c>
      <c r="H21" s="14" t="n">
        <v>277</v>
      </c>
    </row>
    <row r="22">
      <c r="A22" s="9" t="inlineStr">
        <is>
          <t>7.6-7.12</t>
        </is>
      </c>
      <c r="B22" s="12" t="inlineStr">
        <is>
          <t>1060999732877</t>
        </is>
      </c>
      <c r="C22" s="12" t="inlineStr">
        <is>
          <t>原味大包</t>
        </is>
      </c>
      <c r="D22" s="12" t="inlineStr">
        <is>
          <t>印尼进口大大包营多原味捞面5包干拌面速食超大包方便面速食宵夜</t>
        </is>
      </c>
      <c r="E22" s="10" t="n">
        <v>1999</v>
      </c>
      <c r="F22" s="10" t="n">
        <v>424</v>
      </c>
      <c r="G22" s="11" t="n">
        <v>-40</v>
      </c>
      <c r="H22" s="10" t="n">
        <v>458</v>
      </c>
    </row>
    <row r="23">
      <c r="A23" s="13" t="inlineStr">
        <is>
          <t>7.6-7.12</t>
        </is>
      </c>
      <c r="B23" s="16" t="inlineStr">
        <is>
          <t>1058280415678</t>
        </is>
      </c>
      <c r="C23" s="16" t="inlineStr">
        <is>
          <t>原味大包</t>
        </is>
      </c>
      <c r="D23" s="16" t="inlineStr">
        <is>
          <t>印尼进口大大包营多原味捞面5包干拌面速食超大包方便面速食宵夜</t>
        </is>
      </c>
      <c r="E23" s="14" t="n">
        <v>3111</v>
      </c>
      <c r="F23" s="14" t="n">
        <v>637</v>
      </c>
      <c r="G23" s="14" t="n">
        <v>29</v>
      </c>
      <c r="H23" s="14" t="n">
        <v>587</v>
      </c>
    </row>
    <row r="24">
      <c r="A24" s="9" t="inlineStr">
        <is>
          <t>7.13-7.19</t>
        </is>
      </c>
      <c r="B24" s="12" t="inlineStr">
        <is>
          <t>1059563993918</t>
        </is>
      </c>
      <c r="C24" s="12" t="inlineStr">
        <is>
          <t>原味大包</t>
        </is>
      </c>
      <c r="D24" s="12" t="inlineStr">
        <is>
          <t>indomie印尼进口营多原味大大包129g捞面方便面速食食品宵夜小吃</t>
        </is>
      </c>
      <c r="E24" s="10" t="n">
        <v>541</v>
      </c>
      <c r="F24" s="11" t="n">
        <v>-5</v>
      </c>
      <c r="G24" s="11" t="n">
        <v>-115</v>
      </c>
      <c r="H24" s="10" t="n">
        <v>94</v>
      </c>
    </row>
    <row r="25">
      <c r="A25" s="13" t="inlineStr">
        <is>
          <t>7.13-7.19</t>
        </is>
      </c>
      <c r="B25" s="16" t="inlineStr">
        <is>
          <t>1060999732877</t>
        </is>
      </c>
      <c r="C25" s="16" t="inlineStr">
        <is>
          <t>原味大包</t>
        </is>
      </c>
      <c r="D25" s="16" t="inlineStr">
        <is>
          <t>indomie印尼进口营多原味大大包129g捞面方便面速食食品宵夜小吃</t>
        </is>
      </c>
      <c r="E25" s="14" t="n">
        <v>2081</v>
      </c>
      <c r="F25" s="14" t="n">
        <v>429</v>
      </c>
      <c r="G25" s="15" t="n">
        <v>-44</v>
      </c>
      <c r="H25" s="14" t="n">
        <v>452</v>
      </c>
    </row>
    <row r="26">
      <c r="A26" s="9" t="inlineStr">
        <is>
          <t>7.13-7.19</t>
        </is>
      </c>
      <c r="B26" s="12" t="inlineStr">
        <is>
          <t>648598580775</t>
        </is>
      </c>
      <c r="C26" s="12" t="inlineStr">
        <is>
          <t>原味大包</t>
        </is>
      </c>
      <c r="D26" s="12" t="inlineStr">
        <is>
          <t>印尼进口大大包营多原味捞面5包干拌面速食超大包方便面速食宵夜</t>
        </is>
      </c>
      <c r="E26" s="10" t="n">
        <v>2577</v>
      </c>
      <c r="F26" s="10" t="n">
        <v>443</v>
      </c>
      <c r="G26" s="11" t="n">
        <v>-37</v>
      </c>
      <c r="H26" s="10" t="n">
        <v>464</v>
      </c>
    </row>
    <row r="27">
      <c r="A27" s="13" t="inlineStr">
        <is>
          <t>7.20-8.2</t>
        </is>
      </c>
      <c r="B27" s="16" t="inlineStr">
        <is>
          <t>1013887677295</t>
        </is>
      </c>
      <c r="C27" s="16" t="inlineStr">
        <is>
          <t>原味大包</t>
        </is>
      </c>
      <c r="D27" s="16" t="inlineStr">
        <is>
          <t>indomie印尼进口营多原味大大包129g捞面方便面速食食品宵夜小吃</t>
        </is>
      </c>
      <c r="E27" s="14" t="n">
        <v>1458</v>
      </c>
      <c r="F27" s="14" t="n">
        <v>158</v>
      </c>
      <c r="G27" s="15" t="n">
        <v>-147</v>
      </c>
      <c r="H27" s="14" t="n">
        <v>297</v>
      </c>
    </row>
    <row r="28">
      <c r="A28" s="9" t="inlineStr">
        <is>
          <t>7.20-8.2</t>
        </is>
      </c>
      <c r="B28" s="12" t="inlineStr">
        <is>
          <t>648598580775</t>
        </is>
      </c>
      <c r="C28" s="12" t="inlineStr">
        <is>
          <t>原味大包</t>
        </is>
      </c>
      <c r="D28" s="12" t="inlineStr">
        <is>
          <t>印尼进口大大包营多原味捞面5包干拌面速食超大包方便面速食宵夜</t>
        </is>
      </c>
      <c r="E28" s="10" t="n">
        <v>2211</v>
      </c>
      <c r="F28" s="10" t="n">
        <v>414</v>
      </c>
      <c r="G28" s="11" t="n">
        <v>-85</v>
      </c>
      <c r="H28" s="10" t="n">
        <v>497</v>
      </c>
    </row>
    <row r="29">
      <c r="A29" s="13" t="inlineStr">
        <is>
          <t>7.20-8.2</t>
        </is>
      </c>
      <c r="B29" s="16" t="inlineStr">
        <is>
          <t>1060999732877</t>
        </is>
      </c>
      <c r="C29" s="16" t="inlineStr">
        <is>
          <t>原味大包</t>
        </is>
      </c>
      <c r="D29" s="16" t="inlineStr">
        <is>
          <t>indomie印尼进口营多原味大大包129g捞面方便面速食食品宵夜小吃</t>
        </is>
      </c>
      <c r="E29" s="14" t="n">
        <v>1620</v>
      </c>
      <c r="F29" s="14" t="n">
        <v>339</v>
      </c>
      <c r="G29" s="15" t="n">
        <v>-51</v>
      </c>
      <c r="H29" s="14" t="n">
        <v>382</v>
      </c>
    </row>
    <row r="30">
      <c r="A30" s="9" t="inlineStr">
        <is>
          <t>7.20-8.2</t>
        </is>
      </c>
      <c r="B30" s="12" t="inlineStr">
        <is>
          <t>1058280415678</t>
        </is>
      </c>
      <c r="C30" s="12" t="inlineStr">
        <is>
          <t>原味大包</t>
        </is>
      </c>
      <c r="D30" s="12" t="inlineStr">
        <is>
          <t>印尼进口大大包营多原味捞面5包干拌面速食超大包方便面速食宵夜</t>
        </is>
      </c>
      <c r="E30" s="10" t="n">
        <v>5107</v>
      </c>
      <c r="F30" s="10" t="n">
        <v>1096</v>
      </c>
      <c r="G30" s="10" t="n">
        <v>108</v>
      </c>
      <c r="H30" s="10" t="n">
        <v>951</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6" customWidth="1" min="3" max="3"/>
    <col width="12" customWidth="1" min="4" max="4"/>
    <col width="56" customWidth="1" min="5" max="5"/>
    <col width="16" customWidth="1" min="6" max="6"/>
    <col width="12" customWidth="1" min="7" max="7"/>
    <col width="16" customWidth="1" min="8" max="8"/>
  </cols>
  <sheetData>
    <row r="1" ht="28" customHeight="1">
      <c r="A1" s="27" t="inlineStr">
        <is>
          <t>各周亏损最大的前5个ID（看绝对亏损结构）</t>
        </is>
      </c>
    </row>
    <row r="3">
      <c r="A3" s="4" t="inlineStr">
        <is>
          <t>周次</t>
        </is>
      </c>
      <c r="B3" s="4" t="inlineStr">
        <is>
          <t>排名</t>
        </is>
      </c>
      <c r="C3" s="4" t="inlineStr">
        <is>
          <t>商品ID</t>
        </is>
      </c>
      <c r="D3" s="4" t="inlineStr">
        <is>
          <t>定位</t>
        </is>
      </c>
      <c r="E3" s="4" t="inlineStr">
        <is>
          <t>商品名称</t>
        </is>
      </c>
      <c r="F3" s="4" t="inlineStr">
        <is>
          <t>净利润(推广后)</t>
        </is>
      </c>
      <c r="G3" s="4" t="inlineStr">
        <is>
          <t>成交金额</t>
        </is>
      </c>
      <c r="H3" s="4" t="inlineStr">
        <is>
          <t>占当周总净利%</t>
        </is>
      </c>
    </row>
    <row r="4">
      <c r="A4" s="17" t="inlineStr">
        <is>
          <t>5.11-5.17</t>
        </is>
      </c>
      <c r="B4" s="20" t="n">
        <v>1</v>
      </c>
      <c r="C4" s="20" t="inlineStr">
        <is>
          <t>649361890551</t>
        </is>
      </c>
      <c r="D4" s="20" t="inlineStr">
        <is>
          <t>袋面次链接</t>
        </is>
      </c>
      <c r="E4" s="20" t="inlineStr">
        <is>
          <t>营多捞面印尼进口Indomie网红夜宵早餐方便面火鸡面泡面拌面</t>
        </is>
      </c>
      <c r="F4" s="19" t="n">
        <v>-3173</v>
      </c>
      <c r="G4" s="18" t="n">
        <v>28857</v>
      </c>
      <c r="H4" s="31" t="n">
        <v>50.3</v>
      </c>
    </row>
    <row r="5">
      <c r="A5" s="13" t="inlineStr">
        <is>
          <t>5.11-5.17</t>
        </is>
      </c>
      <c r="B5" s="16" t="n">
        <v>2</v>
      </c>
      <c r="C5" s="16" t="inlineStr">
        <is>
          <t>668566625747</t>
        </is>
      </c>
      <c r="D5" s="16" t="inlineStr">
        <is>
          <t>袋面主链接</t>
        </is>
      </c>
      <c r="E5" s="16" t="inlineStr">
        <is>
          <t>印尼营多捞面进口网红泡面袋装方便面速食食品拉面火鸡面拌面整箱</t>
        </is>
      </c>
      <c r="F5" s="15" t="n">
        <v>-1370</v>
      </c>
      <c r="G5" s="14" t="n">
        <v>31186</v>
      </c>
      <c r="H5" s="32" t="n">
        <v>21.7</v>
      </c>
    </row>
    <row r="6">
      <c r="A6" s="9" t="inlineStr">
        <is>
          <t>5.11-5.17</t>
        </is>
      </c>
      <c r="B6" s="12" t="n">
        <v>3</v>
      </c>
      <c r="C6" s="12" t="inlineStr">
        <is>
          <t>649735171438</t>
        </is>
      </c>
      <c r="D6" s="12" t="inlineStr">
        <is>
          <t>杯面主链接</t>
        </is>
      </c>
      <c r="E6" s="12" t="inlineStr">
        <is>
          <t>印尼进口indomie营多捞面杯面速食泡面干拌面盒桶装方便面火鸡面</t>
        </is>
      </c>
      <c r="F6" s="11" t="n">
        <v>-1160</v>
      </c>
      <c r="G6" s="10" t="n">
        <v>20500</v>
      </c>
      <c r="H6" s="33" t="n">
        <v>18.4</v>
      </c>
    </row>
    <row r="7">
      <c r="A7" s="13" t="inlineStr">
        <is>
          <t>5.11-5.17</t>
        </is>
      </c>
      <c r="B7" s="16" t="n">
        <v>4</v>
      </c>
      <c r="C7" s="16" t="inlineStr">
        <is>
          <t>937005385662</t>
        </is>
      </c>
      <c r="D7" s="16" t="inlineStr">
        <is>
          <t>日式袋面</t>
        </is>
      </c>
      <c r="E7" s="16" t="inlineStr">
        <is>
          <t>进口营多正品捞面日式鸡肉鸡汤辛辣味袋装泡面辣味速食方便面汤面</t>
        </is>
      </c>
      <c r="F7" s="15" t="n">
        <v>-109</v>
      </c>
      <c r="G7" s="14" t="n">
        <v>425</v>
      </c>
      <c r="H7" s="32" t="n">
        <v>1.7</v>
      </c>
    </row>
    <row r="8">
      <c r="A8" s="9" t="inlineStr">
        <is>
          <t>5.11-5.17</t>
        </is>
      </c>
      <c r="B8" s="12" t="n">
        <v>5</v>
      </c>
      <c r="C8" s="12" t="inlineStr">
        <is>
          <t>976479938842</t>
        </is>
      </c>
      <c r="D8" s="12" t="inlineStr">
        <is>
          <t>【U选】原味5</t>
        </is>
      </c>
      <c r="E8" s="12" t="inlineStr">
        <is>
          <t>【天猫U选】indomie营多大骨牛肉味捞面拌面5包</t>
        </is>
      </c>
      <c r="F8" s="11" t="n">
        <v>-93</v>
      </c>
      <c r="G8" s="10" t="n">
        <v>145</v>
      </c>
      <c r="H8" s="33" t="n">
        <v>1.5</v>
      </c>
    </row>
    <row r="9">
      <c r="A9" s="17" t="inlineStr">
        <is>
          <t>5.25-5.31</t>
        </is>
      </c>
      <c r="B9" s="20" t="n">
        <v>1</v>
      </c>
      <c r="C9" s="20" t="inlineStr">
        <is>
          <t>649361890551</t>
        </is>
      </c>
      <c r="D9" s="20" t="inlineStr">
        <is>
          <t>袋面次链接</t>
        </is>
      </c>
      <c r="E9" s="20" t="inlineStr">
        <is>
          <t>营多捞面印尼进口Indomie网红夜宵早餐方便面火鸡面泡面拌面</t>
        </is>
      </c>
      <c r="F9" s="19" t="n">
        <v>-2546</v>
      </c>
      <c r="G9" s="18" t="n">
        <v>21166</v>
      </c>
      <c r="H9" s="31" t="n">
        <v>39.1</v>
      </c>
    </row>
    <row r="10">
      <c r="A10" s="9" t="inlineStr">
        <is>
          <t>5.25-5.31</t>
        </is>
      </c>
      <c r="B10" s="12" t="n">
        <v>2</v>
      </c>
      <c r="C10" s="12" t="inlineStr">
        <is>
          <t>668566625747</t>
        </is>
      </c>
      <c r="D10" s="12" t="inlineStr">
        <is>
          <t>袋面主链接</t>
        </is>
      </c>
      <c r="E10" s="12" t="inlineStr">
        <is>
          <t>印尼营多捞面进口网红泡面袋装方便面速食食品拉面火鸡面拌面整箱</t>
        </is>
      </c>
      <c r="F10" s="11" t="n">
        <v>-2056</v>
      </c>
      <c r="G10" s="10" t="n">
        <v>44845</v>
      </c>
      <c r="H10" s="33" t="n">
        <v>31.5</v>
      </c>
    </row>
    <row r="11">
      <c r="A11" s="13" t="inlineStr">
        <is>
          <t>5.25-5.31</t>
        </is>
      </c>
      <c r="B11" s="16" t="n">
        <v>3</v>
      </c>
      <c r="C11" s="16" t="inlineStr">
        <is>
          <t>649735171438</t>
        </is>
      </c>
      <c r="D11" s="16" t="inlineStr">
        <is>
          <t>杯面主链接</t>
        </is>
      </c>
      <c r="E11" s="16" t="inlineStr">
        <is>
          <t>印尼进口indomie营多捞面杯面速食泡面干拌面盒桶装方便面火鸡面</t>
        </is>
      </c>
      <c r="F11" s="15" t="n">
        <v>-1292</v>
      </c>
      <c r="G11" s="14" t="n">
        <v>20489</v>
      </c>
      <c r="H11" s="32" t="n">
        <v>19.8</v>
      </c>
    </row>
    <row r="12">
      <c r="A12" s="9" t="inlineStr">
        <is>
          <t>5.25-5.31</t>
        </is>
      </c>
      <c r="B12" s="12" t="n">
        <v>4</v>
      </c>
      <c r="C12" s="12" t="inlineStr">
        <is>
          <t>1013887677295</t>
        </is>
      </c>
      <c r="D12" s="12" t="inlineStr">
        <is>
          <t>混搭5杯</t>
        </is>
      </c>
      <c r="E12" s="12" t="inlineStr">
        <is>
          <t>进口营多原味杯面日式杯面韩式杯面泡面方便面汤面宿舍速食夜宵</t>
        </is>
      </c>
      <c r="F12" s="11" t="n">
        <v>-148</v>
      </c>
      <c r="G12" s="10" t="n">
        <v>605</v>
      </c>
      <c r="H12" s="33" t="n">
        <v>2.3</v>
      </c>
    </row>
    <row r="13">
      <c r="A13" s="13" t="inlineStr">
        <is>
          <t>5.25-5.31</t>
        </is>
      </c>
      <c r="B13" s="16" t="n">
        <v>5</v>
      </c>
      <c r="C13" s="16" t="inlineStr">
        <is>
          <t>649014937782</t>
        </is>
      </c>
      <c r="D13" s="16" t="inlineStr">
        <is>
          <t>24包</t>
        </is>
      </c>
      <c r="E13" s="16" t="inlineStr">
        <is>
          <t>印尼营多捞面干拌面一整箱24袋装批发泡面宿舍速食方便面火鸡面</t>
        </is>
      </c>
      <c r="F13" s="15" t="n">
        <v>-145</v>
      </c>
      <c r="G13" s="14" t="n">
        <v>7569</v>
      </c>
      <c r="H13" s="32" t="n">
        <v>2.2</v>
      </c>
    </row>
    <row r="14">
      <c r="A14" s="17" t="inlineStr">
        <is>
          <t>6.15-6.21</t>
        </is>
      </c>
      <c r="B14" s="20" t="n">
        <v>1</v>
      </c>
      <c r="C14" s="20" t="inlineStr">
        <is>
          <t>649361890551</t>
        </is>
      </c>
      <c r="D14" s="20" t="inlineStr">
        <is>
          <t>袋面次链接</t>
        </is>
      </c>
      <c r="E14" s="20" t="inlineStr">
        <is>
          <t>营多捞面印尼进口Indomie网红夜宵早餐方便面火鸡面泡面拌面</t>
        </is>
      </c>
      <c r="F14" s="19" t="n">
        <v>-3313</v>
      </c>
      <c r="G14" s="18" t="n">
        <v>24398</v>
      </c>
      <c r="H14" s="31" t="n">
        <v>50</v>
      </c>
    </row>
    <row r="15">
      <c r="A15" s="13" t="inlineStr">
        <is>
          <t>6.15-6.21</t>
        </is>
      </c>
      <c r="B15" s="16" t="n">
        <v>2</v>
      </c>
      <c r="C15" s="16" t="inlineStr">
        <is>
          <t>649735171438</t>
        </is>
      </c>
      <c r="D15" s="16" t="inlineStr">
        <is>
          <t>杯面主链接</t>
        </is>
      </c>
      <c r="E15" s="16" t="inlineStr">
        <is>
          <t>印尼进口indomie营多捞面杯面速食泡面干拌面盒桶装方便面火鸡面</t>
        </is>
      </c>
      <c r="F15" s="15" t="n">
        <v>-1523</v>
      </c>
      <c r="G15" s="14" t="n">
        <v>13688</v>
      </c>
      <c r="H15" s="32" t="n">
        <v>23</v>
      </c>
    </row>
    <row r="16">
      <c r="A16" s="9" t="inlineStr">
        <is>
          <t>6.15-6.21</t>
        </is>
      </c>
      <c r="B16" s="12" t="n">
        <v>3</v>
      </c>
      <c r="C16" s="12" t="inlineStr">
        <is>
          <t>668566625747</t>
        </is>
      </c>
      <c r="D16" s="12" t="inlineStr">
        <is>
          <t>袋面主链接</t>
        </is>
      </c>
      <c r="E16" s="12" t="inlineStr">
        <is>
          <t>印尼营多捞面进口网红泡面袋装方便面速食食品拉面火鸡面拌面整箱</t>
        </is>
      </c>
      <c r="F16" s="11" t="n">
        <v>-950</v>
      </c>
      <c r="G16" s="10" t="n">
        <v>30426</v>
      </c>
      <c r="H16" s="33" t="n">
        <v>14.3</v>
      </c>
    </row>
    <row r="17">
      <c r="A17" s="13" t="inlineStr">
        <is>
          <t>6.15-6.21</t>
        </is>
      </c>
      <c r="B17" s="16" t="n">
        <v>4</v>
      </c>
      <c r="C17" s="16" t="inlineStr">
        <is>
          <t>929504658691</t>
        </is>
      </c>
      <c r="D17" s="16" t="inlineStr">
        <is>
          <t>日式袋面</t>
        </is>
      </c>
      <c r="E17" s="16" t="inlineStr">
        <is>
          <t>营多捞面日式鸡肉汤面原味辛辣味袋装泡面方便面速食宿舍夜宵食品</t>
        </is>
      </c>
      <c r="F17" s="15" t="n">
        <v>-326</v>
      </c>
      <c r="G17" s="14" t="n">
        <v>1236</v>
      </c>
      <c r="H17" s="32" t="n">
        <v>4.9</v>
      </c>
    </row>
    <row r="18">
      <c r="A18" s="9" t="inlineStr">
        <is>
          <t>6.15-6.21</t>
        </is>
      </c>
      <c r="B18" s="12" t="n">
        <v>5</v>
      </c>
      <c r="C18" s="12" t="inlineStr">
        <is>
          <t>648600900806</t>
        </is>
      </c>
      <c r="D18" s="12" t="inlineStr">
        <is>
          <t>30包</t>
        </is>
      </c>
      <c r="E18" s="12" t="inlineStr">
        <is>
          <t>进口营多捞面一整箱30包网红速食方便面宿舍速食泡面干拌面拉面</t>
        </is>
      </c>
      <c r="F18" s="11" t="n">
        <v>-187</v>
      </c>
      <c r="G18" s="10" t="n">
        <v>9519</v>
      </c>
      <c r="H18" s="33" t="n">
        <v>2.8</v>
      </c>
    </row>
    <row r="19">
      <c r="A19" s="17" t="inlineStr">
        <is>
          <t>6.22-6.28</t>
        </is>
      </c>
      <c r="B19" s="20" t="n">
        <v>1</v>
      </c>
      <c r="C19" s="20" t="inlineStr">
        <is>
          <t>649361890551</t>
        </is>
      </c>
      <c r="D19" s="20" t="inlineStr">
        <is>
          <t>袋面次链接</t>
        </is>
      </c>
      <c r="E19" s="20" t="inlineStr">
        <is>
          <t>营多捞面印尼进口Indomie网红夜宵早餐方便面火鸡面泡面拌面</t>
        </is>
      </c>
      <c r="F19" s="19" t="n">
        <v>-2104</v>
      </c>
      <c r="G19" s="18" t="n">
        <v>16506</v>
      </c>
      <c r="H19" s="31" t="n">
        <v>33.2</v>
      </c>
    </row>
    <row r="20">
      <c r="A20" s="9" t="inlineStr">
        <is>
          <t>6.22-6.28</t>
        </is>
      </c>
      <c r="B20" s="12" t="n">
        <v>2</v>
      </c>
      <c r="C20" s="12" t="inlineStr">
        <is>
          <t>649735171438</t>
        </is>
      </c>
      <c r="D20" s="12" t="inlineStr">
        <is>
          <t>杯面主链接</t>
        </is>
      </c>
      <c r="E20" s="12" t="inlineStr">
        <is>
          <t>印尼进口indomie营多捞面杯面速食泡面干拌面盒桶装方便面火鸡面</t>
        </is>
      </c>
      <c r="F20" s="11" t="n">
        <v>-1456</v>
      </c>
      <c r="G20" s="10" t="n">
        <v>14641</v>
      </c>
      <c r="H20" s="33" t="n">
        <v>23</v>
      </c>
    </row>
    <row r="21">
      <c r="A21" s="13" t="inlineStr">
        <is>
          <t>6.22-6.28</t>
        </is>
      </c>
      <c r="B21" s="16" t="n">
        <v>3</v>
      </c>
      <c r="C21" s="16" t="inlineStr">
        <is>
          <t>668566625747</t>
        </is>
      </c>
      <c r="D21" s="16" t="inlineStr">
        <is>
          <t>袋面主链接</t>
        </is>
      </c>
      <c r="E21" s="16" t="inlineStr">
        <is>
          <t>印尼营多捞面进口网红泡面袋装方便面速食食品拉面火鸡面拌面整箱</t>
        </is>
      </c>
      <c r="F21" s="15" t="n">
        <v>-1396</v>
      </c>
      <c r="G21" s="14" t="n">
        <v>25765</v>
      </c>
      <c r="H21" s="32" t="n">
        <v>22</v>
      </c>
    </row>
    <row r="22">
      <c r="A22" s="9" t="inlineStr">
        <is>
          <t>6.22-6.28</t>
        </is>
      </c>
      <c r="B22" s="12" t="n">
        <v>4</v>
      </c>
      <c r="C22" s="12" t="inlineStr">
        <is>
          <t>929504658691</t>
        </is>
      </c>
      <c r="D22" s="12" t="inlineStr">
        <is>
          <t>日韩袋面</t>
        </is>
      </c>
      <c r="E22" s="12" t="inlineStr">
        <is>
          <t>营多捞面日式鸡肉汤面原味辛辣味袋装泡面方便面速食宿舍夜宵食品</t>
        </is>
      </c>
      <c r="F22" s="11" t="n">
        <v>-312</v>
      </c>
      <c r="G22" s="10" t="n">
        <v>682</v>
      </c>
      <c r="H22" s="33" t="n">
        <v>4.9</v>
      </c>
    </row>
    <row r="23">
      <c r="A23" s="13" t="inlineStr">
        <is>
          <t>6.22-6.28</t>
        </is>
      </c>
      <c r="B23" s="16" t="n">
        <v>5</v>
      </c>
      <c r="C23" s="16" t="inlineStr">
        <is>
          <t>648600900806</t>
        </is>
      </c>
      <c r="D23" s="16" t="inlineStr">
        <is>
          <t>30包</t>
        </is>
      </c>
      <c r="E23" s="16" t="inlineStr">
        <is>
          <t>进口营多捞面一整箱30包网红速食方便面宿舍速食泡面干拌面拉面</t>
        </is>
      </c>
      <c r="F23" s="15" t="n">
        <v>-257</v>
      </c>
      <c r="G23" s="14" t="n">
        <v>8217</v>
      </c>
      <c r="H23" s="32" t="n">
        <v>4.1</v>
      </c>
    </row>
    <row r="24">
      <c r="A24" s="17" t="inlineStr">
        <is>
          <t>6.29-7.5</t>
        </is>
      </c>
      <c r="B24" s="20" t="n">
        <v>1</v>
      </c>
      <c r="C24" s="20" t="inlineStr">
        <is>
          <t>649361890551</t>
        </is>
      </c>
      <c r="D24" s="20" t="inlineStr">
        <is>
          <t>袋面次链接</t>
        </is>
      </c>
      <c r="E24" s="20" t="inlineStr">
        <is>
          <t>营多捞面印尼进口Indomie网红夜宵早餐方便面火鸡面泡面拌面</t>
        </is>
      </c>
      <c r="F24" s="19" t="n">
        <v>-1690</v>
      </c>
      <c r="G24" s="18" t="n">
        <v>18111</v>
      </c>
      <c r="H24" s="31" t="n">
        <v>32.3</v>
      </c>
    </row>
    <row r="25">
      <c r="A25" s="13" t="inlineStr">
        <is>
          <t>6.29-7.5</t>
        </is>
      </c>
      <c r="B25" s="16" t="n">
        <v>2</v>
      </c>
      <c r="C25" s="16" t="inlineStr">
        <is>
          <t>649735171438</t>
        </is>
      </c>
      <c r="D25" s="16" t="inlineStr">
        <is>
          <t>杯面主链接</t>
        </is>
      </c>
      <c r="E25" s="16" t="inlineStr">
        <is>
          <t>印尼进口indomie营多捞面杯面速食泡面干拌面盒桶装方便面火鸡面</t>
        </is>
      </c>
      <c r="F25" s="15" t="n">
        <v>-1143</v>
      </c>
      <c r="G25" s="14" t="n">
        <v>14324</v>
      </c>
      <c r="H25" s="32" t="n">
        <v>21.9</v>
      </c>
    </row>
    <row r="26">
      <c r="A26" s="9" t="inlineStr">
        <is>
          <t>6.29-7.5</t>
        </is>
      </c>
      <c r="B26" s="12" t="n">
        <v>3</v>
      </c>
      <c r="C26" s="12" t="inlineStr">
        <is>
          <t>668566625747</t>
        </is>
      </c>
      <c r="D26" s="12" t="inlineStr">
        <is>
          <t>袋面主链接</t>
        </is>
      </c>
      <c r="E26" s="12" t="inlineStr">
        <is>
          <t>印尼营多捞面进口网红泡面袋装方便面速食食品拉面火鸡面拌面整箱</t>
        </is>
      </c>
      <c r="F26" s="11" t="n">
        <v>-1032</v>
      </c>
      <c r="G26" s="10" t="n">
        <v>26236</v>
      </c>
      <c r="H26" s="33" t="n">
        <v>19.7</v>
      </c>
    </row>
    <row r="27">
      <c r="A27" s="13" t="inlineStr">
        <is>
          <t>6.29-7.5</t>
        </is>
      </c>
      <c r="B27" s="16" t="n">
        <v>4</v>
      </c>
      <c r="C27" s="16" t="inlineStr">
        <is>
          <t>1057479227624</t>
        </is>
      </c>
      <c r="D27" s="16" t="inlineStr">
        <is>
          <t>巴东牛肉</t>
        </is>
      </c>
      <c r="E27" s="16" t="inlineStr">
        <is>
          <t>【新口味】印尼进口营多捞面巴东炖牛肉味泡面方便面宿舍速食宵夜</t>
        </is>
      </c>
      <c r="F27" s="15" t="n">
        <v>-469</v>
      </c>
      <c r="G27" s="14" t="n">
        <v>1951</v>
      </c>
      <c r="H27" s="32" t="n">
        <v>9</v>
      </c>
    </row>
    <row r="28">
      <c r="A28" s="9" t="inlineStr">
        <is>
          <t>6.29-7.5</t>
        </is>
      </c>
      <c r="B28" s="12" t="n">
        <v>5</v>
      </c>
      <c r="C28" s="12" t="inlineStr">
        <is>
          <t>1059563993918</t>
        </is>
      </c>
      <c r="D28" s="12" t="inlineStr">
        <is>
          <t>巴东牛肉</t>
        </is>
      </c>
      <c r="E28" s="12" t="inlineStr">
        <is>
          <t>营多进口新口味巴东炖牛肉味捞面印尼料理方便面泡面捞面夜宵速食</t>
        </is>
      </c>
      <c r="F28" s="11" t="n">
        <v>-206</v>
      </c>
      <c r="G28" s="10" t="n">
        <v>621</v>
      </c>
      <c r="H28" s="33" t="n">
        <v>3.9</v>
      </c>
    </row>
    <row r="29">
      <c r="A29" s="17" t="inlineStr">
        <is>
          <t>7.6-7.12</t>
        </is>
      </c>
      <c r="B29" s="20" t="n">
        <v>1</v>
      </c>
      <c r="C29" s="20" t="inlineStr">
        <is>
          <t>649361890551</t>
        </is>
      </c>
      <c r="D29" s="20" t="inlineStr">
        <is>
          <t>袋面次链接</t>
        </is>
      </c>
      <c r="E29" s="20" t="inlineStr">
        <is>
          <t>营多捞面印尼进口Indomie网红夜宵早餐方便面火鸡面泡面拌面</t>
        </is>
      </c>
      <c r="F29" s="19" t="n">
        <v>-1808</v>
      </c>
      <c r="G29" s="18" t="n">
        <v>19322</v>
      </c>
      <c r="H29" s="31" t="n">
        <v>44</v>
      </c>
    </row>
    <row r="30">
      <c r="A30" s="9" t="inlineStr">
        <is>
          <t>7.6-7.12</t>
        </is>
      </c>
      <c r="B30" s="12" t="n">
        <v>2</v>
      </c>
      <c r="C30" s="12" t="inlineStr">
        <is>
          <t>649735171438</t>
        </is>
      </c>
      <c r="D30" s="12" t="inlineStr">
        <is>
          <t>杯面主链接</t>
        </is>
      </c>
      <c r="E30" s="12" t="inlineStr">
        <is>
          <t>印尼进口indomie营多捞面杯面速食泡面干拌面盒桶装方便面火鸡面</t>
        </is>
      </c>
      <c r="F30" s="11" t="n">
        <v>-1024</v>
      </c>
      <c r="G30" s="10" t="n">
        <v>16136</v>
      </c>
      <c r="H30" s="33" t="n">
        <v>24.9</v>
      </c>
    </row>
    <row r="31">
      <c r="A31" s="13" t="inlineStr">
        <is>
          <t>7.6-7.12</t>
        </is>
      </c>
      <c r="B31" s="16" t="n">
        <v>3</v>
      </c>
      <c r="C31" s="16" t="inlineStr">
        <is>
          <t>668566625747</t>
        </is>
      </c>
      <c r="D31" s="16" t="inlineStr">
        <is>
          <t>袋面主链接</t>
        </is>
      </c>
      <c r="E31" s="16" t="inlineStr">
        <is>
          <t>印尼营多捞面进口网红泡面袋装方便面速食食品拉面火鸡面拌面整箱</t>
        </is>
      </c>
      <c r="F31" s="15" t="n">
        <v>-911</v>
      </c>
      <c r="G31" s="14" t="n">
        <v>40189</v>
      </c>
      <c r="H31" s="32" t="n">
        <v>22.2</v>
      </c>
    </row>
    <row r="32">
      <c r="A32" s="9" t="inlineStr">
        <is>
          <t>7.6-7.12</t>
        </is>
      </c>
      <c r="B32" s="12" t="n">
        <v>4</v>
      </c>
      <c r="C32" s="12" t="inlineStr">
        <is>
          <t>1057479227624</t>
        </is>
      </c>
      <c r="D32" s="12" t="inlineStr">
        <is>
          <t>巴东牛肉</t>
        </is>
      </c>
      <c r="E32" s="12" t="inlineStr">
        <is>
          <t>【新口味】印尼进口营多捞面巴东炖牛肉味泡面方便面宿舍速食宵夜</t>
        </is>
      </c>
      <c r="F32" s="11" t="n">
        <v>-657</v>
      </c>
      <c r="G32" s="10" t="n">
        <v>2371</v>
      </c>
      <c r="H32" s="33" t="n">
        <v>16</v>
      </c>
    </row>
    <row r="33">
      <c r="A33" s="13" t="inlineStr">
        <is>
          <t>7.6-7.12</t>
        </is>
      </c>
      <c r="B33" s="16" t="n">
        <v>5</v>
      </c>
      <c r="C33" s="16" t="inlineStr">
        <is>
          <t>648681860568</t>
        </is>
      </c>
      <c r="D33" s="16" t="inlineStr">
        <is>
          <t>原味大包</t>
        </is>
      </c>
      <c r="E33" s="16" t="inlineStr">
        <is>
          <t>indomie印尼进口营多原味大大包129g捞面方便面速食食品宵夜小吃</t>
        </is>
      </c>
      <c r="F33" s="15" t="n">
        <v>-160</v>
      </c>
      <c r="G33" s="14" t="n">
        <v>1204</v>
      </c>
      <c r="H33" s="32" t="n">
        <v>3.9</v>
      </c>
    </row>
    <row r="34">
      <c r="A34" s="17" t="inlineStr">
        <is>
          <t>7.13-7.19</t>
        </is>
      </c>
      <c r="B34" s="20" t="n">
        <v>1</v>
      </c>
      <c r="C34" s="20" t="inlineStr">
        <is>
          <t>668566625747</t>
        </is>
      </c>
      <c r="D34" s="20" t="inlineStr">
        <is>
          <t>袋面主链接</t>
        </is>
      </c>
      <c r="E34" s="20" t="inlineStr">
        <is>
          <t>印尼营多捞面进口网红泡面袋装方便面速食食品拉面火鸡面拌面整箱</t>
        </is>
      </c>
      <c r="F34" s="19" t="n">
        <v>-1578</v>
      </c>
      <c r="G34" s="18" t="n">
        <v>36984</v>
      </c>
      <c r="H34" s="31" t="n">
        <v>30.5</v>
      </c>
    </row>
    <row r="35">
      <c r="A35" s="13" t="inlineStr">
        <is>
          <t>7.13-7.19</t>
        </is>
      </c>
      <c r="B35" s="16" t="n">
        <v>2</v>
      </c>
      <c r="C35" s="16" t="inlineStr">
        <is>
          <t>649361890551</t>
        </is>
      </c>
      <c r="D35" s="16" t="inlineStr">
        <is>
          <t>袋面次链接</t>
        </is>
      </c>
      <c r="E35" s="16" t="inlineStr">
        <is>
          <t>营多捞面印尼进口Indomie网红夜宵早餐方便面火鸡面泡面拌面</t>
        </is>
      </c>
      <c r="F35" s="15" t="n">
        <v>-1447</v>
      </c>
      <c r="G35" s="14" t="n">
        <v>14292</v>
      </c>
      <c r="H35" s="32" t="n">
        <v>27.9</v>
      </c>
    </row>
    <row r="36">
      <c r="A36" s="9" t="inlineStr">
        <is>
          <t>7.13-7.19</t>
        </is>
      </c>
      <c r="B36" s="12" t="n">
        <v>3</v>
      </c>
      <c r="C36" s="12" t="inlineStr">
        <is>
          <t>649735171438</t>
        </is>
      </c>
      <c r="D36" s="12" t="inlineStr">
        <is>
          <t>杯面主链接</t>
        </is>
      </c>
      <c r="E36" s="12" t="inlineStr">
        <is>
          <t>印尼进口indomie营多捞面杯面速食泡面干拌面盒桶装方便面火鸡面</t>
        </is>
      </c>
      <c r="F36" s="11" t="n">
        <v>-963</v>
      </c>
      <c r="G36" s="10" t="n">
        <v>13725</v>
      </c>
      <c r="H36" s="33" t="n">
        <v>18.6</v>
      </c>
    </row>
    <row r="37">
      <c r="A37" s="13" t="inlineStr">
        <is>
          <t>7.13-7.19</t>
        </is>
      </c>
      <c r="B37" s="16" t="n">
        <v>4</v>
      </c>
      <c r="C37" s="16" t="inlineStr">
        <is>
          <t>1057479227624</t>
        </is>
      </c>
      <c r="D37" s="16" t="inlineStr">
        <is>
          <t>巴东牛肉</t>
        </is>
      </c>
      <c r="E37" s="16" t="inlineStr">
        <is>
          <t>【新口味】印尼进口营多捞面巴东炖牛肉味泡面方便面宿舍速食宵夜</t>
        </is>
      </c>
      <c r="F37" s="15" t="n">
        <v>-674</v>
      </c>
      <c r="G37" s="14" t="n">
        <v>2425</v>
      </c>
      <c r="H37" s="32" t="n">
        <v>13</v>
      </c>
    </row>
    <row r="38">
      <c r="A38" s="9" t="inlineStr">
        <is>
          <t>7.13-7.19</t>
        </is>
      </c>
      <c r="B38" s="12" t="n">
        <v>5</v>
      </c>
      <c r="C38" s="12" t="inlineStr">
        <is>
          <t>648600900806</t>
        </is>
      </c>
      <c r="D38" s="12" t="inlineStr">
        <is>
          <t>30包</t>
        </is>
      </c>
      <c r="E38" s="12" t="inlineStr">
        <is>
          <t>进口营多捞面一整箱30包网红速食方便面宿舍速食泡面干拌面拉面</t>
        </is>
      </c>
      <c r="F38" s="11" t="n">
        <v>-202</v>
      </c>
      <c r="G38" s="10" t="n">
        <v>6834</v>
      </c>
      <c r="H38" s="33" t="n">
        <v>3.9</v>
      </c>
    </row>
    <row r="39">
      <c r="A39" s="17" t="inlineStr">
        <is>
          <t>7.20-8.2</t>
        </is>
      </c>
      <c r="B39" s="20" t="n">
        <v>1</v>
      </c>
      <c r="C39" s="20" t="inlineStr">
        <is>
          <t>649361890551</t>
        </is>
      </c>
      <c r="D39" s="20" t="inlineStr">
        <is>
          <t>袋面次链接</t>
        </is>
      </c>
      <c r="E39" s="20" t="inlineStr">
        <is>
          <t>营多捞面印尼进口Indomie网红夜宵早餐方便面火鸡面泡面拌面</t>
        </is>
      </c>
      <c r="F39" s="19" t="n">
        <v>-1753</v>
      </c>
      <c r="G39" s="18" t="n">
        <v>15823</v>
      </c>
      <c r="H39" s="31" t="n">
        <v>34.3</v>
      </c>
    </row>
    <row r="40">
      <c r="A40" s="9" t="inlineStr">
        <is>
          <t>7.20-8.2</t>
        </is>
      </c>
      <c r="B40" s="12" t="n">
        <v>2</v>
      </c>
      <c r="C40" s="12" t="inlineStr">
        <is>
          <t>649735171438</t>
        </is>
      </c>
      <c r="D40" s="12" t="inlineStr">
        <is>
          <t>杯面主链接</t>
        </is>
      </c>
      <c r="E40" s="12" t="inlineStr">
        <is>
          <t>印尼进口indomie营多捞面杯面速食泡面干拌面盒桶装方便面火鸡面</t>
        </is>
      </c>
      <c r="F40" s="11" t="n">
        <v>-789</v>
      </c>
      <c r="G40" s="10" t="n">
        <v>15355</v>
      </c>
      <c r="H40" s="33" t="n">
        <v>15.4</v>
      </c>
    </row>
    <row r="41">
      <c r="A41" s="13" t="inlineStr">
        <is>
          <t>7.20-8.2</t>
        </is>
      </c>
      <c r="B41" s="16" t="n">
        <v>3</v>
      </c>
      <c r="C41" s="16" t="inlineStr">
        <is>
          <t>668566625747</t>
        </is>
      </c>
      <c r="D41" s="16" t="inlineStr">
        <is>
          <t>袋面主链接</t>
        </is>
      </c>
      <c r="E41" s="16" t="inlineStr">
        <is>
          <t>印尼营多捞面进口网红泡面袋装方便面速食食品拉面火鸡面拌面整箱</t>
        </is>
      </c>
      <c r="F41" s="15" t="n">
        <v>-629</v>
      </c>
      <c r="G41" s="14" t="n">
        <v>38360</v>
      </c>
      <c r="H41" s="32" t="n">
        <v>12.3</v>
      </c>
    </row>
    <row r="42">
      <c r="A42" s="9" t="inlineStr">
        <is>
          <t>7.20-8.2</t>
        </is>
      </c>
      <c r="B42" s="12" t="n">
        <v>4</v>
      </c>
      <c r="C42" s="12" t="inlineStr">
        <is>
          <t>1057479227624</t>
        </is>
      </c>
      <c r="D42" s="12" t="inlineStr">
        <is>
          <t>巴东牛肉</t>
        </is>
      </c>
      <c r="E42" s="12" t="inlineStr">
        <is>
          <t>【新口味】印尼进口营多捞面巴东炖牛肉味泡面方便面宿舍速食宵夜</t>
        </is>
      </c>
      <c r="F42" s="11" t="n">
        <v>-612</v>
      </c>
      <c r="G42" s="10" t="n">
        <v>2736</v>
      </c>
      <c r="H42" s="33" t="n">
        <v>12</v>
      </c>
    </row>
    <row r="43">
      <c r="A43" s="13" t="inlineStr">
        <is>
          <t>7.20-8.2</t>
        </is>
      </c>
      <c r="B43" s="16" t="n">
        <v>5</v>
      </c>
      <c r="C43" s="16" t="inlineStr">
        <is>
          <t>648600900806</t>
        </is>
      </c>
      <c r="D43" s="16" t="inlineStr">
        <is>
          <t>30包</t>
        </is>
      </c>
      <c r="E43" s="16" t="inlineStr">
        <is>
          <t>进口营多捞面一整箱30包网红速食方便面宿舍速食泡面干拌面拉面</t>
        </is>
      </c>
      <c r="F43" s="15" t="n">
        <v>-488</v>
      </c>
      <c r="G43" s="14" t="n">
        <v>10398</v>
      </c>
      <c r="H43" s="32" t="n">
        <v>9.6</v>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5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4" customWidth="1" min="12" max="12"/>
  </cols>
  <sheetData>
    <row r="1" ht="28" customHeight="1">
      <c r="A1" s="27" t="inlineStr">
        <is>
          <t>全量商品ID · 每周推广后净利润明细表</t>
        </is>
      </c>
    </row>
    <row r="3">
      <c r="A3" s="4" t="inlineStr">
        <is>
          <t>商品ID</t>
        </is>
      </c>
      <c r="B3" s="4" t="inlineStr">
        <is>
          <t>定位</t>
        </is>
      </c>
      <c r="C3" s="4" t="inlineStr">
        <is>
          <t>商品名称</t>
        </is>
      </c>
      <c r="D3" s="4" t="inlineStr">
        <is>
          <t>5.11-5.17</t>
        </is>
      </c>
      <c r="E3" s="4" t="inlineStr">
        <is>
          <t>5.25-5.31</t>
        </is>
      </c>
      <c r="F3" s="4" t="inlineStr">
        <is>
          <t>6.15-6.21</t>
        </is>
      </c>
      <c r="G3" s="4" t="inlineStr">
        <is>
          <t>6.22-6.28</t>
        </is>
      </c>
      <c r="H3" s="4" t="inlineStr">
        <is>
          <t>6.29-7.5</t>
        </is>
      </c>
      <c r="I3" s="4" t="inlineStr">
        <is>
          <t>7.6-7.12</t>
        </is>
      </c>
      <c r="J3" s="4" t="inlineStr">
        <is>
          <t>7.13-7.19</t>
        </is>
      </c>
      <c r="K3" s="4" t="inlineStr">
        <is>
          <t>7.20-8.2</t>
        </is>
      </c>
      <c r="L3" s="4" t="inlineStr">
        <is>
          <t>7.6→7.13变化</t>
        </is>
      </c>
    </row>
    <row r="4">
      <c r="A4" s="9" t="inlineStr">
        <is>
          <t>668566625747</t>
        </is>
      </c>
      <c r="B4" s="12" t="inlineStr">
        <is>
          <t>袋面主链接</t>
        </is>
      </c>
      <c r="C4" s="12" t="inlineStr">
        <is>
          <t>印尼营多捞面进口网红泡面袋装方便面速食食品拉面火鸡面拌面整箱</t>
        </is>
      </c>
      <c r="D4" s="11" t="n">
        <v>-1370</v>
      </c>
      <c r="E4" s="11" t="n">
        <v>-2056</v>
      </c>
      <c r="F4" s="11" t="n">
        <v>-950</v>
      </c>
      <c r="G4" s="11" t="n">
        <v>-1396</v>
      </c>
      <c r="H4" s="11" t="n">
        <v>-1032</v>
      </c>
      <c r="I4" s="11" t="n">
        <v>-911</v>
      </c>
      <c r="J4" s="11" t="n">
        <v>-1578</v>
      </c>
      <c r="K4" s="11" t="n">
        <v>-629</v>
      </c>
      <c r="L4" s="11" t="n">
        <v>-667</v>
      </c>
    </row>
    <row r="5">
      <c r="A5" s="13" t="inlineStr">
        <is>
          <t>648600900806</t>
        </is>
      </c>
      <c r="B5" s="16" t="inlineStr">
        <is>
          <t>30包</t>
        </is>
      </c>
      <c r="C5" s="16" t="inlineStr">
        <is>
          <t>进口营多捞面一整箱30包网红速食方便面宿舍速食泡面干拌面拉面</t>
        </is>
      </c>
      <c r="D5" s="14" t="n">
        <v>5</v>
      </c>
      <c r="E5" s="15" t="n">
        <v>-69</v>
      </c>
      <c r="F5" s="15" t="n">
        <v>-187</v>
      </c>
      <c r="G5" s="15" t="n">
        <v>-257</v>
      </c>
      <c r="H5" s="15" t="n">
        <v>-148</v>
      </c>
      <c r="I5" s="14" t="n">
        <v>41</v>
      </c>
      <c r="J5" s="15" t="n">
        <v>-202</v>
      </c>
      <c r="K5" s="15" t="n">
        <v>-488</v>
      </c>
      <c r="L5" s="15" t="n">
        <v>-243</v>
      </c>
    </row>
    <row r="6">
      <c r="A6" s="9" t="inlineStr">
        <is>
          <t>649369494424</t>
        </is>
      </c>
      <c r="B6" s="12" t="inlineStr">
        <is>
          <t>24包经典/牛系列</t>
        </is>
      </c>
      <c r="C6" s="12" t="inlineStr">
        <is>
          <t>营多捞面干拌面一整箱24袋装批发泡面混搭宿舍速食方便面火鸡面</t>
        </is>
      </c>
      <c r="D6" s="10" t="n">
        <v>102</v>
      </c>
      <c r="E6" s="10" t="n">
        <v>90</v>
      </c>
      <c r="F6" s="11" t="n">
        <v>-77</v>
      </c>
      <c r="G6" s="11" t="n">
        <v>-107</v>
      </c>
      <c r="H6" s="10" t="n">
        <v>147</v>
      </c>
      <c r="I6" s="10" t="n">
        <v>457</v>
      </c>
      <c r="J6" s="10" t="n">
        <v>247</v>
      </c>
      <c r="K6" s="10" t="n">
        <v>131</v>
      </c>
      <c r="L6" s="11" t="n">
        <v>-210</v>
      </c>
    </row>
    <row r="7">
      <c r="A7" s="13" t="inlineStr">
        <is>
          <t>766165464414</t>
        </is>
      </c>
      <c r="B7" s="16" t="inlineStr">
        <is>
          <t>12包</t>
        </is>
      </c>
      <c r="C7" s="16" t="inlineStr">
        <is>
          <t>营多印尼进口营多捞面方便面火鸡面干拌面12包宿舍速食泡面夜宵</t>
        </is>
      </c>
      <c r="D7" s="14" t="n">
        <v>120</v>
      </c>
      <c r="E7" s="14" t="n">
        <v>210</v>
      </c>
      <c r="F7" s="14" t="n">
        <v>84</v>
      </c>
      <c r="G7" s="14" t="n">
        <v>55</v>
      </c>
      <c r="H7" s="14" t="n">
        <v>65</v>
      </c>
      <c r="I7" s="14" t="n">
        <v>129</v>
      </c>
      <c r="J7" s="14" t="n">
        <v>10</v>
      </c>
      <c r="K7" s="14" t="n">
        <v>58</v>
      </c>
      <c r="L7" s="15" t="n">
        <v>-119</v>
      </c>
    </row>
    <row r="8">
      <c r="A8" s="9" t="inlineStr">
        <is>
          <t>648598580775</t>
        </is>
      </c>
      <c r="B8" s="12" t="inlineStr">
        <is>
          <t>原味大包</t>
        </is>
      </c>
      <c r="C8" s="12" t="inlineStr">
        <is>
          <t>印尼进口大大包营多原味捞面5包干拌面速食超大包方便面速食宵夜</t>
        </is>
      </c>
      <c r="D8" s="10" t="n">
        <v>25</v>
      </c>
      <c r="E8" s="11" t="n">
        <v>-66</v>
      </c>
      <c r="F8" s="11" t="n">
        <v>-70</v>
      </c>
      <c r="G8" s="11" t="n">
        <v>-116</v>
      </c>
      <c r="H8" s="11" t="n">
        <v>-117</v>
      </c>
      <c r="I8" s="10" t="n">
        <v>64</v>
      </c>
      <c r="J8" s="11" t="n">
        <v>-37</v>
      </c>
      <c r="K8" s="11" t="n">
        <v>-85</v>
      </c>
      <c r="L8" s="11" t="n">
        <v>-101</v>
      </c>
    </row>
    <row r="9">
      <c r="A9" s="13" t="inlineStr">
        <is>
          <t>1059563993918</t>
        </is>
      </c>
      <c r="B9" s="16" t="inlineStr">
        <is>
          <t>巴东牛肉</t>
        </is>
      </c>
      <c r="C9" s="16" t="inlineStr">
        <is>
          <t>营多进口新口味巴东炖牛肉味捞面印尼料理方便面泡面捞面夜宵速食</t>
        </is>
      </c>
      <c r="D9" s="13" t="n"/>
      <c r="E9" s="13" t="n"/>
      <c r="F9" s="13" t="n"/>
      <c r="G9" s="15" t="n">
        <v>-107</v>
      </c>
      <c r="H9" s="15" t="n">
        <v>-206</v>
      </c>
      <c r="I9" s="15" t="n">
        <v>-50</v>
      </c>
      <c r="J9" s="15" t="n">
        <v>-115</v>
      </c>
      <c r="K9" s="15" t="n">
        <v>-30</v>
      </c>
      <c r="L9" s="15" t="n">
        <v>-65</v>
      </c>
    </row>
    <row r="10">
      <c r="A10" s="9" t="inlineStr">
        <is>
          <t>649014937782</t>
        </is>
      </c>
      <c r="B10" s="12" t="inlineStr">
        <is>
          <t>24包</t>
        </is>
      </c>
      <c r="C10" s="12" t="inlineStr">
        <is>
          <t>印尼营多捞面干拌面一整箱24袋装批发泡面宿舍速食方便面火鸡面</t>
        </is>
      </c>
      <c r="D10" s="11" t="n">
        <v>-91</v>
      </c>
      <c r="E10" s="11" t="n">
        <v>-145</v>
      </c>
      <c r="F10" s="11" t="n">
        <v>-47</v>
      </c>
      <c r="G10" s="11" t="n">
        <v>-154</v>
      </c>
      <c r="H10" s="11" t="n">
        <v>-164</v>
      </c>
      <c r="I10" s="11" t="n">
        <v>-5</v>
      </c>
      <c r="J10" s="11" t="n">
        <v>-63</v>
      </c>
      <c r="K10" s="11" t="n">
        <v>-235</v>
      </c>
      <c r="L10" s="11" t="n">
        <v>-58</v>
      </c>
    </row>
    <row r="11">
      <c r="A11" s="13" t="inlineStr">
        <is>
          <t>1013887677295</t>
        </is>
      </c>
      <c r="B11" s="16" t="inlineStr">
        <is>
          <t>原味大包</t>
        </is>
      </c>
      <c r="C11" s="16" t="inlineStr">
        <is>
          <t>indomie印尼进口营多原味大大包129g捞面方便面速食食品宵夜小吃</t>
        </is>
      </c>
      <c r="D11" s="15" t="n">
        <v>-65</v>
      </c>
      <c r="E11" s="15" t="n">
        <v>-148</v>
      </c>
      <c r="F11" s="15" t="n">
        <v>-137</v>
      </c>
      <c r="G11" s="15" t="n">
        <v>-135</v>
      </c>
      <c r="H11" s="15" t="n">
        <v>-107</v>
      </c>
      <c r="I11" s="15" t="n">
        <v>-128</v>
      </c>
      <c r="J11" s="15" t="n">
        <v>-174</v>
      </c>
      <c r="K11" s="15" t="n">
        <v>-147</v>
      </c>
      <c r="L11" s="15" t="n">
        <v>-46</v>
      </c>
    </row>
    <row r="12">
      <c r="A12" s="9" t="inlineStr">
        <is>
          <t>648604228786</t>
        </is>
      </c>
      <c r="B12" s="12" t="inlineStr">
        <is>
          <t>杯面混搭</t>
        </is>
      </c>
      <c r="C12" s="12" t="inlineStr">
        <is>
          <t>INDOMIE营多日式杯面原味经典泡面整箱批发速食宿舍旅行宵夜宿舍</t>
        </is>
      </c>
      <c r="D12" s="11" t="n">
        <v>-24</v>
      </c>
      <c r="E12" s="10" t="n">
        <v>6</v>
      </c>
      <c r="F12" s="10" t="n">
        <v>9</v>
      </c>
      <c r="G12" s="11" t="n">
        <v>-6</v>
      </c>
      <c r="H12" s="10" t="n">
        <v>6</v>
      </c>
      <c r="I12" s="10" t="n">
        <v>16</v>
      </c>
      <c r="J12" s="11" t="n">
        <v>-15</v>
      </c>
      <c r="K12" s="10" t="n">
        <v>7</v>
      </c>
      <c r="L12" s="11" t="n">
        <v>-31</v>
      </c>
    </row>
    <row r="13">
      <c r="A13" s="13" t="inlineStr">
        <is>
          <t>735014804839</t>
        </is>
      </c>
      <c r="B13" s="16" t="inlineStr">
        <is>
          <t>24/30包</t>
        </is>
      </c>
      <c r="C13" s="16" t="inlineStr">
        <is>
          <t>进口营多捞面多口味Indomie网红方便面干拌面泡面30包整箱批发面</t>
        </is>
      </c>
      <c r="D13" s="15" t="n">
        <v>-43</v>
      </c>
      <c r="E13" s="15" t="n">
        <v>-36</v>
      </c>
      <c r="F13" s="14" t="n">
        <v>130</v>
      </c>
      <c r="G13" s="15" t="n">
        <v>-5</v>
      </c>
      <c r="H13" s="14" t="n">
        <v>25</v>
      </c>
      <c r="I13" s="14" t="n">
        <v>108</v>
      </c>
      <c r="J13" s="14" t="n">
        <v>79</v>
      </c>
      <c r="K13" s="15" t="n">
        <v>-19</v>
      </c>
      <c r="L13" s="15" t="n">
        <v>-29</v>
      </c>
    </row>
    <row r="14">
      <c r="A14" s="9" t="inlineStr">
        <is>
          <t>744317232690</t>
        </is>
      </c>
      <c r="B14" s="12" t="inlineStr">
        <is>
          <t>多规格</t>
        </is>
      </c>
      <c r="C14" s="12" t="inlineStr">
        <is>
          <t>营多捞面汤面清香牛肉味方便面泡面速食食品泡面拉面整箱旅行宿舍</t>
        </is>
      </c>
      <c r="D14" s="11" t="n">
        <v>-31</v>
      </c>
      <c r="E14" s="11" t="n">
        <v>-6</v>
      </c>
      <c r="F14" s="10" t="n">
        <v>66</v>
      </c>
      <c r="G14" s="11" t="n">
        <v>-4</v>
      </c>
      <c r="H14" s="11" t="n">
        <v>-61</v>
      </c>
      <c r="I14" s="10" t="n">
        <v>8</v>
      </c>
      <c r="J14" s="11" t="n">
        <v>-10</v>
      </c>
      <c r="K14" s="11" t="n">
        <v>-40</v>
      </c>
      <c r="L14" s="11" t="n">
        <v>-18</v>
      </c>
    </row>
    <row r="15">
      <c r="A15" s="13" t="inlineStr">
        <is>
          <t>1057479227624</t>
        </is>
      </c>
      <c r="B15" s="16" t="inlineStr">
        <is>
          <t>巴东牛肉</t>
        </is>
      </c>
      <c r="C15" s="16" t="inlineStr">
        <is>
          <t>【新口味】印尼进口营多捞面巴东炖牛肉味泡面方便面宿舍速食宵夜</t>
        </is>
      </c>
      <c r="D15" s="13" t="n"/>
      <c r="E15" s="13" t="n"/>
      <c r="F15" s="13" t="n"/>
      <c r="G15" s="15" t="n">
        <v>-185</v>
      </c>
      <c r="H15" s="15" t="n">
        <v>-469</v>
      </c>
      <c r="I15" s="15" t="n">
        <v>-657</v>
      </c>
      <c r="J15" s="15" t="n">
        <v>-674</v>
      </c>
      <c r="K15" s="15" t="n">
        <v>-612</v>
      </c>
      <c r="L15" s="15" t="n">
        <v>-17</v>
      </c>
    </row>
    <row r="16">
      <c r="A16" s="9" t="inlineStr">
        <is>
          <t>649731447266</t>
        </is>
      </c>
      <c r="B16" s="12" t="inlineStr">
        <is>
          <t>20包经典/牛系列</t>
        </is>
      </c>
      <c r="C16" s="12" t="inlineStr">
        <is>
          <t>营多印尼进口营多捞面方便面火鸡面干拌面20包宿舍速食泡面夜宵</t>
        </is>
      </c>
      <c r="D16" s="10" t="n">
        <v>12</v>
      </c>
      <c r="E16" s="11" t="n">
        <v>-5</v>
      </c>
      <c r="F16" s="10" t="n">
        <v>16</v>
      </c>
      <c r="G16" s="10" t="n">
        <v>46</v>
      </c>
      <c r="H16" s="10" t="n">
        <v>16</v>
      </c>
      <c r="I16" s="10" t="n">
        <v>36</v>
      </c>
      <c r="J16" s="10" t="n">
        <v>21</v>
      </c>
      <c r="K16" s="10" t="n">
        <v>30</v>
      </c>
      <c r="L16" s="11" t="n">
        <v>-15</v>
      </c>
    </row>
    <row r="17">
      <c r="A17" s="13" t="inlineStr">
        <is>
          <t>932687928859</t>
        </is>
      </c>
      <c r="B17" s="16" t="inlineStr">
        <is>
          <t>杯面混搭</t>
        </is>
      </c>
      <c r="C17" s="16" t="inlineStr">
        <is>
          <t>营多捞面韩式甜辣炸鸡辣蘑菇杯面方便面拌面泡面宿舍速食面</t>
        </is>
      </c>
      <c r="D17" s="14" t="n">
        <v>14</v>
      </c>
      <c r="E17" s="13" t="n"/>
      <c r="F17" s="14" t="n">
        <v>7</v>
      </c>
      <c r="G17" s="14" t="n">
        <v>6</v>
      </c>
      <c r="H17" s="14" t="n">
        <v>4</v>
      </c>
      <c r="I17" s="14" t="n">
        <v>13</v>
      </c>
      <c r="J17" s="15" t="n">
        <v>-2</v>
      </c>
      <c r="K17" s="14" t="n">
        <v>7</v>
      </c>
      <c r="L17" s="15" t="n">
        <v>-15</v>
      </c>
    </row>
    <row r="18">
      <c r="A18" s="9" t="inlineStr">
        <is>
          <t>969423151512</t>
        </is>
      </c>
      <c r="B18" s="12" t="inlineStr">
        <is>
          <t>日韩混搭</t>
        </is>
      </c>
      <c r="C18" s="12" t="inlineStr">
        <is>
          <t>营多捞面甜辣炸鸡火鸡面辣蘑菇泡面方便面速食干拌面宿舍宵夜旅行</t>
        </is>
      </c>
      <c r="D18" s="11" t="n">
        <v>-12</v>
      </c>
      <c r="E18" s="11" t="n">
        <v>-12</v>
      </c>
      <c r="F18" s="11" t="n">
        <v>-32</v>
      </c>
      <c r="G18" s="11" t="n">
        <v>-41</v>
      </c>
      <c r="H18" s="11" t="n">
        <v>-83</v>
      </c>
      <c r="I18" s="11" t="n">
        <v>-16</v>
      </c>
      <c r="J18" s="11" t="n">
        <v>-26</v>
      </c>
      <c r="K18" s="11" t="n">
        <v>-61</v>
      </c>
      <c r="L18" s="11" t="n">
        <v>-10</v>
      </c>
    </row>
    <row r="19">
      <c r="A19" s="13" t="inlineStr">
        <is>
          <t>649729851594</t>
        </is>
      </c>
      <c r="B19" s="16" t="inlineStr">
        <is>
          <t>小规格</t>
        </is>
      </c>
      <c r="C19" s="16" t="inlineStr">
        <is>
          <t>营多捞面袋装8包装泡面宿舍速食面热干面干拌面方便面火鸡面食品</t>
        </is>
      </c>
      <c r="D19" s="15" t="n">
        <v>-5</v>
      </c>
      <c r="E19" s="14" t="n">
        <v>20</v>
      </c>
      <c r="F19" s="14" t="n">
        <v>6</v>
      </c>
      <c r="G19" s="15" t="n">
        <v>-1</v>
      </c>
      <c r="H19" s="13" t="n"/>
      <c r="I19" s="14" t="n">
        <v>8</v>
      </c>
      <c r="J19" s="15" t="n">
        <v>-1</v>
      </c>
      <c r="K19" s="14" t="n">
        <v>8</v>
      </c>
      <c r="L19" s="15" t="n">
        <v>-9</v>
      </c>
    </row>
    <row r="20">
      <c r="A20" s="9" t="inlineStr">
        <is>
          <t>1028450344901</t>
        </is>
      </c>
      <c r="B20" s="12" t="inlineStr">
        <is>
          <t>韩式火鸡</t>
        </is>
      </c>
      <c r="C20" s="12" t="inlineStr">
        <is>
          <t>营多韩式火鸡面袋装拌面干拌面泡面方便面速食面宿舍宵夜旅行</t>
        </is>
      </c>
      <c r="D20" s="9" t="n"/>
      <c r="E20" s="10" t="n">
        <v>1</v>
      </c>
      <c r="F20" s="10" t="n">
        <v>2</v>
      </c>
      <c r="G20" s="11" t="n">
        <v>-8</v>
      </c>
      <c r="H20" s="11" t="n">
        <v>-5</v>
      </c>
      <c r="I20" s="34" t="n">
        <v>0</v>
      </c>
      <c r="J20" s="11" t="n">
        <v>-8</v>
      </c>
      <c r="K20" s="10" t="n">
        <v>1</v>
      </c>
      <c r="L20" s="11" t="n">
        <v>-8</v>
      </c>
    </row>
    <row r="21">
      <c r="A21" s="13" t="inlineStr">
        <is>
          <t>969433743398</t>
        </is>
      </c>
      <c r="B21" s="16" t="inlineStr">
        <is>
          <t>韩蘑菇</t>
        </is>
      </c>
      <c r="C21" s="16" t="inlineStr">
        <is>
          <t>新品营多捞面韩式辣蘑菇汤面泡面方便面速食干拌面宿舍宵夜旅行</t>
        </is>
      </c>
      <c r="D21" s="15" t="n">
        <v>-81</v>
      </c>
      <c r="E21" s="15" t="n">
        <v>-82</v>
      </c>
      <c r="F21" s="14" t="n">
        <v>3</v>
      </c>
      <c r="G21" s="15" t="n">
        <v>-7</v>
      </c>
      <c r="H21" s="15" t="n">
        <v>-9</v>
      </c>
      <c r="I21" s="35" t="n">
        <v>0</v>
      </c>
      <c r="J21" s="15" t="n">
        <v>-5</v>
      </c>
      <c r="K21" s="14" t="n">
        <v>7</v>
      </c>
      <c r="L21" s="15" t="n">
        <v>-5</v>
      </c>
    </row>
    <row r="22">
      <c r="A22" s="9" t="inlineStr">
        <is>
          <t>1060999732877</t>
        </is>
      </c>
      <c r="B22" s="12" t="inlineStr">
        <is>
          <t>原味大包</t>
        </is>
      </c>
      <c r="C22" s="12" t="inlineStr">
        <is>
          <t>indomie印尼进口营多原味大大包129g捞面方便面速食食品宵夜小吃</t>
        </is>
      </c>
      <c r="D22" s="9" t="n"/>
      <c r="E22" s="9" t="n"/>
      <c r="F22" s="9" t="n"/>
      <c r="G22" s="10" t="n">
        <v>31</v>
      </c>
      <c r="H22" s="11" t="n">
        <v>-28</v>
      </c>
      <c r="I22" s="11" t="n">
        <v>-40</v>
      </c>
      <c r="J22" s="11" t="n">
        <v>-44</v>
      </c>
      <c r="K22" s="11" t="n">
        <v>-51</v>
      </c>
      <c r="L22" s="11" t="n">
        <v>-4</v>
      </c>
    </row>
    <row r="23">
      <c r="A23" s="13" t="inlineStr">
        <is>
          <t>937005385662</t>
        </is>
      </c>
      <c r="B23" s="16" t="inlineStr">
        <is>
          <t>日式袋面</t>
        </is>
      </c>
      <c r="C23" s="16" t="inlineStr">
        <is>
          <t>进口营多正品捞面日式鸡肉鸡汤辛辣味袋装泡面辣味速食方便面汤面</t>
        </is>
      </c>
      <c r="D23" s="15" t="n">
        <v>-109</v>
      </c>
      <c r="E23" s="15" t="n">
        <v>-26</v>
      </c>
      <c r="F23" s="15" t="n">
        <v>-34</v>
      </c>
      <c r="G23" s="14" t="n">
        <v>15</v>
      </c>
      <c r="H23" s="14" t="n">
        <v>1</v>
      </c>
      <c r="I23" s="15" t="n">
        <v>-9</v>
      </c>
      <c r="J23" s="15" t="n">
        <v>-13</v>
      </c>
      <c r="K23" s="15" t="n">
        <v>-68</v>
      </c>
      <c r="L23" s="15" t="n">
        <v>-4</v>
      </c>
    </row>
    <row r="24">
      <c r="A24" s="9" t="inlineStr">
        <is>
          <t>916072786304</t>
        </is>
      </c>
      <c r="B24" s="12" t="inlineStr">
        <is>
          <t>小规格</t>
        </is>
      </c>
      <c r="C24" s="12" t="inlineStr">
        <is>
          <t>营多印尼进口营多捞面方便面火鸡面干拌面10包宿舍速食泡面夜宵</t>
        </is>
      </c>
      <c r="D24" s="11" t="n">
        <v>-7</v>
      </c>
      <c r="E24" s="34" t="n">
        <v>0</v>
      </c>
      <c r="F24" s="9" t="n"/>
      <c r="G24" s="11" t="n">
        <v>-3</v>
      </c>
      <c r="H24" s="9" t="n"/>
      <c r="I24" s="34" t="n">
        <v>0</v>
      </c>
      <c r="J24" s="11" t="n">
        <v>-3</v>
      </c>
      <c r="K24" s="11" t="n">
        <v>-2</v>
      </c>
      <c r="L24" s="11" t="n">
        <v>-3</v>
      </c>
    </row>
    <row r="25">
      <c r="A25" s="13" t="inlineStr">
        <is>
          <t>898120785283</t>
        </is>
      </c>
      <c r="B25" s="16" t="inlineStr">
        <is>
          <t>番茄</t>
        </is>
      </c>
      <c r="C25" s="16" t="inlineStr">
        <is>
          <t>进口意大利面风味奶香番茄牛肉味意式营多早餐儿童宝妈家庭餐拌面</t>
        </is>
      </c>
      <c r="D25" s="14" t="n">
        <v>1</v>
      </c>
      <c r="E25" s="15" t="n">
        <v>-3</v>
      </c>
      <c r="F25" s="14" t="n">
        <v>4</v>
      </c>
      <c r="G25" s="14" t="n">
        <v>1</v>
      </c>
      <c r="H25" s="15" t="n">
        <v>-2</v>
      </c>
      <c r="I25" s="15" t="n">
        <v>-2</v>
      </c>
      <c r="J25" s="15" t="n">
        <v>-4</v>
      </c>
      <c r="K25" s="14" t="n">
        <v>11</v>
      </c>
      <c r="L25" s="15" t="n">
        <v>-2</v>
      </c>
    </row>
    <row r="26">
      <c r="A26" s="9" t="inlineStr">
        <is>
          <t>947413291596</t>
        </is>
      </c>
      <c r="B26" s="12" t="inlineStr">
        <is>
          <t>杯面混搭</t>
        </is>
      </c>
      <c r="C26" s="12" t="inlineStr">
        <is>
          <t>印尼进口营多捞面杯面原味甜辣蘑菇味整箱速食拌面拉面泡面方便面</t>
        </is>
      </c>
      <c r="D26" s="34" t="n">
        <v>0</v>
      </c>
      <c r="E26" s="11" t="n">
        <v>-5</v>
      </c>
      <c r="F26" s="11" t="n">
        <v>-5</v>
      </c>
      <c r="G26" s="11" t="n">
        <v>-1</v>
      </c>
      <c r="H26" s="11" t="n">
        <v>-4</v>
      </c>
      <c r="I26" s="11" t="n">
        <v>-9</v>
      </c>
      <c r="J26" s="11" t="n">
        <v>-10</v>
      </c>
      <c r="K26" s="34" t="n">
        <v>0</v>
      </c>
      <c r="L26" s="11" t="n">
        <v>-1</v>
      </c>
    </row>
    <row r="27">
      <c r="A27" s="13" t="inlineStr">
        <is>
          <t>775016827115</t>
        </is>
      </c>
      <c r="B27" s="16" t="inlineStr">
        <is>
          <t>杯面混搭</t>
        </is>
      </c>
      <c r="C27" s="16" t="inlineStr">
        <is>
          <t>进口营多原味杯面日式杯面韩式杯面泡面方便面汤面宿舍速食夜宵</t>
        </is>
      </c>
      <c r="D27" s="13" t="n"/>
      <c r="E27" s="14" t="n">
        <v>3</v>
      </c>
      <c r="F27" s="15" t="n">
        <v>-1</v>
      </c>
      <c r="G27" s="13" t="n"/>
      <c r="H27" s="14" t="n">
        <v>4</v>
      </c>
      <c r="I27" s="14" t="n">
        <v>4</v>
      </c>
      <c r="J27" s="14" t="n">
        <v>3</v>
      </c>
      <c r="K27" s="13" t="n"/>
      <c r="L27" s="15" t="n">
        <v>-1</v>
      </c>
    </row>
    <row r="28">
      <c r="A28" s="9" t="inlineStr">
        <is>
          <t>885645733215</t>
        </is>
      </c>
      <c r="B28" s="12" t="inlineStr">
        <is>
          <t>大骨牛肉</t>
        </is>
      </c>
      <c r="C28" s="12" t="inlineStr">
        <is>
          <t>进口营多大骨番茄牛肉味营多捞面意式泡面宿舍宿舍宵夜速食方便面</t>
        </is>
      </c>
      <c r="D28" s="11" t="n">
        <v>-2</v>
      </c>
      <c r="E28" s="10" t="n">
        <v>1</v>
      </c>
      <c r="F28" s="11" t="n">
        <v>-4</v>
      </c>
      <c r="G28" s="11" t="n">
        <v>-10</v>
      </c>
      <c r="H28" s="11" t="n">
        <v>-5</v>
      </c>
      <c r="I28" s="11" t="n">
        <v>-6</v>
      </c>
      <c r="J28" s="11" t="n">
        <v>-7</v>
      </c>
      <c r="K28" s="9" t="n"/>
      <c r="L28" s="11" t="n">
        <v>-1</v>
      </c>
    </row>
    <row r="29">
      <c r="A29" s="13" t="inlineStr">
        <is>
          <t>1019572719528</t>
        </is>
      </c>
      <c r="B29" s="16" t="inlineStr">
        <is>
          <t>日韩袋面</t>
        </is>
      </c>
      <c r="C29" s="16" t="inlineStr">
        <is>
          <t>新品营多捞面韩式辣蘑菇汤面泡面方便面速食干拌面宿舍宵夜旅行</t>
        </is>
      </c>
      <c r="D29" s="14" t="n">
        <v>2</v>
      </c>
      <c r="E29" s="13" t="n"/>
      <c r="F29" s="13" t="n"/>
      <c r="G29" s="13" t="n"/>
      <c r="H29" s="14" t="n">
        <v>3</v>
      </c>
      <c r="I29" s="14" t="n">
        <v>2</v>
      </c>
      <c r="J29" s="14" t="n">
        <v>2</v>
      </c>
      <c r="K29" s="13" t="n"/>
      <c r="L29" s="35" t="n">
        <v>0</v>
      </c>
    </row>
    <row r="30">
      <c r="A30" s="9" t="inlineStr">
        <is>
          <t>976467954327</t>
        </is>
      </c>
      <c r="B30" s="12" t="inlineStr">
        <is>
          <t>日韩杯面</t>
        </is>
      </c>
      <c r="C30" s="12" t="inlineStr">
        <is>
          <t>【天猫U选】indomie营多捞面辣蘑菇味日式辣味杯面</t>
        </is>
      </c>
      <c r="D30" s="11" t="n">
        <v>-8</v>
      </c>
      <c r="E30" s="11" t="n">
        <v>-6</v>
      </c>
      <c r="F30" s="9" t="n"/>
      <c r="G30" s="11" t="n">
        <v>-3</v>
      </c>
      <c r="H30" s="11" t="n">
        <v>-6</v>
      </c>
      <c r="I30" s="11" t="n">
        <v>-3</v>
      </c>
      <c r="J30" s="11" t="n">
        <v>-3</v>
      </c>
      <c r="K30" s="11" t="n">
        <v>-13</v>
      </c>
      <c r="L30" s="34" t="n">
        <v>0</v>
      </c>
    </row>
    <row r="31">
      <c r="A31" s="13" t="inlineStr">
        <is>
          <t>976466902934</t>
        </is>
      </c>
      <c r="B31" s="16" t="inlineStr">
        <is>
          <t>杯面混搭</t>
        </is>
      </c>
      <c r="C31" s="16" t="inlineStr">
        <is>
          <t>营多捞面韩式甜辣炸鸡辣蘑菇杯面方便面拌面泡面宿舍速食面</t>
        </is>
      </c>
      <c r="D31" s="15" t="n">
        <v>-33</v>
      </c>
      <c r="E31" s="15" t="n">
        <v>-10</v>
      </c>
      <c r="F31" s="15" t="n">
        <v>-6</v>
      </c>
      <c r="G31" s="15" t="n">
        <v>-15</v>
      </c>
      <c r="H31" s="15" t="n">
        <v>-3</v>
      </c>
      <c r="I31" s="15" t="n">
        <v>-4</v>
      </c>
      <c r="J31" s="15" t="n">
        <v>-3</v>
      </c>
      <c r="K31" s="13" t="n"/>
      <c r="L31" s="14" t="n">
        <v>1</v>
      </c>
    </row>
    <row r="32">
      <c r="A32" s="9" t="inlineStr">
        <is>
          <t>898076297965</t>
        </is>
      </c>
      <c r="B32" s="12" t="inlineStr">
        <is>
          <t>番茄牛肉</t>
        </is>
      </c>
      <c r="C32" s="12" t="inlineStr">
        <is>
          <t>进口正品意面风味奶香番茄牛肉味意式拌面营多捞面早餐儿童宝妈餐</t>
        </is>
      </c>
      <c r="D32" s="11" t="n">
        <v>-56</v>
      </c>
      <c r="E32" s="11" t="n">
        <v>-11</v>
      </c>
      <c r="F32" s="11" t="n">
        <v>-13</v>
      </c>
      <c r="G32" s="11" t="n">
        <v>-16</v>
      </c>
      <c r="H32" s="11" t="n">
        <v>-13</v>
      </c>
      <c r="I32" s="11" t="n">
        <v>-19</v>
      </c>
      <c r="J32" s="11" t="n">
        <v>-16</v>
      </c>
      <c r="K32" s="11" t="n">
        <v>-19</v>
      </c>
      <c r="L32" s="10" t="n">
        <v>3</v>
      </c>
    </row>
    <row r="33">
      <c r="A33" s="13" t="inlineStr">
        <is>
          <t>903183018417</t>
        </is>
      </c>
      <c r="B33" s="16" t="inlineStr">
        <is>
          <t>七口味混搭</t>
        </is>
      </c>
      <c r="C33" s="16" t="inlineStr">
        <is>
          <t>进口营多捞面汤面拌面七口味混合方便面速拉面宿舍拌面泡面食食品</t>
        </is>
      </c>
      <c r="D33" s="15" t="n">
        <v>-2</v>
      </c>
      <c r="E33" s="15" t="n">
        <v>-12</v>
      </c>
      <c r="F33" s="14" t="n">
        <v>9</v>
      </c>
      <c r="G33" s="15" t="n">
        <v>-1</v>
      </c>
      <c r="H33" s="15" t="n">
        <v>-4</v>
      </c>
      <c r="I33" s="15" t="n">
        <v>-16</v>
      </c>
      <c r="J33" s="15" t="n">
        <v>-9</v>
      </c>
      <c r="K33" s="35" t="n">
        <v>0</v>
      </c>
      <c r="L33" s="14" t="n">
        <v>7</v>
      </c>
    </row>
    <row r="34">
      <c r="A34" s="9" t="inlineStr">
        <is>
          <t>929504658691</t>
        </is>
      </c>
      <c r="B34" s="12" t="inlineStr">
        <is>
          <t>巴东牛肉</t>
        </is>
      </c>
      <c r="C34" s="12" t="inlineStr">
        <is>
          <t>营多进口新口味巴东炖牛肉味捞面印尼料理方便面泡面捞面夜宵速食</t>
        </is>
      </c>
      <c r="D34" s="11" t="n">
        <v>-59</v>
      </c>
      <c r="E34" s="11" t="n">
        <v>-95</v>
      </c>
      <c r="F34" s="11" t="n">
        <v>-326</v>
      </c>
      <c r="G34" s="11" t="n">
        <v>-312</v>
      </c>
      <c r="H34" s="11" t="n">
        <v>-194</v>
      </c>
      <c r="I34" s="11" t="n">
        <v>-64</v>
      </c>
      <c r="J34" s="11" t="n">
        <v>-49</v>
      </c>
      <c r="K34" s="11" t="n">
        <v>-79</v>
      </c>
      <c r="L34" s="10" t="n">
        <v>15</v>
      </c>
    </row>
    <row r="35">
      <c r="A35" s="13" t="inlineStr">
        <is>
          <t>976479938842</t>
        </is>
      </c>
      <c r="B35" s="16" t="inlineStr">
        <is>
          <t>【U选】原味5</t>
        </is>
      </c>
      <c r="C35" s="16" t="inlineStr">
        <is>
          <t>【天猫U选】indomie营多大骨牛肉味捞面拌面5包</t>
        </is>
      </c>
      <c r="D35" s="15" t="n">
        <v>-93</v>
      </c>
      <c r="E35" s="15" t="n">
        <v>-20</v>
      </c>
      <c r="F35" s="15" t="n">
        <v>-34</v>
      </c>
      <c r="G35" s="15" t="n">
        <v>-8</v>
      </c>
      <c r="H35" s="15" t="n">
        <v>-9</v>
      </c>
      <c r="I35" s="15" t="n">
        <v>-37</v>
      </c>
      <c r="J35" s="15" t="n">
        <v>-22</v>
      </c>
      <c r="K35" s="15" t="n">
        <v>-21</v>
      </c>
      <c r="L35" s="14" t="n">
        <v>15</v>
      </c>
    </row>
    <row r="36">
      <c r="A36" s="9" t="inlineStr">
        <is>
          <t>886856687067</t>
        </is>
      </c>
      <c r="B36" s="12" t="inlineStr">
        <is>
          <t>大骨</t>
        </is>
      </c>
      <c r="C36" s="12" t="inlineStr">
        <is>
          <t>营多捞面牛系列大骨牛肉味方便面食品泡面拉面汤面宿舍宵夜旅行</t>
        </is>
      </c>
      <c r="D36" s="10" t="n">
        <v>1</v>
      </c>
      <c r="E36" s="10" t="n">
        <v>2</v>
      </c>
      <c r="F36" s="11" t="n">
        <v>-1</v>
      </c>
      <c r="G36" s="11" t="n">
        <v>-11</v>
      </c>
      <c r="H36" s="10" t="n">
        <v>4</v>
      </c>
      <c r="I36" s="10" t="n">
        <v>8</v>
      </c>
      <c r="J36" s="10" t="n">
        <v>30</v>
      </c>
      <c r="K36" s="11" t="n">
        <v>-15</v>
      </c>
      <c r="L36" s="10" t="n">
        <v>22</v>
      </c>
    </row>
    <row r="37">
      <c r="A37" s="13" t="inlineStr">
        <is>
          <t>1058280415678</t>
        </is>
      </c>
      <c r="B37" s="16" t="inlineStr">
        <is>
          <t>原味大包</t>
        </is>
      </c>
      <c r="C37" s="16" t="inlineStr">
        <is>
          <t>印尼进口大大包营多原味捞面5包干拌面速食超大包方便面速食宵夜</t>
        </is>
      </c>
      <c r="D37" s="13" t="n"/>
      <c r="E37" s="13" t="n"/>
      <c r="F37" s="13" t="n"/>
      <c r="G37" s="14" t="n">
        <v>79</v>
      </c>
      <c r="H37" s="14" t="n">
        <v>18</v>
      </c>
      <c r="I37" s="14" t="n">
        <v>29</v>
      </c>
      <c r="J37" s="14" t="n">
        <v>52</v>
      </c>
      <c r="K37" s="14" t="n">
        <v>108</v>
      </c>
      <c r="L37" s="14" t="n">
        <v>23</v>
      </c>
    </row>
    <row r="38">
      <c r="A38" s="9" t="inlineStr">
        <is>
          <t>971242260371</t>
        </is>
      </c>
      <c r="B38" s="12" t="inlineStr">
        <is>
          <t>韩式袋面</t>
        </is>
      </c>
      <c r="C38" s="12" t="inlineStr">
        <is>
          <t>新品营多捞面韩式辣蘑菇汤面泡面方便面速食干拌面宿舍宵夜旅行</t>
        </is>
      </c>
      <c r="D38" s="10" t="n">
        <v>1</v>
      </c>
      <c r="E38" s="11" t="n">
        <v>-56</v>
      </c>
      <c r="F38" s="11" t="n">
        <v>-10</v>
      </c>
      <c r="G38" s="11" t="n">
        <v>-37</v>
      </c>
      <c r="H38" s="11" t="n">
        <v>-48</v>
      </c>
      <c r="I38" s="11" t="n">
        <v>-60</v>
      </c>
      <c r="J38" s="11" t="n">
        <v>-21</v>
      </c>
      <c r="K38" s="11" t="n">
        <v>-30</v>
      </c>
      <c r="L38" s="10" t="n">
        <v>39</v>
      </c>
    </row>
    <row r="39">
      <c r="A39" s="13" t="inlineStr">
        <is>
          <t>648681860568</t>
        </is>
      </c>
      <c r="B39" s="16" t="inlineStr">
        <is>
          <t>杯面次链接</t>
        </is>
      </c>
      <c r="C39" s="16" t="inlineStr">
        <is>
          <t>营多捞面杯装方便面泡面速食干拌面原味整箱批发印尼进口桶装拌面</t>
        </is>
      </c>
      <c r="D39" s="15" t="n">
        <v>-87</v>
      </c>
      <c r="E39" s="15" t="n">
        <v>-97</v>
      </c>
      <c r="F39" s="15" t="n">
        <v>-161</v>
      </c>
      <c r="G39" s="15" t="n">
        <v>-69</v>
      </c>
      <c r="H39" s="14" t="n">
        <v>47</v>
      </c>
      <c r="I39" s="15" t="n">
        <v>-160</v>
      </c>
      <c r="J39" s="15" t="n">
        <v>-100</v>
      </c>
      <c r="K39" s="15" t="n">
        <v>-279</v>
      </c>
      <c r="L39" s="14" t="n">
        <v>60</v>
      </c>
    </row>
    <row r="40">
      <c r="A40" s="9" t="inlineStr">
        <is>
          <t>649735171438</t>
        </is>
      </c>
      <c r="B40" s="12" t="inlineStr">
        <is>
          <t>杯面主链接</t>
        </is>
      </c>
      <c r="C40" s="12" t="inlineStr">
        <is>
          <t>印尼进口indomie营多捞面杯面速食泡面干拌面盒桶装方便面火鸡面</t>
        </is>
      </c>
      <c r="D40" s="11" t="n">
        <v>-1160</v>
      </c>
      <c r="E40" s="11" t="n">
        <v>-1292</v>
      </c>
      <c r="F40" s="11" t="n">
        <v>-1523</v>
      </c>
      <c r="G40" s="11" t="n">
        <v>-1456</v>
      </c>
      <c r="H40" s="11" t="n">
        <v>-1143</v>
      </c>
      <c r="I40" s="11" t="n">
        <v>-1024</v>
      </c>
      <c r="J40" s="11" t="n">
        <v>-963</v>
      </c>
      <c r="K40" s="11" t="n">
        <v>-789</v>
      </c>
      <c r="L40" s="10" t="n">
        <v>61</v>
      </c>
    </row>
    <row r="41">
      <c r="A41" s="13" t="inlineStr">
        <is>
          <t>649361890551</t>
        </is>
      </c>
      <c r="B41" s="16" t="inlineStr">
        <is>
          <t>袋面次链接</t>
        </is>
      </c>
      <c r="C41" s="16" t="inlineStr">
        <is>
          <t>营多捞面印尼进口Indomie网红夜宵早餐方便面火鸡面泡面拌面</t>
        </is>
      </c>
      <c r="D41" s="15" t="n">
        <v>-3173</v>
      </c>
      <c r="E41" s="15" t="n">
        <v>-2546</v>
      </c>
      <c r="F41" s="15" t="n">
        <v>-3313</v>
      </c>
      <c r="G41" s="15" t="n">
        <v>-2104</v>
      </c>
      <c r="H41" s="15" t="n">
        <v>-1690</v>
      </c>
      <c r="I41" s="15" t="n">
        <v>-1808</v>
      </c>
      <c r="J41" s="15" t="n">
        <v>-1447</v>
      </c>
      <c r="K41" s="15" t="n">
        <v>-1753</v>
      </c>
      <c r="L41" s="14" t="n">
        <v>361</v>
      </c>
    </row>
    <row r="42">
      <c r="A42" s="9" t="inlineStr">
        <is>
          <t>1014512281808</t>
        </is>
      </c>
      <c r="B42" s="12" t="inlineStr">
        <is>
          <t>杯面混搭</t>
        </is>
      </c>
      <c r="C42" s="12" t="inlineStr">
        <is>
          <t>营多捞面韩式甜辣炸鸡辣蘑菇杯面方便面拌面泡面宿舍速食面</t>
        </is>
      </c>
      <c r="D42" s="9" t="n"/>
      <c r="E42" s="9" t="n"/>
      <c r="F42" s="9" t="n"/>
      <c r="G42" s="9" t="n"/>
      <c r="H42" s="9" t="n"/>
      <c r="I42" s="10" t="n">
        <v>9</v>
      </c>
      <c r="J42" s="9" t="n"/>
      <c r="K42" s="9" t="n"/>
      <c r="L42" s="9" t="n"/>
    </row>
    <row r="43">
      <c r="A43" s="13" t="inlineStr">
        <is>
          <t>1019397839311</t>
        </is>
      </c>
      <c r="B43" s="16" t="inlineStr">
        <is>
          <t>多口味混搭</t>
        </is>
      </c>
      <c r="C43" s="16" t="inlineStr">
        <is>
          <t>营多捞面原味番茄牛肉袋装泡面汤面干拌面方便面宿舍速食旅行宵夜</t>
        </is>
      </c>
      <c r="D43" s="15" t="n">
        <v>-1</v>
      </c>
      <c r="E43" s="13" t="n"/>
      <c r="F43" s="13" t="n"/>
      <c r="G43" s="13" t="n"/>
      <c r="H43" s="13" t="n"/>
      <c r="I43" s="13" t="n"/>
      <c r="J43" s="13" t="n"/>
      <c r="K43" s="13" t="n"/>
      <c r="L43" s="13" t="n"/>
    </row>
    <row r="44">
      <c r="A44" s="9" t="inlineStr">
        <is>
          <t>1040679932754</t>
        </is>
      </c>
      <c r="B44" s="12" t="inlineStr">
        <is>
          <t>杯面混搭</t>
        </is>
      </c>
      <c r="C44" s="12" t="inlineStr">
        <is>
          <t>印尼进口营多捞面杯面原味甜辣蘑菇味整箱速食拌面拉面泡面方便面</t>
        </is>
      </c>
      <c r="D44" s="11" t="n">
        <v>-7</v>
      </c>
      <c r="E44" s="9" t="n"/>
      <c r="F44" s="9" t="n"/>
      <c r="G44" s="9" t="n"/>
      <c r="H44" s="11" t="n">
        <v>-2</v>
      </c>
      <c r="I44" s="9" t="n"/>
      <c r="J44" s="9" t="n"/>
      <c r="K44" s="9" t="n"/>
      <c r="L44" s="9" t="n"/>
    </row>
    <row r="45">
      <c r="A45" s="13" t="inlineStr">
        <is>
          <t>1056927747753</t>
        </is>
      </c>
      <c r="B45" s="16" t="inlineStr">
        <is>
          <t>巴东</t>
        </is>
      </c>
      <c r="C45" s="16" t="inlineStr">
        <is>
          <t>【新口味】印尼进口营多捞面巴东炖牛肉味泡面方便面宿舍速食宵夜</t>
        </is>
      </c>
      <c r="D45" s="13" t="n"/>
      <c r="E45" s="13" t="n"/>
      <c r="F45" s="15" t="n">
        <v>-2</v>
      </c>
      <c r="G45" s="13" t="n"/>
      <c r="H45" s="13" t="n"/>
      <c r="I45" s="13" t="n"/>
      <c r="J45" s="13" t="n"/>
      <c r="K45" s="13" t="n"/>
      <c r="L45" s="13" t="n"/>
    </row>
    <row r="46">
      <c r="A46" s="9" t="inlineStr">
        <is>
          <t>1067957289054</t>
        </is>
      </c>
      <c r="B46" s="12" t="inlineStr">
        <is>
          <t>巴东牛肉</t>
        </is>
      </c>
      <c r="C46" s="12" t="inlineStr">
        <is>
          <t>【新口味】印尼进口营多捞面巴东炖牛肉味泡面方便面宿舍速食宵夜</t>
        </is>
      </c>
      <c r="D46" s="9" t="n"/>
      <c r="E46" s="9" t="n"/>
      <c r="F46" s="9" t="n"/>
      <c r="G46" s="9" t="n"/>
      <c r="H46" s="9" t="n"/>
      <c r="I46" s="9" t="n"/>
      <c r="J46" s="9" t="n"/>
      <c r="K46" s="11" t="n">
        <v>-11</v>
      </c>
      <c r="L46" s="9" t="n"/>
    </row>
    <row r="47">
      <c r="A47" s="13" t="inlineStr">
        <is>
          <t>754828376158</t>
        </is>
      </c>
      <c r="B47" s="16" t="inlineStr">
        <is>
          <t>六口味混搭</t>
        </is>
      </c>
      <c r="C47" s="16" t="inlineStr">
        <is>
          <t>进口营多捞面汤面拌面六口味混合方便面速食食品泡面</t>
        </is>
      </c>
      <c r="D47" s="15" t="n">
        <v>-1</v>
      </c>
      <c r="E47" s="35" t="n">
        <v>0</v>
      </c>
      <c r="F47" s="13" t="n"/>
      <c r="G47" s="13" t="n"/>
      <c r="H47" s="13" t="n"/>
      <c r="I47" s="13" t="n"/>
      <c r="J47" s="13" t="n"/>
      <c r="K47" s="13" t="n"/>
      <c r="L47" s="13" t="n"/>
    </row>
    <row r="48">
      <c r="A48" s="9" t="inlineStr">
        <is>
          <t>773972883430</t>
        </is>
      </c>
      <c r="B48" s="12" t="inlineStr">
        <is>
          <t>韩式袋面</t>
        </is>
      </c>
      <c r="C48" s="12" t="inlineStr">
        <is>
          <t>营多捞面韩式火鸡面辣蘑菇汤面袋装泡面辣味速食方便面宿舍宵夜面</t>
        </is>
      </c>
      <c r="D48" s="11" t="n">
        <v>-13</v>
      </c>
      <c r="E48" s="10" t="n">
        <v>7</v>
      </c>
      <c r="F48" s="10" t="n">
        <v>2</v>
      </c>
      <c r="G48" s="10" t="n">
        <v>5</v>
      </c>
      <c r="H48" s="11" t="n">
        <v>-1</v>
      </c>
      <c r="I48" s="9" t="n"/>
      <c r="J48" s="9" t="n"/>
      <c r="K48" s="9" t="n"/>
      <c r="L48" s="9" t="n"/>
    </row>
    <row r="49">
      <c r="A49" s="13" t="inlineStr">
        <is>
          <t>869217868453</t>
        </is>
      </c>
      <c r="B49" s="16" t="inlineStr">
        <is>
          <t>韩式杯面</t>
        </is>
      </c>
      <c r="C49" s="16" t="inlineStr">
        <is>
          <t>营多捞面韩式甜辣炸鸡辣蘑菇杯面方便面拌面泡面宿舍速食面</t>
        </is>
      </c>
      <c r="D49" s="15" t="n">
        <v>-7</v>
      </c>
      <c r="E49" s="15" t="n">
        <v>-1</v>
      </c>
      <c r="F49" s="13" t="n"/>
      <c r="G49" s="14" t="n">
        <v>2</v>
      </c>
      <c r="H49" s="15" t="n">
        <v>-8</v>
      </c>
      <c r="I49" s="14" t="n">
        <v>6</v>
      </c>
      <c r="J49" s="13" t="n"/>
      <c r="K49" s="15" t="n">
        <v>-11</v>
      </c>
      <c r="L49" s="13" t="n"/>
    </row>
    <row r="50">
      <c r="A50" s="9" t="inlineStr">
        <is>
          <t>949962665617</t>
        </is>
      </c>
      <c r="B50" s="12" t="inlineStr">
        <is>
          <t>韩式袋面</t>
        </is>
      </c>
      <c r="C50" s="12" t="inlineStr">
        <is>
          <t>营多捞面韩式火鸡面辣蘑菇汤面袋装泡面辣味速食方便面宿舍宵夜面</t>
        </is>
      </c>
      <c r="D50" s="11" t="n">
        <v>-48</v>
      </c>
      <c r="E50" s="11" t="n">
        <v>-69</v>
      </c>
      <c r="F50" s="11" t="n">
        <v>-44</v>
      </c>
      <c r="G50" s="9" t="n"/>
      <c r="H50" s="11" t="n">
        <v>-15</v>
      </c>
      <c r="I50" s="11" t="n">
        <v>-21</v>
      </c>
      <c r="J50" s="9" t="n"/>
      <c r="K50" s="9" t="n"/>
      <c r="L50" s="9" t="n"/>
    </row>
    <row r="51">
      <c r="A51" s="13" t="inlineStr">
        <is>
          <t>965545088099</t>
        </is>
      </c>
      <c r="B51" s="16" t="inlineStr">
        <is>
          <t>十口味混搭</t>
        </is>
      </c>
      <c r="C51" s="16" t="inlineStr">
        <is>
          <t>营多捞面多口味袋装泡面拌面速食面干拌面方便面速食宵夜宿舍旅行</t>
        </is>
      </c>
      <c r="D51" s="13" t="n"/>
      <c r="E51" s="14" t="n">
        <v>14</v>
      </c>
      <c r="F51" s="13" t="n"/>
      <c r="G51" s="13" t="n"/>
      <c r="H51" s="14" t="n">
        <v>7</v>
      </c>
      <c r="I51" s="13" t="n"/>
      <c r="J51" s="13" t="n"/>
      <c r="K51" s="14" t="n">
        <v>10</v>
      </c>
      <c r="L51" s="13" t="n"/>
    </row>
    <row r="52">
      <c r="A52" s="9" t="inlineStr">
        <is>
          <t>975092562679</t>
        </is>
      </c>
      <c r="B52" s="12" t="inlineStr">
        <is>
          <t>韩式杯面</t>
        </is>
      </c>
      <c r="C52" s="12" t="inlineStr">
        <is>
          <t>营多韩式甜辣炸鸡火鸡面辣蘑菇杯面拌面泡面方便面速食宵夜旅行</t>
        </is>
      </c>
      <c r="D52" s="9" t="n"/>
      <c r="E52" s="10" t="n">
        <v>2</v>
      </c>
      <c r="F52" s="10" t="n">
        <v>11</v>
      </c>
      <c r="G52" s="34" t="n">
        <v>0</v>
      </c>
      <c r="H52" s="9" t="n"/>
      <c r="I52" s="9" t="n"/>
      <c r="J52" s="9" t="n"/>
      <c r="K52" s="9" t="n"/>
      <c r="L52" s="9" t="n"/>
    </row>
  </sheetData>
  <autoFilter ref="A3:L52"/>
  <mergeCells count="1">
    <mergeCell ref="A1:L1"/>
  </mergeCells>
  <conditionalFormatting sqref="L4:L52">
    <cfRule type="colorScale" priority="1">
      <colorScale>
        <cfvo type="min"/>
        <cfvo type="num" val="0"/>
        <cfvo type="max"/>
        <color rgb="00C00000"/>
        <color rgb="00FFFFFF"/>
        <color rgb="00548235"/>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90" customWidth="1" min="2" max="2"/>
  </cols>
  <sheetData>
    <row r="1" ht="28" customHeight="1">
      <c r="A1" s="27" t="inlineStr">
        <is>
          <t>口径、数据范围与使用说明</t>
        </is>
      </c>
    </row>
    <row r="3">
      <c r="A3" s="4" t="inlineStr">
        <is>
          <t>项目</t>
        </is>
      </c>
      <c r="B3" s="4" t="inlineStr">
        <is>
          <t>说明</t>
        </is>
      </c>
    </row>
    <row r="4" ht="36" customHeight="1">
      <c r="A4" s="5" t="inlineStr">
        <is>
          <t>指标口径</t>
        </is>
      </c>
      <c r="B4" s="6" t="inlineStr">
        <is>
          <t>默认关注“净利润(推广后)”。同时对比“净利润(推广前)”用于判断商品本身是否有利润空间。</t>
        </is>
      </c>
    </row>
    <row r="5" ht="36" customHeight="1">
      <c r="A5" s="5" t="inlineStr">
        <is>
          <t>原味大大包</t>
        </is>
      </c>
      <c r="B5" s="6" t="inlineStr">
        <is>
          <t>源数据无“原味大大大面饼”精确品名；按商品名含大大包/原味大大，或定位为原味大包/大大 归类。</t>
        </is>
      </c>
    </row>
    <row r="6" ht="36" customHeight="1">
      <c r="A6" s="5" t="inlineStr">
        <is>
          <t>周次处理</t>
        </is>
      </c>
      <c r="B6" s="6" t="inlineStr">
        <is>
          <t>文件《天猫ID周损益_7.6-7.12.csv》日期列误标为6.29-7.5，已按文件名纠正为7.6-7.12。</t>
        </is>
      </c>
    </row>
    <row r="7" ht="36" customHeight="1">
      <c r="A7" s="5" t="inlineStr">
        <is>
          <t>两周数据</t>
        </is>
      </c>
      <c r="B7" s="6" t="inlineStr">
        <is>
          <t>《天猫ID周损益_7.27-8.2.csv》内容实际为7.20-8.2两周合计，不可与单周直接环比。</t>
        </is>
      </c>
    </row>
    <row r="8" ht="36" customHeight="1">
      <c r="A8" s="5" t="inlineStr">
        <is>
          <t>缺失周</t>
        </is>
      </c>
      <c r="B8" s="6" t="inlineStr">
        <is>
          <t>当前上传数据缺少部分周（如5.18-5.24、6月初部分周等），趋势解读需注意断档。</t>
        </is>
      </c>
    </row>
    <row r="9" ht="36" customHeight="1">
      <c r="A9" s="5" t="inlineStr">
        <is>
          <t>汇报建议</t>
        </is>
      </c>
      <c r="B9" s="6" t="inlineStr">
        <is>
          <t>先讲摘要页结论1-4，再展开近周归因TOP与大大专题；全量明细作附件。</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2026-08-11T13:38:08Z</dcterms:created>
  <dcterms:modified xsi:type="dcterms:W3CDTF">2026-08-11T13:38:08Z</dcterms:modified>
</cp:coreProperties>
</file>