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领导一页纸" sheetId="1" state="visible" r:id="rId1"/>
    <sheet name="02-主亏ID与原因" sheetId="2" state="visible" r:id="rId2"/>
    <sheet name="03-近周阶段归因" sheetId="3" state="visible" r:id="rId3"/>
    <sheet name="04-规格搭配（推广前）" sheetId="4" state="visible" r:id="rId4"/>
    <sheet name="05-口径说明"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微软雅黑"/>
      <b val="1"/>
      <color rgb="001F4E79"/>
      <sz val="16"/>
    </font>
    <font>
      <name val="微软雅黑"/>
      <color rgb="00666666"/>
      <sz val="9"/>
    </font>
    <font>
      <name val="微软雅黑"/>
      <b val="1"/>
      <color rgb="001F4E79"/>
      <sz val="12"/>
    </font>
    <font>
      <name val="微软雅黑"/>
      <b val="1"/>
      <sz val="10"/>
    </font>
    <font>
      <name val="微软雅黑"/>
      <b val="1"/>
      <color rgb="00FFFFFF"/>
      <sz val="10"/>
    </font>
    <font>
      <name val="微软雅黑"/>
      <sz val="10"/>
    </font>
    <font>
      <name val="Consolas"/>
      <sz val="10"/>
    </font>
    <font>
      <name val="Consolas"/>
      <color rgb="00C00000"/>
      <sz val="10"/>
    </font>
  </fonts>
  <fills count="8">
    <fill>
      <patternFill/>
    </fill>
    <fill>
      <patternFill patternType="gray125"/>
    </fill>
    <fill>
      <patternFill patternType="solid">
        <fgColor rgb="00FFF2CC"/>
      </patternFill>
    </fill>
    <fill>
      <patternFill patternType="solid">
        <fgColor rgb="001F4E79"/>
      </patternFill>
    </fill>
    <fill>
      <patternFill patternType="solid">
        <fgColor rgb="00DDEBF7"/>
      </patternFill>
    </fill>
    <fill>
      <patternFill patternType="solid">
        <fgColor rgb="00E2EFDA"/>
      </patternFill>
    </fill>
    <fill>
      <patternFill patternType="solid">
        <fgColor rgb="00FCE4D6"/>
      </patternFill>
    </fill>
    <fill>
      <patternFill patternType="solid">
        <fgColor rgb="00F2F2F2"/>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3"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wrapText="1"/>
    </xf>
    <xf numFmtId="0" fontId="0" fillId="0" borderId="4" pivotButton="0" quotePrefix="0" xfId="0"/>
    <xf numFmtId="0" fontId="0" fillId="0" borderId="5" pivotButton="0" quotePrefix="0" xfId="0"/>
    <xf numFmtId="0" fontId="6" fillId="4" borderId="1" applyAlignment="1" pivotButton="0" quotePrefix="0" xfId="0">
      <alignment vertical="center" wrapText="1"/>
    </xf>
    <xf numFmtId="0" fontId="6" fillId="0" borderId="1" applyAlignment="1" pivotButton="0" quotePrefix="0" xfId="0">
      <alignment vertical="center"/>
    </xf>
    <xf numFmtId="3" fontId="7" fillId="0" borderId="1" pivotButton="0" quotePrefix="0" xfId="0"/>
    <xf numFmtId="3" fontId="7" fillId="2" borderId="1" pivotButton="0" quotePrefix="0" xfId="0"/>
    <xf numFmtId="3" fontId="8" fillId="0" borderId="1" pivotButton="0" quotePrefix="0" xfId="0"/>
    <xf numFmtId="0" fontId="6" fillId="5" borderId="1" applyAlignment="1" pivotButton="0" quotePrefix="0" xfId="0">
      <alignment vertical="center"/>
    </xf>
    <xf numFmtId="0" fontId="6" fillId="6" borderId="1" applyAlignment="1" pivotButton="0" quotePrefix="0" xfId="0">
      <alignment vertical="center"/>
    </xf>
    <xf numFmtId="0" fontId="6" fillId="2" borderId="1" applyAlignment="1" pivotButton="0" quotePrefix="0" xfId="0">
      <alignment vertical="center"/>
    </xf>
    <xf numFmtId="164" fontId="7" fillId="0" borderId="1" pivotButton="0" quotePrefix="0" xfId="0"/>
    <xf numFmtId="0" fontId="6" fillId="2" borderId="1" applyAlignment="1" pivotButton="0" quotePrefix="0" xfId="0">
      <alignment vertical="center" wrapText="1"/>
    </xf>
    <xf numFmtId="0" fontId="6" fillId="6" borderId="1" applyAlignment="1" pivotButton="0" quotePrefix="0" xfId="0">
      <alignment vertical="center" wrapText="1"/>
    </xf>
    <xf numFmtId="0" fontId="6" fillId="7" borderId="1" applyAlignment="1" pivotButton="0" quotePrefix="0" xfId="0">
      <alignment vertical="center" wrapText="1"/>
    </xf>
    <xf numFmtId="0" fontId="4"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推广后利润周趋势</a:t>
            </a:r>
          </a:p>
        </rich>
      </tx>
    </title>
    <plotArea>
      <lineChart>
        <grouping val="standard"/>
        <ser>
          <idx val="0"/>
          <order val="0"/>
          <tx>
            <strRef>
              <f>'01-领导一页纸'!F24</f>
            </strRef>
          </tx>
          <spPr>
            <a:ln>
              <a:prstDash val="solid"/>
            </a:ln>
          </spPr>
          <marker>
            <symbol val="none"/>
            <spPr>
              <a:ln>
                <a:prstDash val="solid"/>
              </a:ln>
            </spPr>
          </marker>
          <cat>
            <numRef>
              <f>'01-领导一页纸'!$A$25:$A$33</f>
            </numRef>
          </cat>
          <val>
            <numRef>
              <f>'01-领导一页纸'!$F$25:$F$33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24" topLeftCell="A2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8" customWidth="1" min="8" max="8"/>
  </cols>
  <sheetData>
    <row r="1">
      <c r="A1" s="1" t="inlineStr">
        <is>
          <t>天猫旗舰店利润分析 · 领导汇报</t>
        </is>
      </c>
    </row>
    <row r="2">
      <c r="A2" s="2" t="inlineStr">
        <is>
          <t>口径：ID周损益｜其他费用已按周报校准｜推广后=推广前-(推广花费+其他费用)/1.06｜周次：5.11–7.27</t>
        </is>
      </c>
    </row>
    <row r="4">
      <c r="A4" s="3" t="inlineStr">
        <is>
          <t>一、一句话结论</t>
        </is>
      </c>
    </row>
    <row r="5" ht="48" customHeight="1">
      <c r="A5" s="4" t="inlineStr">
        <is>
          <t>亏在大链接：袋面主链/次链 + 杯面主链贡献大部分亏损。不是整体降价，而是“量/规格结构掉 → 推广前掉”，以及局部“加投 → 费率吃利润”。大大包不是主因。</t>
        </is>
      </c>
    </row>
    <row r="7">
      <c r="A7" s="3" t="inlineStr">
        <is>
          <t>二、核心结论</t>
        </is>
      </c>
    </row>
    <row r="8" ht="26" customHeight="1">
      <c r="A8" s="5" t="inlineStr">
        <is>
          <t>序号</t>
        </is>
      </c>
      <c r="B8" s="5" t="inlineStr">
        <is>
          <t>结论</t>
        </is>
      </c>
    </row>
    <row r="9" ht="28" customHeight="1">
      <c r="A9" s="6" t="inlineStr">
        <is>
          <t>结论1</t>
        </is>
      </c>
      <c r="B9" s="7" t="inlineStr">
        <is>
          <t>近三个月ID口径持续亏损；最好一周是7.6-7.12（推广后约-4109），之后再度走弱。</t>
        </is>
      </c>
      <c r="C9" s="8" t="n"/>
      <c r="D9" s="8" t="n"/>
      <c r="E9" s="8" t="n"/>
      <c r="F9" s="8" t="n"/>
      <c r="G9" s="8" t="n"/>
      <c r="H9" s="9" t="n"/>
    </row>
    <row r="10" ht="28" customHeight="1">
      <c r="A10" s="6" t="inlineStr">
        <is>
          <t>结论2</t>
        </is>
      </c>
      <c r="B10" s="7" t="inlineStr">
        <is>
          <t>主亏ID：649361890551（袋面次）、668566625747（袋面主）、649735171438（杯面主）。三只链接贡献大部分亏损。</t>
        </is>
      </c>
      <c r="C10" s="8" t="n"/>
      <c r="D10" s="8" t="n"/>
      <c r="E10" s="8" t="n"/>
      <c r="F10" s="8" t="n"/>
      <c r="G10" s="8" t="n"/>
      <c r="H10" s="9" t="n"/>
    </row>
    <row r="11" ht="28" customHeight="1">
      <c r="A11" s="6" t="inlineStr">
        <is>
          <t>结论3</t>
        </is>
      </c>
      <c r="B11" s="7" t="inlineStr">
        <is>
          <t>原因要分段：7.6→7.13 主要是推广前利润下降（要看规格搭配）；7.13→7.20 主要是推广费上升（次链/30包加投）。</t>
        </is>
      </c>
      <c r="C11" s="8" t="n"/>
      <c r="D11" s="8" t="n"/>
      <c r="E11" s="8" t="n"/>
      <c r="F11" s="8" t="n"/>
      <c r="G11" s="8" t="n"/>
      <c r="H11" s="9" t="n"/>
    </row>
    <row r="12" ht="28" customHeight="1">
      <c r="A12" s="6" t="inlineStr">
        <is>
          <t>结论4</t>
        </is>
      </c>
      <c r="B12" s="7" t="inlineStr">
        <is>
          <t>价格不是主因：主链推广前利率大体稳定（主链~13%、次链~9%、杯面~11%），更像量与规格结构问题。</t>
        </is>
      </c>
      <c r="C12" s="8" t="n"/>
      <c r="D12" s="8" t="n"/>
      <c r="E12" s="8" t="n"/>
      <c r="F12" s="8" t="n"/>
      <c r="G12" s="8" t="n"/>
      <c r="H12" s="9" t="n"/>
    </row>
    <row r="13" ht="28" customHeight="1">
      <c r="A13" s="6" t="inlineStr">
        <is>
          <t>结论5</t>
        </is>
      </c>
      <c r="B13" s="7" t="inlineStr">
        <is>
          <t>巴东链接费率32%–38%，属于推广费过高型亏损，应减投/停投验证。</t>
        </is>
      </c>
      <c r="C13" s="8" t="n"/>
      <c r="D13" s="8" t="n"/>
      <c r="E13" s="8" t="n"/>
      <c r="F13" s="8" t="n"/>
      <c r="G13" s="8" t="n"/>
      <c r="H13" s="9" t="n"/>
    </row>
    <row r="14" ht="28" customHeight="1">
      <c r="A14" s="6" t="inlineStr">
        <is>
          <t>结论6</t>
        </is>
      </c>
      <c r="B14" s="7" t="inlineStr">
        <is>
          <t>大大包能补推广前，但加投后推广后常被侵蚀，不是本轮主亏源，严控加投即可。</t>
        </is>
      </c>
      <c r="C14" s="8" t="n"/>
      <c r="D14" s="8" t="n"/>
      <c r="E14" s="8" t="n"/>
      <c r="F14" s="8" t="n"/>
      <c r="G14" s="8" t="n"/>
      <c r="H14" s="9" t="n"/>
    </row>
    <row r="16">
      <c r="A16" s="3" t="inlineStr">
        <is>
          <t>三、请拍板（行动）</t>
        </is>
      </c>
    </row>
    <row r="17" ht="24" customHeight="1">
      <c r="A17" s="10" t="inlineStr">
        <is>
          <t>① 立刻复盘袋面主链接5747：成交与推广前为何掉——下钻到规格搭配（10包爆款/混搭）。</t>
        </is>
      </c>
      <c r="B17" s="8" t="n"/>
      <c r="C17" s="8" t="n"/>
      <c r="D17" s="8" t="n"/>
      <c r="E17" s="8" t="n"/>
      <c r="F17" s="8" t="n"/>
      <c r="G17" s="8" t="n"/>
      <c r="H17" s="9" t="n"/>
    </row>
    <row r="18" ht="24" customHeight="1">
      <c r="A18" s="10" t="inlineStr">
        <is>
          <t>② 压降袋面次链接0551、30包等低效花费，先把费率打下来（针对加投周）。</t>
        </is>
      </c>
      <c r="B18" s="8" t="n"/>
      <c r="C18" s="8" t="n"/>
      <c r="D18" s="8" t="n"/>
      <c r="E18" s="8" t="n"/>
      <c r="F18" s="8" t="n"/>
      <c r="G18" s="8" t="n"/>
      <c r="H18" s="9" t="n"/>
    </row>
    <row r="19" ht="24" customHeight="1">
      <c r="A19" s="10" t="inlineStr">
        <is>
          <t>③ 巴东链接减投/停投一周看结果（费率过高型）。</t>
        </is>
      </c>
      <c r="B19" s="8" t="n"/>
      <c r="C19" s="8" t="n"/>
      <c r="D19" s="8" t="n"/>
      <c r="E19" s="8" t="n"/>
      <c r="F19" s="8" t="n"/>
      <c r="G19" s="8" t="n"/>
      <c r="H19" s="9" t="n"/>
    </row>
    <row r="20" ht="24" customHeight="1">
      <c r="A20" s="10" t="inlineStr">
        <is>
          <t>④ 24/15/30包原味与头部混搭：用「链接×规格搭配」盯周利润，混搭上下架先评估冲击。</t>
        </is>
      </c>
      <c r="B20" s="8" t="n"/>
      <c r="C20" s="8" t="n"/>
      <c r="D20" s="8" t="n"/>
      <c r="E20" s="8" t="n"/>
      <c r="F20" s="8" t="n"/>
      <c r="G20" s="8" t="n"/>
      <c r="H20" s="9" t="n"/>
    </row>
    <row r="21" ht="24" customHeight="1">
      <c r="A21" s="10" t="inlineStr">
        <is>
          <t>⑤ 大大包保留自然量，严控加投侵蚀。</t>
        </is>
      </c>
      <c r="B21" s="8" t="n"/>
      <c r="C21" s="8" t="n"/>
      <c r="D21" s="8" t="n"/>
      <c r="E21" s="8" t="n"/>
      <c r="F21" s="8" t="n"/>
      <c r="G21" s="8" t="n"/>
      <c r="H21" s="9" t="n"/>
    </row>
    <row r="23">
      <c r="A23" s="3" t="inlineStr">
        <is>
          <t>四、周趋势速览（ID合计）</t>
        </is>
      </c>
    </row>
    <row r="24" ht="26" customHeight="1">
      <c r="A24" s="5" t="inlineStr">
        <is>
          <t>周次</t>
        </is>
      </c>
      <c r="B24" s="5" t="inlineStr">
        <is>
          <t>成交金额</t>
        </is>
      </c>
      <c r="C24" s="5" t="inlineStr">
        <is>
          <t>推广前利润</t>
        </is>
      </c>
      <c r="D24" s="5" t="inlineStr">
        <is>
          <t>推广花费</t>
        </is>
      </c>
      <c r="E24" s="5" t="inlineStr">
        <is>
          <t>其他费用</t>
        </is>
      </c>
      <c r="F24" s="5" t="inlineStr">
        <is>
          <t>推广后利润</t>
        </is>
      </c>
      <c r="G24" s="5" t="inlineStr">
        <is>
          <t>环比_推广后</t>
        </is>
      </c>
      <c r="H24" s="5" t="inlineStr">
        <is>
          <t>主因</t>
        </is>
      </c>
    </row>
    <row r="25">
      <c r="A25" s="11" t="inlineStr">
        <is>
          <t>5.11-5.17</t>
        </is>
      </c>
      <c r="B25" s="12" t="n">
        <v>118254</v>
      </c>
      <c r="C25" s="12" t="n">
        <v>15585</v>
      </c>
      <c r="D25" s="12" t="n">
        <v>22200</v>
      </c>
      <c r="E25" s="13" t="n">
        <v>1911</v>
      </c>
      <c r="F25" s="14" t="n">
        <v>-7161</v>
      </c>
      <c r="G25" s="11" t="n"/>
      <c r="H25" s="11" t="inlineStr"/>
    </row>
    <row r="26">
      <c r="A26" s="11" t="inlineStr">
        <is>
          <t>5.25-5.31</t>
        </is>
      </c>
      <c r="B26" s="12" t="n">
        <v>123377</v>
      </c>
      <c r="C26" s="12" t="n">
        <v>16531</v>
      </c>
      <c r="D26" s="12" t="n">
        <v>22867</v>
      </c>
      <c r="E26" s="13" t="n">
        <v>1911</v>
      </c>
      <c r="F26" s="14" t="n">
        <v>-6845</v>
      </c>
      <c r="G26" s="12" t="n">
        <v>316</v>
      </c>
      <c r="H26" s="15" t="inlineStr">
        <is>
          <t>本期改善</t>
        </is>
      </c>
    </row>
    <row r="27">
      <c r="A27" s="11" t="inlineStr">
        <is>
          <t>6.15-6.21</t>
        </is>
      </c>
      <c r="B27" s="12" t="n">
        <v>102108</v>
      </c>
      <c r="C27" s="12" t="n">
        <v>13774</v>
      </c>
      <c r="D27" s="12" t="n">
        <v>19490</v>
      </c>
      <c r="E27" s="13" t="n">
        <v>3605</v>
      </c>
      <c r="F27" s="14" t="n">
        <v>-8013</v>
      </c>
      <c r="G27" s="14" t="n">
        <v>-1168</v>
      </c>
      <c r="H27" s="16" t="inlineStr">
        <is>
          <t>推广前利润下降</t>
        </is>
      </c>
    </row>
    <row r="28">
      <c r="A28" s="11" t="inlineStr">
        <is>
          <t>6.22-6.28</t>
        </is>
      </c>
      <c r="B28" s="12" t="n">
        <v>86704</v>
      </c>
      <c r="C28" s="12" t="n">
        <v>11722</v>
      </c>
      <c r="D28" s="12" t="n">
        <v>17051</v>
      </c>
      <c r="E28" s="13" t="n">
        <v>3605</v>
      </c>
      <c r="F28" s="14" t="n">
        <v>-7765</v>
      </c>
      <c r="G28" s="12" t="n">
        <v>248</v>
      </c>
      <c r="H28" s="15" t="inlineStr">
        <is>
          <t>本期改善</t>
        </is>
      </c>
    </row>
    <row r="29">
      <c r="A29" s="11" t="inlineStr">
        <is>
          <t>6.29-7.5</t>
        </is>
      </c>
      <c r="B29" s="12" t="n">
        <v>93257</v>
      </c>
      <c r="C29" s="12" t="n">
        <v>12985</v>
      </c>
      <c r="D29" s="12" t="n">
        <v>17357</v>
      </c>
      <c r="E29" s="13" t="n">
        <v>1951</v>
      </c>
      <c r="F29" s="14" t="n">
        <v>-5229</v>
      </c>
      <c r="G29" s="12" t="n">
        <v>2536</v>
      </c>
      <c r="H29" s="15" t="inlineStr">
        <is>
          <t>本期改善</t>
        </is>
      </c>
    </row>
    <row r="30">
      <c r="A30" s="11" t="inlineStr">
        <is>
          <t>7.6-7.12</t>
        </is>
      </c>
      <c r="B30" s="12" t="n">
        <v>120624</v>
      </c>
      <c r="C30" s="12" t="n">
        <v>16854</v>
      </c>
      <c r="D30" s="12" t="n">
        <v>20167</v>
      </c>
      <c r="E30" s="13" t="n">
        <v>2054</v>
      </c>
      <c r="F30" s="14" t="n">
        <v>-4109</v>
      </c>
      <c r="G30" s="12" t="n">
        <v>1120</v>
      </c>
      <c r="H30" s="15" t="inlineStr">
        <is>
          <t>本期改善</t>
        </is>
      </c>
    </row>
    <row r="31">
      <c r="A31" s="11" t="inlineStr">
        <is>
          <t>7.13-7.19</t>
        </is>
      </c>
      <c r="B31" s="12" t="n">
        <v>100698</v>
      </c>
      <c r="C31" s="12" t="n">
        <v>13663</v>
      </c>
      <c r="D31" s="12" t="n">
        <v>17570</v>
      </c>
      <c r="E31" s="13" t="n">
        <v>2405</v>
      </c>
      <c r="F31" s="14" t="n">
        <v>-5181</v>
      </c>
      <c r="G31" s="14" t="n">
        <v>-1072</v>
      </c>
      <c r="H31" s="16" t="inlineStr">
        <is>
          <t>推广前利润下降</t>
        </is>
      </c>
    </row>
    <row r="32">
      <c r="A32" s="11" t="inlineStr">
        <is>
          <t>7.20-7.26</t>
        </is>
      </c>
      <c r="B32" s="12" t="n">
        <v>98448</v>
      </c>
      <c r="C32" s="12" t="n">
        <v>13513</v>
      </c>
      <c r="D32" s="12" t="n">
        <v>18177</v>
      </c>
      <c r="E32" s="13" t="n">
        <v>2097</v>
      </c>
      <c r="F32" s="14" t="n">
        <v>-5614</v>
      </c>
      <c r="G32" s="14" t="n">
        <v>-432</v>
      </c>
      <c r="H32" s="17" t="inlineStr">
        <is>
          <t>推广费上升</t>
        </is>
      </c>
    </row>
    <row r="33">
      <c r="A33" s="11" t="inlineStr">
        <is>
          <t>7.27-8.2</t>
        </is>
      </c>
      <c r="B33" s="12" t="n">
        <v>107468</v>
      </c>
      <c r="C33" s="12" t="n">
        <v>15014</v>
      </c>
      <c r="D33" s="12" t="n">
        <v>19204</v>
      </c>
      <c r="E33" s="13" t="n">
        <v>2127</v>
      </c>
      <c r="F33" s="14" t="n">
        <v>-5110</v>
      </c>
      <c r="G33" s="12" t="n">
        <v>504</v>
      </c>
      <c r="H33" s="15" t="inlineStr">
        <is>
          <t>本期改善</t>
        </is>
      </c>
    </row>
  </sheetData>
  <mergeCells count="14">
    <mergeCell ref="A1:H1"/>
    <mergeCell ref="A18:H18"/>
    <mergeCell ref="B14:H14"/>
    <mergeCell ref="A21:H21"/>
    <mergeCell ref="B9:H9"/>
    <mergeCell ref="B13:H13"/>
    <mergeCell ref="A20:H20"/>
    <mergeCell ref="A2:H2"/>
    <mergeCell ref="B12:H12"/>
    <mergeCell ref="A19:H19"/>
    <mergeCell ref="B10:H10"/>
    <mergeCell ref="A5:H5"/>
    <mergeCell ref="B11:H11"/>
    <mergeCell ref="A17:H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12" customWidth="1" min="3" max="3"/>
    <col width="36" customWidth="1" min="4" max="4"/>
    <col width="12" customWidth="1" min="5" max="5"/>
    <col width="12" customWidth="1" min="6" max="6"/>
    <col width="12" customWidth="1" min="7" max="7"/>
    <col width="12" customWidth="1" min="8" max="8"/>
    <col width="8" customWidth="1" min="9" max="9"/>
    <col width="22" customWidth="1" min="10" max="10"/>
  </cols>
  <sheetData>
    <row r="1">
      <c r="A1" s="1" t="inlineStr">
        <is>
          <t>主亏ID清单与亏损类型</t>
        </is>
      </c>
    </row>
    <row r="2">
      <c r="A2" s="2" t="inlineStr">
        <is>
          <t>类型：费率过高｜加投放大｜推广前/规格结构为主。价格整体不是主因（推广前利率大体稳定）。</t>
        </is>
      </c>
    </row>
    <row r="4" ht="26" customHeight="1">
      <c r="A4" s="5" t="inlineStr">
        <is>
          <t>排名</t>
        </is>
      </c>
      <c r="B4" s="5" t="inlineStr">
        <is>
          <t>商品ID</t>
        </is>
      </c>
      <c r="C4" s="5" t="inlineStr">
        <is>
          <t>定位</t>
        </is>
      </c>
      <c r="D4" s="5" t="inlineStr">
        <is>
          <t>商品名称</t>
        </is>
      </c>
      <c r="E4" s="5" t="inlineStr">
        <is>
          <t>成交金额</t>
        </is>
      </c>
      <c r="F4" s="5" t="inlineStr">
        <is>
          <t>推广前利润</t>
        </is>
      </c>
      <c r="G4" s="5" t="inlineStr">
        <is>
          <t>推广花费</t>
        </is>
      </c>
      <c r="H4" s="5" t="inlineStr">
        <is>
          <t>推广后利润</t>
        </is>
      </c>
      <c r="I4" s="5" t="inlineStr">
        <is>
          <t>费率</t>
        </is>
      </c>
      <c r="J4" s="5" t="inlineStr">
        <is>
          <t>亏损类型判定</t>
        </is>
      </c>
    </row>
    <row r="5">
      <c r="A5" s="11" t="n">
        <v>1</v>
      </c>
      <c r="B5" s="11" t="inlineStr">
        <is>
          <t>649361890551</t>
        </is>
      </c>
      <c r="C5" s="11" t="inlineStr">
        <is>
          <t>袋面次链接</t>
        </is>
      </c>
      <c r="D5" s="7" t="inlineStr">
        <is>
          <t>营多捞面印尼进口Indomie网红夜宵早餐方便面火鸡面泡面拌面</t>
        </is>
      </c>
      <c r="E5" s="12" t="n">
        <v>174114</v>
      </c>
      <c r="F5" s="12" t="n">
        <v>16163</v>
      </c>
      <c r="G5" s="12" t="n">
        <v>33475</v>
      </c>
      <c r="H5" s="14" t="n">
        <v>-20782</v>
      </c>
      <c r="I5" s="18" t="n">
        <v>0.192260467802441</v>
      </c>
      <c r="J5" s="19" t="inlineStr">
        <is>
          <t>费率偏高+加投放大</t>
        </is>
      </c>
    </row>
    <row r="6">
      <c r="A6" s="11" t="n">
        <v>2</v>
      </c>
      <c r="B6" s="11" t="inlineStr">
        <is>
          <t>668566625747</t>
        </is>
      </c>
      <c r="C6" s="11" t="inlineStr">
        <is>
          <t>袋面主链接</t>
        </is>
      </c>
      <c r="D6" s="7" t="inlineStr">
        <is>
          <t>印尼营多捞面进口网红泡面袋装方便面速食食品拉面火鸡面拌面整箱</t>
        </is>
      </c>
      <c r="E6" s="12" t="n">
        <v>309481</v>
      </c>
      <c r="F6" s="12" t="n">
        <v>41286</v>
      </c>
      <c r="G6" s="12" t="n">
        <v>49702</v>
      </c>
      <c r="H6" s="14" t="n">
        <v>-12600</v>
      </c>
      <c r="I6" s="18" t="n">
        <v>0.1605984573996143</v>
      </c>
      <c r="J6" s="10" t="inlineStr">
        <is>
          <t>推广前/规格结构为主</t>
        </is>
      </c>
    </row>
    <row r="7">
      <c r="A7" s="11" t="n">
        <v>3</v>
      </c>
      <c r="B7" s="11" t="inlineStr">
        <is>
          <t>649735171438</t>
        </is>
      </c>
      <c r="C7" s="11" t="inlineStr">
        <is>
          <t>杯面主链接</t>
        </is>
      </c>
      <c r="D7" s="7" t="inlineStr">
        <is>
          <t>印尼进口indomie营多捞面杯面速食泡面干拌面盒桶装方便面火鸡面</t>
        </is>
      </c>
      <c r="E7" s="12" t="n">
        <v>142117</v>
      </c>
      <c r="F7" s="12" t="n">
        <v>16049</v>
      </c>
      <c r="G7" s="12" t="n">
        <v>25299</v>
      </c>
      <c r="H7" s="14" t="n">
        <v>-11006</v>
      </c>
      <c r="I7" s="18" t="n">
        <v>0.178012751198805</v>
      </c>
      <c r="J7" s="10" t="inlineStr">
        <is>
          <t>量/结构导致推广后亏损（看规格）</t>
        </is>
      </c>
    </row>
    <row r="8">
      <c r="A8" s="11" t="n">
        <v>4</v>
      </c>
      <c r="B8" s="11" t="inlineStr">
        <is>
          <t>1057479227624</t>
        </is>
      </c>
      <c r="C8" s="11" t="inlineStr">
        <is>
          <t>巴东牛肉</t>
        </is>
      </c>
      <c r="D8" s="7" t="inlineStr">
        <is>
          <t>【新口味】印尼进口营多捞面巴东炖牛肉味泡面方便面宿舍速食宵夜</t>
        </is>
      </c>
      <c r="E8" s="12" t="n">
        <v>12784</v>
      </c>
      <c r="F8" s="12" t="n">
        <v>1419</v>
      </c>
      <c r="G8" s="12" t="n">
        <v>4391</v>
      </c>
      <c r="H8" s="14" t="n">
        <v>-3090</v>
      </c>
      <c r="I8" s="18" t="n">
        <v>0.3434746486971045</v>
      </c>
      <c r="J8" s="20" t="inlineStr">
        <is>
          <t>推广费费率过高</t>
        </is>
      </c>
    </row>
    <row r="9">
      <c r="A9" s="11" t="n">
        <v>5</v>
      </c>
      <c r="B9" s="11" t="inlineStr">
        <is>
          <t>648600900806</t>
        </is>
      </c>
      <c r="C9" s="11" t="inlineStr">
        <is>
          <t>30包</t>
        </is>
      </c>
      <c r="D9" s="7" t="inlineStr">
        <is>
          <t>进口营多捞面一整箱30包网红速食方便面宿舍速食泡面干拌面拉面</t>
        </is>
      </c>
      <c r="E9" s="12" t="n">
        <v>69436</v>
      </c>
      <c r="F9" s="12" t="n">
        <v>13147</v>
      </c>
      <c r="G9" s="12" t="n">
        <v>15354</v>
      </c>
      <c r="H9" s="14" t="n">
        <v>-1947</v>
      </c>
      <c r="I9" s="18" t="n">
        <v>0.2211235687964377</v>
      </c>
      <c r="J9" s="10" t="inlineStr">
        <is>
          <t>推广前/规格结构为主</t>
        </is>
      </c>
    </row>
    <row r="10">
      <c r="A10" s="11" t="n">
        <v>6</v>
      </c>
      <c r="B10" s="11" t="inlineStr">
        <is>
          <t>649014937782</t>
        </is>
      </c>
      <c r="C10" s="11" t="inlineStr">
        <is>
          <t>24包</t>
        </is>
      </c>
      <c r="D10" s="7" t="inlineStr">
        <is>
          <t>印尼营多捞面干拌面一整箱24袋装批发泡面宿舍速食方便面火鸡面</t>
        </is>
      </c>
      <c r="E10" s="12" t="n">
        <v>39866</v>
      </c>
      <c r="F10" s="12" t="n">
        <v>7732</v>
      </c>
      <c r="G10" s="12" t="n">
        <v>8830</v>
      </c>
      <c r="H10" s="14" t="n">
        <v>-1002</v>
      </c>
      <c r="I10" s="18" t="n">
        <v>0.2214847277490483</v>
      </c>
      <c r="J10" s="10" t="inlineStr">
        <is>
          <t>推广前/规格结构为主</t>
        </is>
      </c>
    </row>
    <row r="11">
      <c r="A11" s="11" t="n">
        <v>7</v>
      </c>
      <c r="B11" s="11" t="inlineStr">
        <is>
          <t>1013887677295</t>
        </is>
      </c>
      <c r="C11" s="11" t="inlineStr">
        <is>
          <t>混搭5杯</t>
        </is>
      </c>
      <c r="D11" s="7" t="inlineStr">
        <is>
          <t>进口营多原味杯面日式杯面韩式杯面泡面方便面汤面宿舍速食夜宵</t>
        </is>
      </c>
      <c r="E11" s="12" t="n">
        <v>7751</v>
      </c>
      <c r="F11" s="12" t="n">
        <v>848</v>
      </c>
      <c r="G11" s="12" t="n">
        <v>1695</v>
      </c>
      <c r="H11" s="14" t="n">
        <v>-929</v>
      </c>
      <c r="I11" s="18" t="n">
        <v>0.2187320970403543</v>
      </c>
      <c r="J11" s="19" t="inlineStr">
        <is>
          <t>费率偏高+规模放大</t>
        </is>
      </c>
    </row>
    <row r="12">
      <c r="A12" s="11" t="n">
        <v>8</v>
      </c>
      <c r="B12" s="11" t="inlineStr">
        <is>
          <t>929504658691</t>
        </is>
      </c>
      <c r="C12" s="11" t="inlineStr">
        <is>
          <t>日式袋面</t>
        </is>
      </c>
      <c r="D12" s="7" t="inlineStr">
        <is>
          <t>营多捞面日式鸡肉汤面原味辛辣味袋装泡面方便面速食宿舍夜宵食品</t>
        </is>
      </c>
      <c r="E12" s="12" t="n">
        <v>4671</v>
      </c>
      <c r="F12" s="12" t="n">
        <v>720</v>
      </c>
      <c r="G12" s="12" t="n">
        <v>1498</v>
      </c>
      <c r="H12" s="14" t="n">
        <v>-815</v>
      </c>
      <c r="I12" s="18" t="n">
        <v>0.3207375833279815</v>
      </c>
      <c r="J12" s="20" t="inlineStr">
        <is>
          <t>推广费费率过高</t>
        </is>
      </c>
    </row>
    <row r="13">
      <c r="A13" s="11" t="n">
        <v>9</v>
      </c>
      <c r="B13" s="11" t="inlineStr">
        <is>
          <t>648681860568</t>
        </is>
      </c>
      <c r="C13" s="11" t="inlineStr">
        <is>
          <t>杯面次链接</t>
        </is>
      </c>
      <c r="D13" s="7" t="inlineStr">
        <is>
          <t>营多捞面杯装方便面泡面速食干拌面原味整箱批发印尼进口桶装拌面</t>
        </is>
      </c>
      <c r="E13" s="12" t="n">
        <v>9116</v>
      </c>
      <c r="F13" s="12" t="n">
        <v>914</v>
      </c>
      <c r="G13" s="12" t="n">
        <v>1597</v>
      </c>
      <c r="H13" s="14" t="n">
        <v>-803</v>
      </c>
      <c r="I13" s="18" t="n">
        <v>0.1751533913049202</v>
      </c>
      <c r="J13" s="10" t="inlineStr">
        <is>
          <t>量/结构导致推广后亏损（看规格）</t>
        </is>
      </c>
    </row>
    <row r="14">
      <c r="A14" s="11" t="n">
        <v>10</v>
      </c>
      <c r="B14" s="11" t="inlineStr">
        <is>
          <t>648598580775</t>
        </is>
      </c>
      <c r="C14" s="11" t="inlineStr">
        <is>
          <t>15包</t>
        </is>
      </c>
      <c r="D14" s="7" t="inlineStr">
        <is>
          <t>进口营多捞面15包Indomie方便面干拌面夜宵方便速食五连包85g*5</t>
        </is>
      </c>
      <c r="E14" s="12" t="n">
        <v>23498</v>
      </c>
      <c r="F14" s="12" t="n">
        <v>4179</v>
      </c>
      <c r="G14" s="12" t="n">
        <v>4459</v>
      </c>
      <c r="H14" s="14" t="n">
        <v>-393</v>
      </c>
      <c r="I14" s="18" t="n">
        <v>0.1897440354799078</v>
      </c>
      <c r="J14" s="10" t="inlineStr">
        <is>
          <t>推广前/规格结构为主</t>
        </is>
      </c>
    </row>
    <row r="17">
      <c r="A17" s="2" t="inlineStr">
        <is>
          <t>说明：主链5747推广前利率稳定在~13%，亏损主因不是降价，而是销量/规格搭配变动后推广前绝对额下降，再叠加推广花费。</t>
        </is>
      </c>
    </row>
  </sheetData>
  <mergeCells count="3">
    <mergeCell ref="A17:J17"/>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8" customWidth="1" min="1" max="1"/>
    <col width="16" customWidth="1" min="2" max="2"/>
    <col width="14" customWidth="1" min="3" max="3"/>
    <col width="12" customWidth="1" min="4" max="4"/>
    <col width="12" customWidth="1" min="5" max="5"/>
    <col width="12" customWidth="1" min="6" max="6"/>
    <col width="12" customWidth="1" min="7" max="7"/>
    <col width="16" customWidth="1" min="8" max="8"/>
  </cols>
  <sheetData>
    <row r="1">
      <c r="A1" s="1" t="inlineStr">
        <is>
          <t>近周阶段归因：推广前 vs 推广费</t>
        </is>
      </c>
    </row>
    <row r="3">
      <c r="A3" s="3" t="inlineStr">
        <is>
          <t>阶段总览</t>
        </is>
      </c>
    </row>
    <row r="4" ht="26" customHeight="1">
      <c r="A4" s="5" t="inlineStr">
        <is>
          <t>阶段</t>
        </is>
      </c>
      <c r="B4" s="5" t="inlineStr">
        <is>
          <t>周区间</t>
        </is>
      </c>
      <c r="C4" s="5" t="inlineStr">
        <is>
          <t>推广后变化</t>
        </is>
      </c>
      <c r="D4" s="5" t="inlineStr">
        <is>
          <t>推广前变化</t>
        </is>
      </c>
      <c r="E4" s="5" t="inlineStr">
        <is>
          <t>推广花费变化</t>
        </is>
      </c>
      <c r="F4" s="5" t="inlineStr">
        <is>
          <t>整段主因</t>
        </is>
      </c>
      <c r="G4" s="5" t="inlineStr">
        <is>
          <t>领导解读</t>
        </is>
      </c>
    </row>
    <row r="5" ht="36" customHeight="1">
      <c r="A5" s="6" t="inlineStr">
        <is>
          <t>阶段C</t>
        </is>
      </c>
      <c r="B5" s="11" t="inlineStr">
        <is>
          <t>7.6-7.12 → 7.13-7.19</t>
        </is>
      </c>
      <c r="C5" s="14" t="n">
        <v>-1072</v>
      </c>
      <c r="D5" s="14" t="n">
        <v>-3191</v>
      </c>
      <c r="E5" s="14" t="n">
        <v>-2596</v>
      </c>
      <c r="F5" s="16" t="inlineStr">
        <is>
          <t>主要是推广前利润下降</t>
        </is>
      </c>
      <c r="G5" s="7" t="inlineStr">
        <is>
          <t>量掉导致推广前掉，主链/30包/24包拖累；需规格搭配复盘</t>
        </is>
      </c>
    </row>
    <row r="6" ht="36" customHeight="1">
      <c r="A6" s="6" t="inlineStr">
        <is>
          <t>阶段D</t>
        </is>
      </c>
      <c r="B6" s="11" t="inlineStr">
        <is>
          <t>7.13-7.19 → 7.20-7.26</t>
        </is>
      </c>
      <c r="C6" s="14" t="n">
        <v>-432</v>
      </c>
      <c r="D6" s="14" t="n">
        <v>-150</v>
      </c>
      <c r="E6" s="12" t="n">
        <v>607</v>
      </c>
      <c r="F6" s="17" t="inlineStr">
        <is>
          <t>主要是推广费上升</t>
        </is>
      </c>
      <c r="G6" s="7" t="inlineStr">
        <is>
          <t>次链与30包加投，费率吃利润；先砍花费</t>
        </is>
      </c>
    </row>
    <row r="7" ht="36" customHeight="1">
      <c r="A7" s="6" t="inlineStr">
        <is>
          <t>阶段E</t>
        </is>
      </c>
      <c r="B7" s="11" t="inlineStr">
        <is>
          <t>7.20-7.26 → 7.27-8.2</t>
        </is>
      </c>
      <c r="C7" s="12" t="n">
        <v>504</v>
      </c>
      <c r="D7" s="12" t="n">
        <v>1501</v>
      </c>
      <c r="E7" s="12" t="n">
        <v>1027</v>
      </c>
      <c r="F7" s="15" t="inlineStr">
        <is>
          <t>本期改善</t>
        </is>
      </c>
      <c r="G7" s="7" t="inlineStr">
        <is>
          <t>整体小幅修复，局部仍有加投与规格走弱</t>
        </is>
      </c>
    </row>
    <row r="9">
      <c r="A9" s="3" t="inlineStr">
        <is>
          <t>阶段C 拖累TOP（7.6-7.12→7.13-7.19）｜整段主因：主要是推广前利润下降</t>
        </is>
      </c>
    </row>
    <row r="10" ht="26" customHeight="1">
      <c r="A10" s="5" t="inlineStr">
        <is>
          <t>排名</t>
        </is>
      </c>
      <c r="B10" s="5" t="inlineStr">
        <is>
          <t>商品ID</t>
        </is>
      </c>
      <c r="C10" s="5" t="inlineStr">
        <is>
          <t>定位</t>
        </is>
      </c>
      <c r="D10" s="5" t="inlineStr">
        <is>
          <t>d推广后</t>
        </is>
      </c>
      <c r="E10" s="5" t="inlineStr">
        <is>
          <t>d推广前</t>
        </is>
      </c>
      <c r="F10" s="5" t="inlineStr">
        <is>
          <t>d推广花费</t>
        </is>
      </c>
      <c r="G10" s="5" t="inlineStr">
        <is>
          <t>d成交</t>
        </is>
      </c>
      <c r="H10" s="5" t="inlineStr">
        <is>
          <t>原因</t>
        </is>
      </c>
    </row>
    <row r="11">
      <c r="A11" s="11" t="n">
        <v>1</v>
      </c>
      <c r="B11" s="11" t="inlineStr">
        <is>
          <t>668566625747</t>
        </is>
      </c>
      <c r="C11" s="11" t="inlineStr">
        <is>
          <t>袋面主链接</t>
        </is>
      </c>
      <c r="D11" s="14" t="n">
        <v>-666</v>
      </c>
      <c r="E11" s="14" t="n">
        <v>-597</v>
      </c>
      <c r="F11" s="14" t="n">
        <v>-133</v>
      </c>
      <c r="G11" s="14" t="n">
        <v>-3204</v>
      </c>
      <c r="H11" s="16" t="inlineStr">
        <is>
          <t>推广前利润下降</t>
        </is>
      </c>
    </row>
    <row r="12">
      <c r="A12" s="11" t="n">
        <v>2</v>
      </c>
      <c r="B12" s="11" t="inlineStr">
        <is>
          <t>648600900806</t>
        </is>
      </c>
      <c r="C12" s="11" t="inlineStr">
        <is>
          <t>30包</t>
        </is>
      </c>
      <c r="D12" s="14" t="n">
        <v>-244</v>
      </c>
      <c r="E12" s="14" t="n">
        <v>-587</v>
      </c>
      <c r="F12" s="14" t="n">
        <v>-359</v>
      </c>
      <c r="G12" s="14" t="n">
        <v>-3205</v>
      </c>
      <c r="H12" s="16" t="inlineStr">
        <is>
          <t>推广前利润下降</t>
        </is>
      </c>
    </row>
    <row r="13">
      <c r="A13" s="11" t="n">
        <v>3</v>
      </c>
      <c r="B13" s="11" t="inlineStr">
        <is>
          <t>649369494424</t>
        </is>
      </c>
      <c r="C13" s="11" t="inlineStr">
        <is>
          <t>24包经典/牛系列</t>
        </is>
      </c>
      <c r="D13" s="14" t="n">
        <v>-211</v>
      </c>
      <c r="E13" s="14" t="n">
        <v>-486</v>
      </c>
      <c r="F13" s="14" t="n">
        <v>-287</v>
      </c>
      <c r="G13" s="14" t="n">
        <v>-2590</v>
      </c>
      <c r="H13" s="16" t="inlineStr">
        <is>
          <t>推广前利润下降</t>
        </is>
      </c>
    </row>
    <row r="14">
      <c r="A14" s="11" t="n">
        <v>4</v>
      </c>
      <c r="B14" s="11" t="inlineStr">
        <is>
          <t>766165464414</t>
        </is>
      </c>
      <c r="C14" s="11" t="inlineStr">
        <is>
          <t>12包</t>
        </is>
      </c>
      <c r="D14" s="14" t="n">
        <v>-119</v>
      </c>
      <c r="E14" s="14" t="n">
        <v>-156</v>
      </c>
      <c r="F14" s="14" t="n">
        <v>-30</v>
      </c>
      <c r="G14" s="14" t="n">
        <v>-810</v>
      </c>
      <c r="H14" s="16" t="inlineStr">
        <is>
          <t>推广前利润下降</t>
        </is>
      </c>
    </row>
    <row r="15">
      <c r="A15" s="11" t="n">
        <v>5</v>
      </c>
      <c r="B15" s="11" t="inlineStr">
        <is>
          <t>648598580775</t>
        </is>
      </c>
      <c r="C15" s="11" t="inlineStr">
        <is>
          <t>原味大包</t>
        </is>
      </c>
      <c r="D15" s="14" t="n">
        <v>-100</v>
      </c>
      <c r="E15" s="14" t="n">
        <v>-200</v>
      </c>
      <c r="F15" s="14" t="n">
        <v>-106</v>
      </c>
      <c r="G15" s="14" t="n">
        <v>-985</v>
      </c>
      <c r="H15" s="16" t="inlineStr">
        <is>
          <t>推广前利润下降</t>
        </is>
      </c>
    </row>
    <row r="16">
      <c r="A16" s="11" t="n">
        <v>6</v>
      </c>
      <c r="B16" s="11" t="inlineStr">
        <is>
          <t>1059563993918</t>
        </is>
      </c>
      <c r="C16" s="11" t="inlineStr">
        <is>
          <t>原味大包</t>
        </is>
      </c>
      <c r="D16" s="14" t="n">
        <v>-65</v>
      </c>
      <c r="E16" s="14" t="n">
        <v>-46</v>
      </c>
      <c r="F16" s="12" t="n">
        <v>8</v>
      </c>
      <c r="G16" s="12" t="n">
        <v>147</v>
      </c>
      <c r="H16" s="16" t="inlineStr">
        <is>
          <t>推广前利润下降</t>
        </is>
      </c>
    </row>
    <row r="18">
      <c r="A18" s="3" t="inlineStr">
        <is>
          <t>阶段D 拖累TOP（7.13-7.19→7.20-7.26）｜整段主因：主要是推广费上升</t>
        </is>
      </c>
    </row>
    <row r="19" ht="26" customHeight="1">
      <c r="A19" s="5" t="inlineStr">
        <is>
          <t>排名</t>
        </is>
      </c>
      <c r="B19" s="5" t="inlineStr">
        <is>
          <t>商品ID</t>
        </is>
      </c>
      <c r="C19" s="5" t="inlineStr">
        <is>
          <t>定位</t>
        </is>
      </c>
      <c r="D19" s="5" t="inlineStr">
        <is>
          <t>d推广后</t>
        </is>
      </c>
      <c r="E19" s="5" t="inlineStr">
        <is>
          <t>d推广前</t>
        </is>
      </c>
      <c r="F19" s="5" t="inlineStr">
        <is>
          <t>d推广花费</t>
        </is>
      </c>
      <c r="G19" s="5" t="inlineStr">
        <is>
          <t>d成交</t>
        </is>
      </c>
      <c r="H19" s="5" t="inlineStr">
        <is>
          <t>原因</t>
        </is>
      </c>
    </row>
    <row r="20">
      <c r="A20" s="11" t="n">
        <v>1</v>
      </c>
      <c r="B20" s="11" t="inlineStr">
        <is>
          <t>649361890551</t>
        </is>
      </c>
      <c r="C20" s="11" t="inlineStr">
        <is>
          <t>袋面次链接</t>
        </is>
      </c>
      <c r="D20" s="14" t="n">
        <v>-266</v>
      </c>
      <c r="E20" s="12" t="n">
        <v>195</v>
      </c>
      <c r="F20" s="12" t="n">
        <v>529</v>
      </c>
      <c r="G20" s="12" t="n">
        <v>1346</v>
      </c>
      <c r="H20" s="17" t="inlineStr">
        <is>
          <t>推广费上升</t>
        </is>
      </c>
    </row>
    <row r="21">
      <c r="A21" s="11" t="n">
        <v>2</v>
      </c>
      <c r="B21" s="11" t="inlineStr">
        <is>
          <t>648600900806</t>
        </is>
      </c>
      <c r="C21" s="11" t="inlineStr">
        <is>
          <t>30包</t>
        </is>
      </c>
      <c r="D21" s="14" t="n">
        <v>-256</v>
      </c>
      <c r="E21" s="12" t="n">
        <v>30</v>
      </c>
      <c r="F21" s="12" t="n">
        <v>312</v>
      </c>
      <c r="G21" s="14" t="n">
        <v>-115</v>
      </c>
      <c r="H21" s="17" t="inlineStr">
        <is>
          <t>推广费上升</t>
        </is>
      </c>
    </row>
    <row r="22">
      <c r="A22" s="11" t="n">
        <v>3</v>
      </c>
      <c r="B22" s="11" t="inlineStr">
        <is>
          <t>649014937782</t>
        </is>
      </c>
      <c r="C22" s="11" t="inlineStr">
        <is>
          <t>原味大包</t>
        </is>
      </c>
      <c r="D22" s="14" t="n">
        <v>-113</v>
      </c>
      <c r="E22" s="14" t="n">
        <v>-151</v>
      </c>
      <c r="F22" s="14" t="n">
        <v>-23</v>
      </c>
      <c r="G22" s="14" t="n">
        <v>-939</v>
      </c>
      <c r="H22" s="16" t="inlineStr">
        <is>
          <t>推广前利润下降</t>
        </is>
      </c>
    </row>
    <row r="23">
      <c r="A23" s="11" t="n">
        <v>4</v>
      </c>
      <c r="B23" s="11" t="inlineStr">
        <is>
          <t>735014804839</t>
        </is>
      </c>
      <c r="C23" s="11" t="inlineStr">
        <is>
          <t>24/30包</t>
        </is>
      </c>
      <c r="D23" s="14" t="n">
        <v>-101</v>
      </c>
      <c r="E23" s="14" t="n">
        <v>-160</v>
      </c>
      <c r="F23" s="14" t="n">
        <v>-54</v>
      </c>
      <c r="G23" s="14" t="n">
        <v>-820</v>
      </c>
      <c r="H23" s="16" t="inlineStr">
        <is>
          <t>推广前利润下降</t>
        </is>
      </c>
    </row>
    <row r="24">
      <c r="A24" s="11" t="n">
        <v>5</v>
      </c>
      <c r="B24" s="11" t="inlineStr">
        <is>
          <t>1013887677295</t>
        </is>
      </c>
      <c r="C24" s="11" t="inlineStr">
        <is>
          <t>原味大包</t>
        </is>
      </c>
      <c r="D24" s="14" t="n">
        <v>-49</v>
      </c>
      <c r="E24" s="12" t="n">
        <v>10</v>
      </c>
      <c r="F24" s="12" t="n">
        <v>75</v>
      </c>
      <c r="G24" s="14" t="n">
        <v>-216</v>
      </c>
      <c r="H24" s="17" t="inlineStr">
        <is>
          <t>推广费上升</t>
        </is>
      </c>
    </row>
    <row r="25">
      <c r="A25" s="11" t="n">
        <v>6</v>
      </c>
      <c r="B25" s="11" t="inlineStr">
        <is>
          <t>648598580775</t>
        </is>
      </c>
      <c r="C25" s="11" t="inlineStr">
        <is>
          <t>原味大包</t>
        </is>
      </c>
      <c r="D25" s="14" t="n">
        <v>-43</v>
      </c>
      <c r="E25" s="14" t="n">
        <v>-87</v>
      </c>
      <c r="F25" s="14" t="n">
        <v>-33</v>
      </c>
      <c r="G25" s="14" t="n">
        <v>-487</v>
      </c>
      <c r="H25" s="16" t="inlineStr">
        <is>
          <t>推广前利润下降</t>
        </is>
      </c>
    </row>
    <row r="27">
      <c r="A27" s="3" t="inlineStr">
        <is>
          <t>阶段E 拖累TOP（7.20-7.26→7.27-8.2）｜整段主因：本期改善</t>
        </is>
      </c>
    </row>
    <row r="28" ht="26" customHeight="1">
      <c r="A28" s="5" t="inlineStr">
        <is>
          <t>排名</t>
        </is>
      </c>
      <c r="B28" s="5" t="inlineStr">
        <is>
          <t>商品ID</t>
        </is>
      </c>
      <c r="C28" s="5" t="inlineStr">
        <is>
          <t>定位</t>
        </is>
      </c>
      <c r="D28" s="5" t="inlineStr">
        <is>
          <t>d推广后</t>
        </is>
      </c>
      <c r="E28" s="5" t="inlineStr">
        <is>
          <t>d推广前</t>
        </is>
      </c>
      <c r="F28" s="5" t="inlineStr">
        <is>
          <t>d推广花费</t>
        </is>
      </c>
      <c r="G28" s="5" t="inlineStr">
        <is>
          <t>d成交</t>
        </is>
      </c>
      <c r="H28" s="5" t="inlineStr">
        <is>
          <t>原因</t>
        </is>
      </c>
    </row>
    <row r="29">
      <c r="A29" s="11" t="n">
        <v>1</v>
      </c>
      <c r="B29" s="11" t="inlineStr">
        <is>
          <t>648681860568</t>
        </is>
      </c>
      <c r="C29" s="11" t="inlineStr">
        <is>
          <t>杯面次链接</t>
        </is>
      </c>
      <c r="D29" s="14" t="n">
        <v>-170</v>
      </c>
      <c r="E29" s="14" t="n">
        <v>-60</v>
      </c>
      <c r="F29" s="12" t="n">
        <v>109</v>
      </c>
      <c r="G29" s="14" t="n">
        <v>-20</v>
      </c>
      <c r="H29" s="17" t="inlineStr">
        <is>
          <t>推广费上升</t>
        </is>
      </c>
    </row>
    <row r="30">
      <c r="A30" s="11" t="n">
        <v>2</v>
      </c>
      <c r="B30" s="11" t="inlineStr">
        <is>
          <t>649369494424</t>
        </is>
      </c>
      <c r="C30" s="11" t="inlineStr">
        <is>
          <t>24包经典/牛系列</t>
        </is>
      </c>
      <c r="D30" s="14" t="n">
        <v>-116</v>
      </c>
      <c r="E30" s="12" t="n">
        <v>8</v>
      </c>
      <c r="F30" s="12" t="n">
        <v>133</v>
      </c>
      <c r="G30" s="12" t="n">
        <v>138</v>
      </c>
      <c r="H30" s="17" t="inlineStr">
        <is>
          <t>推广费上升</t>
        </is>
      </c>
    </row>
    <row r="31">
      <c r="A31" s="11" t="n">
        <v>3</v>
      </c>
      <c r="B31" s="11" t="inlineStr">
        <is>
          <t>969423151512</t>
        </is>
      </c>
      <c r="C31" s="11" t="inlineStr">
        <is>
          <t>日韩混搭</t>
        </is>
      </c>
      <c r="D31" s="14" t="n">
        <v>-59</v>
      </c>
      <c r="E31" s="14" t="n">
        <v>-32</v>
      </c>
      <c r="F31" s="12" t="n">
        <v>31</v>
      </c>
      <c r="G31" s="14" t="n">
        <v>-27</v>
      </c>
      <c r="H31" s="16" t="inlineStr">
        <is>
          <t>推广前利润下降</t>
        </is>
      </c>
    </row>
    <row r="32">
      <c r="A32" s="11" t="n">
        <v>4</v>
      </c>
      <c r="B32" s="11" t="inlineStr">
        <is>
          <t>649014937782</t>
        </is>
      </c>
      <c r="C32" s="11" t="inlineStr">
        <is>
          <t>24包</t>
        </is>
      </c>
      <c r="D32" s="14" t="n">
        <v>-59</v>
      </c>
      <c r="E32" s="14" t="n">
        <v>-85</v>
      </c>
      <c r="F32" s="14" t="n">
        <v>-23</v>
      </c>
      <c r="G32" s="14" t="n">
        <v>-362</v>
      </c>
      <c r="H32" s="16" t="inlineStr">
        <is>
          <t>推广前利润下降</t>
        </is>
      </c>
    </row>
    <row r="33">
      <c r="A33" s="11" t="n">
        <v>5</v>
      </c>
      <c r="B33" s="11" t="inlineStr">
        <is>
          <t>744317232690</t>
        </is>
      </c>
      <c r="C33" s="11" t="inlineStr">
        <is>
          <t>多规格</t>
        </is>
      </c>
      <c r="D33" s="14" t="n">
        <v>-56</v>
      </c>
      <c r="E33" s="14" t="n">
        <v>-66</v>
      </c>
      <c r="F33" s="14" t="n">
        <v>-6</v>
      </c>
      <c r="G33" s="14" t="n">
        <v>-389</v>
      </c>
      <c r="H33" s="16" t="inlineStr">
        <is>
          <t>推广前利润下降</t>
        </is>
      </c>
    </row>
    <row r="34">
      <c r="A34" s="11" t="n">
        <v>6</v>
      </c>
      <c r="B34" s="11" t="inlineStr">
        <is>
          <t>937005385662</t>
        </is>
      </c>
      <c r="C34" s="11" t="inlineStr">
        <is>
          <t>日式袋面</t>
        </is>
      </c>
      <c r="D34" s="14" t="n">
        <v>-48</v>
      </c>
      <c r="E34" s="14" t="n">
        <v>-3</v>
      </c>
      <c r="F34" s="12" t="n">
        <v>47</v>
      </c>
      <c r="G34" s="12" t="n">
        <v>12</v>
      </c>
      <c r="H34" s="17" t="inlineStr">
        <is>
          <t>推广费上升</t>
        </is>
      </c>
    </row>
  </sheetData>
  <mergeCells count="4">
    <mergeCell ref="A9:H9"/>
    <mergeCell ref="A27:H27"/>
    <mergeCell ref="A18:H18"/>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0"/>
  <sheetViews>
    <sheetView workbookViewId="0">
      <pane ySplit="12" topLeftCell="A13" activePane="bottomLeft" state="frozen"/>
      <selection pane="bottomLeft" activeCell="A1" sqref="A1"/>
    </sheetView>
  </sheetViews>
  <sheetFormatPr baseColWidth="8" defaultRowHeight="15"/>
  <cols>
    <col width="16" customWidth="1" min="1" max="1"/>
    <col width="12" customWidth="1" min="2" max="2"/>
    <col width="8" customWidth="1" min="3" max="3"/>
    <col width="48" customWidth="1" min="4" max="4"/>
    <col width="10" customWidth="1" min="5" max="5"/>
    <col width="10" customWidth="1" min="6" max="6"/>
    <col width="10" customWidth="1" min="7" max="7"/>
    <col width="10" customWidth="1" min="8" max="8"/>
    <col width="10" customWidth="1" min="9" max="9"/>
    <col width="10" customWidth="1" min="10" max="10"/>
  </cols>
  <sheetData>
    <row r="1">
      <c r="A1" s="1" t="inlineStr">
        <is>
          <t>规格搭配分析（当主因=推广前利润下降时必看）</t>
        </is>
      </c>
    </row>
    <row r="2">
      <c r="A2" s="2" t="inlineStr">
        <is>
          <t>指标：推广前利润。利润起伏由头部件搭配驱动；袋面看10/15/24/30包，杯面看6杯。复盘用「链接×规格搭配」。</t>
        </is>
      </c>
    </row>
    <row r="4">
      <c r="A4" s="3" t="inlineStr">
        <is>
          <t>关系结论</t>
        </is>
      </c>
    </row>
    <row r="5" ht="26" customHeight="1">
      <c r="A5" s="21" t="inlineStr">
        <is>
          <t>1. 袋面推广前5→7约-1.0万，由少数大搭配主导，不是均匀下滑；5→6先大跌，6→7略回升。</t>
        </is>
      </c>
      <c r="B5" s="8" t="n"/>
      <c r="C5" s="8" t="n"/>
      <c r="D5" s="8" t="n"/>
      <c r="E5" s="8" t="n"/>
      <c r="F5" s="8" t="n"/>
      <c r="G5" s="8" t="n"/>
      <c r="H5" s="8" t="n"/>
      <c r="I5" s="8" t="n"/>
      <c r="J5" s="9" t="n"/>
    </row>
    <row r="6" ht="26" customHeight="1">
      <c r="A6" s="21" t="inlineStr">
        <is>
          <t>2. 规格数上：15包、24包、30包走弱明显；10包盘子最大。</t>
        </is>
      </c>
      <c r="B6" s="8" t="n"/>
      <c r="C6" s="8" t="n"/>
      <c r="D6" s="8" t="n"/>
      <c r="E6" s="8" t="n"/>
      <c r="F6" s="8" t="n"/>
      <c r="G6" s="8" t="n"/>
      <c r="H6" s="8" t="n"/>
      <c r="I6" s="8" t="n"/>
      <c r="J6" s="9" t="n"/>
    </row>
    <row r="7" ht="26" customHeight="1">
      <c r="A7" s="21" t="inlineStr">
        <is>
          <t>3. 5月部分大混搭7月归零，对袋面净下降冲击大——结构切换要评估。</t>
        </is>
      </c>
      <c r="B7" s="8" t="n"/>
      <c r="C7" s="8" t="n"/>
      <c r="D7" s="8" t="n"/>
      <c r="E7" s="8" t="n"/>
      <c r="F7" s="8" t="n"/>
      <c r="G7" s="8" t="n"/>
      <c r="H7" s="8" t="n"/>
      <c r="I7" s="8" t="n"/>
      <c r="J7" s="9" t="n"/>
    </row>
    <row r="8" ht="26" customHeight="1">
      <c r="A8" s="21" t="inlineStr">
        <is>
          <t>4. 纯原味箱规下滑显著；新混搭未能完全补上箱规缺口。</t>
        </is>
      </c>
      <c r="B8" s="8" t="n"/>
      <c r="C8" s="8" t="n"/>
      <c r="D8" s="8" t="n"/>
      <c r="E8" s="8" t="n"/>
      <c r="F8" s="8" t="n"/>
      <c r="G8" s="8" t="n"/>
      <c r="H8" s="8" t="n"/>
      <c r="I8" s="8" t="n"/>
      <c r="J8" s="9" t="n"/>
    </row>
    <row r="9" ht="26" customHeight="1">
      <c r="A9" s="21" t="inlineStr">
        <is>
          <t>5. 与ID叙事一致：5747/0551/30包/24包/15包的推广前波动，应对到具体搭配。</t>
        </is>
      </c>
      <c r="B9" s="8" t="n"/>
      <c r="C9" s="8" t="n"/>
      <c r="D9" s="8" t="n"/>
      <c r="E9" s="8" t="n"/>
      <c r="F9" s="8" t="n"/>
      <c r="G9" s="8" t="n"/>
      <c r="H9" s="8" t="n"/>
      <c r="I9" s="8" t="n"/>
      <c r="J9" s="9" t="n"/>
    </row>
    <row r="11">
      <c r="A11" s="3" t="inlineStr">
        <is>
          <t>袋面搭配：5→7推广前下跌TOP（含商品ID）</t>
        </is>
      </c>
    </row>
    <row r="12" ht="26" customHeight="1">
      <c r="A12" s="5" t="inlineStr">
        <is>
          <t>商品ID</t>
        </is>
      </c>
      <c r="B12" s="5" t="inlineStr">
        <is>
          <t>定位</t>
        </is>
      </c>
      <c r="C12" s="5" t="inlineStr">
        <is>
          <t>规格数</t>
        </is>
      </c>
      <c r="D12" s="5" t="inlineStr">
        <is>
          <t>商品规格搭配</t>
        </is>
      </c>
      <c r="E12" s="5" t="inlineStr">
        <is>
          <t>5月</t>
        </is>
      </c>
      <c r="F12" s="5" t="inlineStr">
        <is>
          <t>6月</t>
        </is>
      </c>
      <c r="G12" s="5" t="inlineStr">
        <is>
          <t>7月</t>
        </is>
      </c>
      <c r="H12" s="5" t="inlineStr">
        <is>
          <t>6月减5月</t>
        </is>
      </c>
      <c r="I12" s="5" t="inlineStr">
        <is>
          <t>7月减6月</t>
        </is>
      </c>
      <c r="J12" s="5" t="inlineStr">
        <is>
          <t>7月减5月</t>
        </is>
      </c>
    </row>
    <row r="13" ht="32" customHeight="1">
      <c r="A13" s="11" t="inlineStr">
        <is>
          <t>649014937782</t>
        </is>
      </c>
      <c r="B13" s="11" t="inlineStr">
        <is>
          <t>24包</t>
        </is>
      </c>
      <c r="C13" s="11" t="n">
        <v>24</v>
      </c>
      <c r="D13" s="7" t="inlineStr">
        <is>
          <t>原味*24</t>
        </is>
      </c>
      <c r="E13" s="12" t="n">
        <v>3235</v>
      </c>
      <c r="F13" s="12" t="n">
        <v>1873</v>
      </c>
      <c r="G13" s="12" t="n">
        <v>1553</v>
      </c>
      <c r="H13" s="14" t="n">
        <v>-1363</v>
      </c>
      <c r="I13" s="14" t="n">
        <v>-320</v>
      </c>
      <c r="J13" s="14" t="n">
        <v>-1682</v>
      </c>
    </row>
    <row r="14" ht="32" customHeight="1">
      <c r="A14" s="11" t="inlineStr">
        <is>
          <t>668566625747</t>
        </is>
      </c>
      <c r="B14" s="11" t="inlineStr">
        <is>
          <t>袋面主链接</t>
        </is>
      </c>
      <c r="C14" s="11" t="n">
        <v>10</v>
      </c>
      <c r="D14" s="7" t="inlineStr">
        <is>
          <t>原味*2+香辣*1+香牛*1+大骨*1+茄牛*1+日式原*1+日式辣*1+韩式辣火鸡*1+韩式辣蘑菇*1</t>
        </is>
      </c>
      <c r="E14" s="12" t="n">
        <v>1623</v>
      </c>
      <c r="F14" s="12" t="n"/>
      <c r="G14" s="12" t="n"/>
      <c r="H14" s="14" t="n">
        <v>-1623</v>
      </c>
      <c r="I14" s="12" t="n">
        <v>0</v>
      </c>
      <c r="J14" s="14" t="n">
        <v>-1623</v>
      </c>
    </row>
    <row r="15" ht="32" customHeight="1">
      <c r="A15" s="11" t="inlineStr">
        <is>
          <t>648598580775</t>
        </is>
      </c>
      <c r="B15" s="11" t="inlineStr">
        <is>
          <t>15包</t>
        </is>
      </c>
      <c r="C15" s="11" t="n">
        <v>15</v>
      </c>
      <c r="D15" s="7" t="inlineStr">
        <is>
          <t>原味*15</t>
        </is>
      </c>
      <c r="E15" s="12" t="n">
        <v>2210</v>
      </c>
      <c r="F15" s="12" t="n">
        <v>1067</v>
      </c>
      <c r="G15" s="12" t="n">
        <v>764</v>
      </c>
      <c r="H15" s="14" t="n">
        <v>-1143</v>
      </c>
      <c r="I15" s="14" t="n">
        <v>-304</v>
      </c>
      <c r="J15" s="14" t="n">
        <v>-1447</v>
      </c>
    </row>
    <row r="16" ht="32" customHeight="1">
      <c r="A16" s="11" t="inlineStr">
        <is>
          <t>649361890551</t>
        </is>
      </c>
      <c r="B16" s="11" t="inlineStr">
        <is>
          <t>袋面次链接</t>
        </is>
      </c>
      <c r="C16" s="11" t="n">
        <v>10</v>
      </c>
      <c r="D16" s="7" t="inlineStr">
        <is>
          <t>原味*2+香辣*1+香牛*1+大骨*1+茄牛*1+日式原*1+日式辣*1+韩式辣火鸡*1+韩式辣蘑菇*1</t>
        </is>
      </c>
      <c r="E16" s="12" t="n">
        <v>1306</v>
      </c>
      <c r="F16" s="12" t="n"/>
      <c r="G16" s="12" t="n"/>
      <c r="H16" s="14" t="n">
        <v>-1306</v>
      </c>
      <c r="I16" s="12" t="n">
        <v>0</v>
      </c>
      <c r="J16" s="14" t="n">
        <v>-1306</v>
      </c>
    </row>
    <row r="17" ht="32" customHeight="1">
      <c r="A17" s="11" t="inlineStr">
        <is>
          <t>649014937782</t>
        </is>
      </c>
      <c r="B17" s="11" t="inlineStr">
        <is>
          <t>24包</t>
        </is>
      </c>
      <c r="C17" s="11" t="n">
        <v>24</v>
      </c>
      <c r="D17" s="7" t="inlineStr">
        <is>
          <t>原味*6+香辣*6+大骨*6+日式原*6</t>
        </is>
      </c>
      <c r="E17" s="12" t="n">
        <v>1282</v>
      </c>
      <c r="F17" s="12" t="n">
        <v>466</v>
      </c>
      <c r="G17" s="12" t="n">
        <v>361</v>
      </c>
      <c r="H17" s="14" t="n">
        <v>-815</v>
      </c>
      <c r="I17" s="14" t="n">
        <v>-105</v>
      </c>
      <c r="J17" s="14" t="n">
        <v>-920</v>
      </c>
    </row>
    <row r="18" ht="32" customHeight="1">
      <c r="A18" s="11" t="inlineStr">
        <is>
          <t>648600900806</t>
        </is>
      </c>
      <c r="B18" s="11" t="inlineStr">
        <is>
          <t>30包</t>
        </is>
      </c>
      <c r="C18" s="11" t="n">
        <v>30</v>
      </c>
      <c r="D18" s="7" t="inlineStr">
        <is>
          <t>原味*10+香辣*5+香牛*5+大骨*5+茄牛*5</t>
        </is>
      </c>
      <c r="E18" s="12" t="n">
        <v>1079</v>
      </c>
      <c r="F18" s="12" t="n">
        <v>224</v>
      </c>
      <c r="G18" s="12" t="n">
        <v>176</v>
      </c>
      <c r="H18" s="14" t="n">
        <v>-856</v>
      </c>
      <c r="I18" s="14" t="n">
        <v>-47</v>
      </c>
      <c r="J18" s="14" t="n">
        <v>-903</v>
      </c>
    </row>
    <row r="19" ht="32" customHeight="1">
      <c r="A19" s="11" t="inlineStr">
        <is>
          <t>648598580775</t>
        </is>
      </c>
      <c r="B19" s="11" t="inlineStr">
        <is>
          <t>15包</t>
        </is>
      </c>
      <c r="C19" s="11" t="n">
        <v>15</v>
      </c>
      <c r="D19" s="7" t="inlineStr">
        <is>
          <t>原味*2+香辣*2+香牛*2+火鸡*2+大骨*2+茄牛*2+日式原*1+日式辣*1+韩式辣火鸡*1</t>
        </is>
      </c>
      <c r="E19" s="12" t="n">
        <v>862</v>
      </c>
      <c r="F19" s="12" t="n"/>
      <c r="G19" s="12" t="n"/>
      <c r="H19" s="14" t="n">
        <v>-862</v>
      </c>
      <c r="I19" s="12" t="n">
        <v>0</v>
      </c>
      <c r="J19" s="14" t="n">
        <v>-862</v>
      </c>
    </row>
    <row r="20" ht="32" customHeight="1">
      <c r="A20" s="11" t="inlineStr">
        <is>
          <t>648600900806</t>
        </is>
      </c>
      <c r="B20" s="11" t="inlineStr">
        <is>
          <t>30包</t>
        </is>
      </c>
      <c r="C20" s="11" t="n">
        <v>30</v>
      </c>
      <c r="D20" s="7" t="inlineStr">
        <is>
          <t>原味*30</t>
        </is>
      </c>
      <c r="E20" s="12" t="n">
        <v>3860</v>
      </c>
      <c r="F20" s="12" t="n">
        <v>3462</v>
      </c>
      <c r="G20" s="12" t="n">
        <v>3072</v>
      </c>
      <c r="H20" s="14" t="n">
        <v>-397</v>
      </c>
      <c r="I20" s="14" t="n">
        <v>-390</v>
      </c>
      <c r="J20" s="14" t="n">
        <v>-787</v>
      </c>
    </row>
    <row r="21" ht="32" customHeight="1">
      <c r="A21" s="11" t="inlineStr">
        <is>
          <t>648600900806</t>
        </is>
      </c>
      <c r="B21" s="11" t="inlineStr">
        <is>
          <t>30包</t>
        </is>
      </c>
      <c r="C21" s="11" t="n">
        <v>30</v>
      </c>
      <c r="D21" s="7" t="inlineStr">
        <is>
          <t>原味*8+香辣*5+香牛*5+大��*5+茄牛*5+韩式辣火鸡*1+韩式辣蘑菇*1</t>
        </is>
      </c>
      <c r="E21" s="12" t="n">
        <v>692</v>
      </c>
      <c r="F21" s="12" t="n"/>
      <c r="G21" s="12" t="n"/>
      <c r="H21" s="14" t="n">
        <v>-692</v>
      </c>
      <c r="I21" s="12" t="n">
        <v>0</v>
      </c>
      <c r="J21" s="14" t="n">
        <v>-692</v>
      </c>
    </row>
    <row r="22" ht="32" customHeight="1">
      <c r="A22" s="11" t="inlineStr">
        <is>
          <t>668566625747</t>
        </is>
      </c>
      <c r="B22" s="11" t="inlineStr">
        <is>
          <t>袋面主链接</t>
        </is>
      </c>
      <c r="C22" s="11" t="n">
        <v>10</v>
      </c>
      <c r="D22" s="7" t="inlineStr">
        <is>
          <t>原味*2+香辣*2+香牛*2+大骨*1+日式原*1+日式辣*1+韩式辣火鸡*1</t>
        </is>
      </c>
      <c r="E22" s="12" t="n">
        <v>564</v>
      </c>
      <c r="F22" s="12" t="n"/>
      <c r="G22" s="12" t="n"/>
      <c r="H22" s="14" t="n">
        <v>-564</v>
      </c>
      <c r="I22" s="12" t="n">
        <v>0</v>
      </c>
      <c r="J22" s="14" t="n">
        <v>-564</v>
      </c>
    </row>
    <row r="23" ht="32" customHeight="1">
      <c r="A23" s="11" t="inlineStr">
        <is>
          <t>649014937782</t>
        </is>
      </c>
      <c r="B23" s="11" t="inlineStr">
        <is>
          <t>24包</t>
        </is>
      </c>
      <c r="C23" s="11" t="n">
        <v>24</v>
      </c>
      <c r="D23" s="7" t="inlineStr">
        <is>
          <t>原味*4+香辣*4+香牛*4+大骨*3+茄牛*3+日式原*2+日式辣*2+韩式辣火鸡*1+韩式辣蘑菇*1</t>
        </is>
      </c>
      <c r="E23" s="12" t="n">
        <v>552</v>
      </c>
      <c r="F23" s="12" t="n"/>
      <c r="G23" s="12" t="n"/>
      <c r="H23" s="14" t="n">
        <v>-552</v>
      </c>
      <c r="I23" s="12" t="n">
        <v>0</v>
      </c>
      <c r="J23" s="14" t="n">
        <v>-552</v>
      </c>
    </row>
    <row r="24" ht="32" customHeight="1">
      <c r="A24" s="11" t="inlineStr">
        <is>
          <t>648598580775</t>
        </is>
      </c>
      <c r="B24" s="11" t="inlineStr">
        <is>
          <t>15包</t>
        </is>
      </c>
      <c r="C24" s="11" t="n">
        <v>15</v>
      </c>
      <c r="D24" s="7" t="inlineStr">
        <is>
          <t>原味*3+香辣*3+香牛*3+大骨*3+茄牛*3</t>
        </is>
      </c>
      <c r="E24" s="12" t="n">
        <v>721</v>
      </c>
      <c r="F24" s="12" t="n">
        <v>270</v>
      </c>
      <c r="G24" s="12" t="n">
        <v>191</v>
      </c>
      <c r="H24" s="14" t="n">
        <v>-452</v>
      </c>
      <c r="I24" s="14" t="n">
        <v>-79</v>
      </c>
      <c r="J24" s="14" t="n">
        <v>-530</v>
      </c>
    </row>
    <row r="25" ht="32" customHeight="1">
      <c r="A25" s="11" t="inlineStr">
        <is>
          <t>648600900806</t>
        </is>
      </c>
      <c r="B25" s="11" t="inlineStr">
        <is>
          <t>30包</t>
        </is>
      </c>
      <c r="C25" s="11" t="n">
        <v>30</v>
      </c>
      <c r="D25" s="7" t="inlineStr">
        <is>
          <t>原味*10+香辣*10+香牛*5+大骨*5</t>
        </is>
      </c>
      <c r="E25" s="12" t="n">
        <v>1157</v>
      </c>
      <c r="F25" s="12" t="n">
        <v>869</v>
      </c>
      <c r="G25" s="12" t="n">
        <v>702</v>
      </c>
      <c r="H25" s="14" t="n">
        <v>-288</v>
      </c>
      <c r="I25" s="14" t="n">
        <v>-168</v>
      </c>
      <c r="J25" s="14" t="n">
        <v>-455</v>
      </c>
    </row>
    <row r="26" ht="32" customHeight="1">
      <c r="A26" s="11" t="inlineStr">
        <is>
          <t>668566625747</t>
        </is>
      </c>
      <c r="B26" s="11" t="inlineStr">
        <is>
          <t>袋面主链接</t>
        </is>
      </c>
      <c r="C26" s="11" t="n">
        <v>15</v>
      </c>
      <c r="D26" s="7" t="inlineStr">
        <is>
          <t>原味*3+香辣*3+香牛*3+大骨*2+茄牛*2+日式原*1+日式辣*1</t>
        </is>
      </c>
      <c r="E26" s="12" t="n">
        <v>404</v>
      </c>
      <c r="F26" s="12" t="n"/>
      <c r="G26" s="12" t="n"/>
      <c r="H26" s="14" t="n">
        <v>-404</v>
      </c>
      <c r="I26" s="12" t="n">
        <v>0</v>
      </c>
      <c r="J26" s="14" t="n">
        <v>-404</v>
      </c>
    </row>
    <row r="27" ht="32" customHeight="1">
      <c r="A27" s="11" t="inlineStr">
        <is>
          <t>649361890551</t>
        </is>
      </c>
      <c r="B27" s="11" t="inlineStr">
        <is>
          <t>袋面次链接</t>
        </is>
      </c>
      <c r="C27" s="11" t="n">
        <v>10</v>
      </c>
      <c r="D27" s="7" t="inlineStr">
        <is>
          <t>原味*10</t>
        </is>
      </c>
      <c r="E27" s="12" t="n">
        <v>1366</v>
      </c>
      <c r="F27" s="12" t="n">
        <v>1391</v>
      </c>
      <c r="G27" s="12" t="n">
        <v>1053</v>
      </c>
      <c r="H27" s="12" t="n">
        <v>25</v>
      </c>
      <c r="I27" s="14" t="n">
        <v>-338</v>
      </c>
      <c r="J27" s="14" t="n">
        <v>-313</v>
      </c>
    </row>
    <row r="30" ht="30" customHeight="1">
      <c r="A30" s="22" t="inlineStr">
        <is>
          <t>领导动作：盯头部件周利润（原味10/30/15/24、主链10包混搭）；混搭上下架先评估利润冲击；复盘必须到「ID×搭配」。</t>
        </is>
      </c>
    </row>
  </sheetData>
  <mergeCells count="8">
    <mergeCell ref="A1:J1"/>
    <mergeCell ref="A5:J5"/>
    <mergeCell ref="A8:J8"/>
    <mergeCell ref="A6:J6"/>
    <mergeCell ref="A9:J9"/>
    <mergeCell ref="A30:J30"/>
    <mergeCell ref="A7:J7"/>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10" customWidth="1" min="1" max="1"/>
  </cols>
  <sheetData>
    <row r="1">
      <c r="A1" s="1" t="inlineStr">
        <is>
          <t>口径与数据说明</t>
        </is>
      </c>
    </row>
    <row r="3">
      <c r="A3" s="23" t="inlineStr">
        <is>
          <t>数据源：天猫ID周损益合并（9周）+ 旗舰店周报其他费用校准 + 规格搭配分析（推广前利润）。</t>
        </is>
      </c>
    </row>
    <row r="4">
      <c r="A4" s="23" t="inlineStr">
        <is>
          <t>其他费用：各周合计以周报为准，按件数占比分摊到ID。</t>
        </is>
      </c>
    </row>
    <row r="5">
      <c r="A5" s="23" t="inlineStr">
        <is>
          <t>推广后利润：推广前 − (推广总花费 + 其他费用) / 1.06。</t>
        </is>
      </c>
    </row>
    <row r="6">
      <c r="A6" s="23" t="inlineStr">
        <is>
          <t>主因判定：环比为负时，若推广前下降幅度 ≥ 推广花费上升的税后影响，则判为「推广前利润下降」；反之判为「推广费上升」。</t>
        </is>
      </c>
    </row>
    <row r="7">
      <c r="A7" s="23" t="inlineStr">
        <is>
          <t>本报告用于领导决策；明细见天猫利润分析.xlsx；搭配桥接见利润变化_规格搭配关系.xlsx。</t>
        </is>
      </c>
    </row>
  </sheetData>
  <mergeCells count="5">
    <mergeCell ref="A5:F5"/>
    <mergeCell ref="A6:F6"/>
    <mergeCell ref="A4:F4"/>
    <mergeCell ref="A3:F3"/>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2026-08-13T00:38:09Z</dcterms:created>
  <dcterms:modified xsi:type="dcterms:W3CDTF">2026-08-13T00:38:09Z</dcterms:modified>
</cp:coreProperties>
</file>