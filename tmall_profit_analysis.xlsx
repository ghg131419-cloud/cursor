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chart1.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8800" windowHeight="12255" tabRatio="600" firstSheet="1" activeTab="1" autoFilterDateGrouping="1"/>
  </bookViews>
  <sheets>
    <sheet name="01-汇报摘要" sheetId="1" state="visible" r:id="rId1"/>
    <sheet name="01-整体周趋势" sheetId="2" state="visible" r:id="rId2"/>
    <sheet name="03-近周回落归因" sheetId="3" state="visible" r:id="rId3"/>
    <sheet name="02-原味大大专题" sheetId="4" state="visible" r:id="rId4"/>
    <sheet name="03-各周亏损TOP5" sheetId="5" state="visible" r:id="rId5"/>
    <sheet name="04-全量ID每周净利润" sheetId="6" state="visible" r:id="rId6"/>
    <sheet name="周报其他费用" sheetId="7" state="visible" r:id="rId7"/>
    <sheet name="数据源1" sheetId="8" state="visible" r:id="rId8"/>
  </sheets>
  <externalReferences>
    <externalReference r:id="rId9"/>
    <externalReference r:id="rId10"/>
  </externalReferences>
  <definedNames>
    <definedName name="_xlnm._FilterDatabase" localSheetId="4" hidden="1">'03-各周亏损TOP5'!$A$3:$H$43</definedName>
  </definedNames>
  <calcPr calcId="191029" fullCalcOnLoad="1"/>
</workbook>
</file>

<file path=xl/styles.xml><?xml version="1.0" encoding="utf-8"?>
<styleSheet xmlns="http://schemas.openxmlformats.org/spreadsheetml/2006/main">
  <numFmts count="4">
    <numFmt numFmtId="164" formatCode="0_);[Red]\(0\)"/>
    <numFmt numFmtId="165" formatCode="#,##0_ "/>
    <numFmt numFmtId="166" formatCode="_ * #,##0_ ;_ * \-#,##0_ ;_ * &quot;-&quot;??_ ;_ @_ "/>
    <numFmt numFmtId="167" formatCode="0.0%"/>
  </numFmts>
  <fonts count="44">
    <font>
      <name val="宋体"/>
      <charset val="134"/>
      <color theme="1"/>
      <sz val="11"/>
      <scheme val="minor"/>
    </font>
    <font>
      <name val="微软雅黑"/>
      <charset val="134"/>
      <b val="1"/>
      <color rgb="FF1F4E79"/>
      <sz val="14"/>
    </font>
    <font>
      <name val="微软雅黑"/>
      <charset val="134"/>
      <b val="1"/>
      <color rgb="FFFFFFFF"/>
      <sz val="10"/>
    </font>
    <font>
      <name val="微软雅黑"/>
      <charset val="134"/>
      <sz val="9"/>
    </font>
    <font>
      <name val="Consolas"/>
      <charset val="134"/>
      <sz val="9"/>
    </font>
    <font>
      <name val="微软雅黑"/>
      <charset val="134"/>
      <b val="1"/>
      <color rgb="FF1F4E79"/>
      <sz val="16"/>
    </font>
    <font>
      <name val="微软雅黑"/>
      <charset val="134"/>
      <b val="1"/>
      <color rgb="FFFFFFFF"/>
      <sz val="11"/>
    </font>
    <font>
      <name val="微软雅黑"/>
      <charset val="134"/>
      <sz val="10"/>
    </font>
    <font>
      <name val="微软雅黑"/>
      <charset val="134"/>
      <color theme="1"/>
      <sz val="10"/>
    </font>
    <font>
      <name val="微软雅黑"/>
      <charset val="134"/>
      <color theme="0"/>
      <sz val="10"/>
    </font>
    <font>
      <name val="微软雅黑"/>
      <charset val="134"/>
      <color rgb="FFC00000"/>
      <sz val="10"/>
    </font>
    <font>
      <name val="微软雅黑"/>
      <charset val="134"/>
      <color rgb="FF548235"/>
      <sz val="10"/>
    </font>
    <font>
      <name val="微软雅黑"/>
      <charset val="134"/>
      <b val="1"/>
      <color rgb="FF548235"/>
      <sz val="12"/>
    </font>
    <font>
      <name val="微软雅黑"/>
      <charset val="134"/>
      <b val="1"/>
      <color rgb="FF1F4E79"/>
      <sz val="12"/>
    </font>
    <font>
      <name val="微软雅黑"/>
      <charset val="134"/>
      <b val="1"/>
      <color rgb="FFC65911"/>
      <sz val="12"/>
    </font>
    <font>
      <name val="微软雅黑"/>
      <charset val="134"/>
      <b val="1"/>
      <color rgb="FF1F4E79"/>
      <sz val="18"/>
    </font>
    <font>
      <name val="微软雅黑"/>
      <charset val="134"/>
      <b val="1"/>
      <color rgb="FF1F4E79"/>
      <sz val="13"/>
    </font>
    <font>
      <name val="微软雅黑"/>
      <charset val="134"/>
      <b val="1"/>
      <sz val="10"/>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微软雅黑"/>
      <b val="1"/>
      <color rgb="001F4E79"/>
      <sz val="14"/>
    </font>
    <font>
      <name val="微软雅黑"/>
      <color rgb="00666666"/>
      <sz val="8"/>
    </font>
    <font>
      <name val="微软雅黑"/>
      <b val="1"/>
      <color rgb="00FFFFFF"/>
      <sz val="10"/>
    </font>
    <font>
      <name val="微软雅黑"/>
      <sz val="9"/>
    </font>
    <font>
      <name val="Consolas"/>
      <sz val="9"/>
    </font>
    <font>
      <name val="微软雅黑"/>
      <b val="1"/>
      <color rgb="001F4E79"/>
      <sz val="11"/>
    </font>
    <font>
      <name val="Consolas"/>
      <color rgb="00C00000"/>
      <sz val="9"/>
    </font>
  </fonts>
  <fills count="42">
    <fill>
      <patternFill/>
    </fill>
    <fill>
      <patternFill patternType="gray125"/>
    </fill>
    <fill>
      <patternFill patternType="solid">
        <fgColor rgb="FF1F4E79"/>
        <bgColor indexed="64"/>
      </patternFill>
    </fill>
    <fill>
      <patternFill patternType="solid">
        <fgColor rgb="FFF2F2F2"/>
        <bgColor indexed="64"/>
      </patternFill>
    </fill>
    <fill>
      <patternFill patternType="solid">
        <fgColor theme="4" tint="0.8"/>
        <bgColor indexed="64"/>
      </patternFill>
    </fill>
    <fill>
      <patternFill patternType="solid">
        <fgColor rgb="FF548235"/>
        <bgColor indexed="64"/>
      </patternFill>
    </fill>
    <fill>
      <patternFill patternType="solid">
        <fgColor rgb="FFC65911"/>
        <bgColor indexed="64"/>
      </patternFill>
    </fill>
    <fill>
      <patternFill patternType="solid">
        <fgColor rgb="FFD6EAF8"/>
        <bgColor indexed="64"/>
      </patternFill>
    </fill>
    <fill>
      <patternFill patternType="solid">
        <fgColor rgb="FFFCE4D6"/>
        <bgColor indexed="64"/>
      </patternFill>
    </fill>
    <fill>
      <patternFill patternType="solid">
        <fgColor rgb="FFC6EFCE"/>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1F4E79"/>
      </patternFill>
    </fill>
    <fill>
      <patternFill patternType="solid">
        <fgColor rgb="00FFF2CC"/>
      </patternFill>
    </fill>
    <fill>
      <patternFill patternType="solid">
        <fgColor rgb="00F5F8FC"/>
      </patternFill>
    </fill>
  </fills>
  <borders count="30">
    <border>
      <left/>
      <right/>
      <top/>
      <bottom/>
      <diagonal/>
    </border>
    <border>
      <left style="thin">
        <color rgb="FFD0D5DD"/>
      </left>
      <right style="thin">
        <color rgb="FFD0D5DD"/>
      </right>
      <top style="thin">
        <color rgb="FFD0D5DD"/>
      </top>
      <bottom style="thin">
        <color rgb="FFD0D5DD"/>
      </bottom>
      <diagonal/>
    </border>
    <border>
      <left style="thin">
        <color rgb="FFB0B0B0"/>
      </left>
      <right style="thin">
        <color rgb="FFB0B0B0"/>
      </right>
      <top style="thin">
        <color rgb="FFB0B0B0"/>
      </top>
      <bottom style="thin">
        <color rgb="FFB0B0B0"/>
      </bottom>
      <diagonal/>
    </border>
    <border>
      <left style="thin">
        <color rgb="FFB0B0B0"/>
      </left>
      <right style="thin">
        <color rgb="FFB0B0B0"/>
      </right>
      <top style="thin">
        <color rgb="FFB0B0B0"/>
      </top>
      <bottom/>
      <diagonal/>
    </border>
    <border>
      <left style="medium">
        <color auto="1"/>
      </left>
      <right style="thin">
        <color rgb="FFB0B0B0"/>
      </right>
      <top style="medium">
        <color auto="1"/>
      </top>
      <bottom/>
      <diagonal/>
    </border>
    <border>
      <left style="thin">
        <color rgb="FFB0B0B0"/>
      </left>
      <right style="thin">
        <color rgb="FFB0B0B0"/>
      </right>
      <top style="medium">
        <color auto="1"/>
      </top>
      <bottom style="thin">
        <color rgb="FFB0B0B0"/>
      </bottom>
      <diagonal/>
    </border>
    <border>
      <left style="thin">
        <color rgb="FFB0B0B0"/>
      </left>
      <right style="medium">
        <color auto="1"/>
      </right>
      <top style="medium">
        <color auto="1"/>
      </top>
      <bottom style="thin">
        <color rgb="FFB0B0B0"/>
      </bottom>
      <diagonal/>
    </border>
    <border>
      <left style="medium">
        <color auto="1"/>
      </left>
      <right style="thin">
        <color rgb="FFB0B0B0"/>
      </right>
      <top/>
      <bottom/>
      <diagonal/>
    </border>
    <border>
      <left style="thin">
        <color rgb="FFB0B0B0"/>
      </left>
      <right style="medium">
        <color auto="1"/>
      </right>
      <top style="thin">
        <color rgb="FFB0B0B0"/>
      </top>
      <bottom style="thin">
        <color rgb="FFB0B0B0"/>
      </bottom>
      <diagonal/>
    </border>
    <border>
      <left style="medium">
        <color auto="1"/>
      </left>
      <right style="thin">
        <color rgb="FFB0B0B0"/>
      </right>
      <top/>
      <bottom style="medium">
        <color auto="1"/>
      </bottom>
      <diagonal/>
    </border>
    <border>
      <left style="thin">
        <color rgb="FFB0B0B0"/>
      </left>
      <right style="thin">
        <color rgb="FFB0B0B0"/>
      </right>
      <top style="thin">
        <color rgb="FFB0B0B0"/>
      </top>
      <bottom style="medium">
        <color auto="1"/>
      </bottom>
      <diagonal/>
    </border>
    <border>
      <left style="thin">
        <color rgb="FFB0B0B0"/>
      </left>
      <right style="medium">
        <color auto="1"/>
      </right>
      <top style="thin">
        <color rgb="FFB0B0B0"/>
      </top>
      <bottom style="medium">
        <color auto="1"/>
      </bottom>
      <diagonal/>
    </border>
    <border>
      <left style="thin">
        <color rgb="FFB0B0B0"/>
      </left>
      <right style="thin">
        <color rgb="FFB0B0B0"/>
      </right>
      <top/>
      <bottom style="thin">
        <color rgb="FFB0B0B0"/>
      </bottom>
      <diagonal/>
    </border>
    <border>
      <left style="thin">
        <color rgb="FFB0B0B0"/>
      </left>
      <right style="medium">
        <color auto="1"/>
      </right>
      <top/>
      <bottom style="thin">
        <color rgb="FFB0B0B0"/>
      </bottom>
      <diagonal/>
    </border>
    <border>
      <left style="thin">
        <color rgb="FFB0B0B0"/>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medium">
        <color auto="1"/>
      </left>
      <right style="thin">
        <color rgb="FFB0B0B0"/>
      </right>
      <top style="medium">
        <color auto="1"/>
      </top>
      <bottom style="medium">
        <color auto="1"/>
      </bottom>
      <diagonal/>
    </border>
    <border>
      <left style="medium">
        <color auto="1"/>
      </left>
      <right/>
      <top/>
      <bottom/>
      <diagonal/>
    </border>
    <border>
      <left style="thin">
        <color rgb="00D0D5DD"/>
      </left>
      <right style="thin">
        <color rgb="00D0D5DD"/>
      </right>
      <top style="thin">
        <color rgb="00D0D5DD"/>
      </top>
      <bottom style="thin">
        <color rgb="00D0D5DD"/>
      </bottom>
    </border>
    <border>
      <left/>
      <right/>
      <top style="thin">
        <color rgb="00D0D5DD"/>
      </top>
      <bottom/>
      <diagonal/>
    </border>
    <border>
      <left/>
      <right style="thin">
        <color rgb="00D0D5DD"/>
      </right>
      <top style="thin">
        <color rgb="00D0D5DD"/>
      </top>
      <bottom/>
      <diagonal/>
    </border>
    <border>
      <left/>
      <right/>
      <top style="thin">
        <color rgb="00D0D5DD"/>
      </top>
      <bottom style="thin">
        <color rgb="00D0D5DD"/>
      </bottom>
      <diagonal/>
    </border>
    <border>
      <left/>
      <right style="thin">
        <color rgb="00D0D5DD"/>
      </right>
      <top style="thin">
        <color rgb="00D0D5DD"/>
      </top>
      <bottom style="thin">
        <color rgb="00D0D5DD"/>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8" fillId="0" borderId="0" applyAlignment="1">
      <alignment vertical="center"/>
    </xf>
    <xf numFmtId="0" fontId="19" fillId="0" borderId="0" applyAlignment="1">
      <alignment vertical="center"/>
    </xf>
    <xf numFmtId="0" fontId="0" fillId="10" borderId="15" applyAlignment="1">
      <alignment vertical="center"/>
    </xf>
    <xf numFmtId="0" fontId="20" fillId="0" borderId="0" applyAlignment="1">
      <alignment vertical="center"/>
    </xf>
    <xf numFmtId="0" fontId="21" fillId="0" borderId="0" applyAlignment="1">
      <alignment vertical="center"/>
    </xf>
    <xf numFmtId="0" fontId="22" fillId="0" borderId="0" applyAlignment="1">
      <alignment vertical="center"/>
    </xf>
    <xf numFmtId="0" fontId="23" fillId="0" borderId="16" applyAlignment="1">
      <alignment vertical="center"/>
    </xf>
    <xf numFmtId="0" fontId="24" fillId="0" borderId="16" applyAlignment="1">
      <alignment vertical="center"/>
    </xf>
    <xf numFmtId="0" fontId="25" fillId="0" borderId="17" applyAlignment="1">
      <alignment vertical="center"/>
    </xf>
    <xf numFmtId="0" fontId="25" fillId="0" borderId="0" applyAlignment="1">
      <alignment vertical="center"/>
    </xf>
    <xf numFmtId="0" fontId="26" fillId="11" borderId="18" applyAlignment="1">
      <alignment vertical="center"/>
    </xf>
    <xf numFmtId="0" fontId="27" fillId="3" borderId="19" applyAlignment="1">
      <alignment vertical="center"/>
    </xf>
    <xf numFmtId="0" fontId="28" fillId="3" borderId="18" applyAlignment="1">
      <alignment vertical="center"/>
    </xf>
    <xf numFmtId="0" fontId="29" fillId="12" borderId="20" applyAlignment="1">
      <alignment vertical="center"/>
    </xf>
    <xf numFmtId="0" fontId="30" fillId="0" borderId="21" applyAlignment="1">
      <alignment vertical="center"/>
    </xf>
    <xf numFmtId="0" fontId="31" fillId="0" borderId="22" applyAlignment="1">
      <alignment vertical="center"/>
    </xf>
    <xf numFmtId="0" fontId="32" fillId="9" borderId="0" applyAlignment="1">
      <alignment vertical="center"/>
    </xf>
    <xf numFmtId="0" fontId="33" fillId="13" borderId="0" applyAlignment="1">
      <alignment vertical="center"/>
    </xf>
    <xf numFmtId="0" fontId="34" fillId="14" borderId="0" applyAlignment="1">
      <alignment vertical="center"/>
    </xf>
    <xf numFmtId="0" fontId="35" fillId="15" borderId="0" applyAlignment="1">
      <alignment vertical="center"/>
    </xf>
    <xf numFmtId="0" fontId="36" fillId="16" borderId="0" applyAlignment="1">
      <alignment vertical="center"/>
    </xf>
    <xf numFmtId="0" fontId="36" fillId="17" borderId="0" applyAlignment="1">
      <alignment vertical="center"/>
    </xf>
    <xf numFmtId="0" fontId="35" fillId="18" borderId="0" applyAlignment="1">
      <alignment vertical="center"/>
    </xf>
    <xf numFmtId="0" fontId="35" fillId="19" borderId="0" applyAlignment="1">
      <alignment vertical="center"/>
    </xf>
    <xf numFmtId="0" fontId="36" fillId="20" borderId="0" applyAlignment="1">
      <alignment vertical="center"/>
    </xf>
    <xf numFmtId="0" fontId="36" fillId="21" borderId="0" applyAlignment="1">
      <alignment vertical="center"/>
    </xf>
    <xf numFmtId="0" fontId="35" fillId="22" borderId="0" applyAlignment="1">
      <alignment vertical="center"/>
    </xf>
    <xf numFmtId="0" fontId="35" fillId="23" borderId="0" applyAlignment="1">
      <alignment vertical="center"/>
    </xf>
    <xf numFmtId="0" fontId="36" fillId="24" borderId="0" applyAlignment="1">
      <alignment vertical="center"/>
    </xf>
    <xf numFmtId="0" fontId="36" fillId="25" borderId="0" applyAlignment="1">
      <alignment vertical="center"/>
    </xf>
    <xf numFmtId="0" fontId="35" fillId="26" borderId="0" applyAlignment="1">
      <alignment vertical="center"/>
    </xf>
    <xf numFmtId="0" fontId="35" fillId="27" borderId="0" applyAlignment="1">
      <alignment vertical="center"/>
    </xf>
    <xf numFmtId="0" fontId="36" fillId="28" borderId="0" applyAlignment="1">
      <alignment vertical="center"/>
    </xf>
    <xf numFmtId="0" fontId="36" fillId="29" borderId="0" applyAlignment="1">
      <alignment vertical="center"/>
    </xf>
    <xf numFmtId="0" fontId="35" fillId="30" borderId="0" applyAlignment="1">
      <alignment vertical="center"/>
    </xf>
    <xf numFmtId="0" fontId="35" fillId="31" borderId="0" applyAlignment="1">
      <alignment vertical="center"/>
    </xf>
    <xf numFmtId="0" fontId="36" fillId="32" borderId="0" applyAlignment="1">
      <alignment vertical="center"/>
    </xf>
    <xf numFmtId="0" fontId="36" fillId="33" borderId="0" applyAlignment="1">
      <alignment vertical="center"/>
    </xf>
    <xf numFmtId="0" fontId="35" fillId="34" borderId="0" applyAlignment="1">
      <alignment vertical="center"/>
    </xf>
    <xf numFmtId="0" fontId="35" fillId="35" borderId="0" applyAlignment="1">
      <alignment vertical="center"/>
    </xf>
    <xf numFmtId="0" fontId="36" fillId="36" borderId="0" applyAlignment="1">
      <alignment vertical="center"/>
    </xf>
    <xf numFmtId="0" fontId="36" fillId="37" borderId="0" applyAlignment="1">
      <alignment vertical="center"/>
    </xf>
    <xf numFmtId="0" fontId="35" fillId="38" borderId="0" applyAlignment="1">
      <alignment vertical="center"/>
    </xf>
  </cellStyleXfs>
  <cellXfs count="120">
    <xf numFmtId="0" fontId="0" fillId="0" borderId="0" pivotButton="0" quotePrefix="0" xfId="0"/>
    <xf numFmtId="0" fontId="1" fillId="0" borderId="0" applyAlignment="1" pivotButton="0" quotePrefix="0" xfId="0">
      <alignment horizontal="center" vertical="center"/>
    </xf>
    <xf numFmtId="164" fontId="1" fillId="0" borderId="0" applyAlignment="1" pivotButton="0" quotePrefix="0" xfId="0">
      <alignment horizontal="center" vertical="center"/>
    </xf>
    <xf numFmtId="0" fontId="2" fillId="2" borderId="1" applyAlignment="1" pivotButton="0" quotePrefix="0" xfId="0">
      <alignment horizontal="center" vertical="center" wrapText="1"/>
    </xf>
    <xf numFmtId="164" fontId="2" fillId="2" borderId="1" applyAlignment="1" pivotButton="0" quotePrefix="0" xfId="0">
      <alignment horizontal="center" vertical="center" wrapText="1"/>
    </xf>
    <xf numFmtId="0" fontId="3" fillId="0" borderId="1" pivotButton="0" quotePrefix="0" xfId="0"/>
    <xf numFmtId="164" fontId="3" fillId="0" borderId="1" applyAlignment="1" pivotButton="0" quotePrefix="0" xfId="0">
      <alignment horizontal="center"/>
    </xf>
    <xf numFmtId="4" fontId="4" fillId="0" borderId="1" pivotButton="0" quotePrefix="0" xfId="0"/>
    <xf numFmtId="10" fontId="4" fillId="0" borderId="1" pivotButton="0" quotePrefix="0" xfId="0"/>
    <xf numFmtId="2" fontId="4" fillId="0" borderId="1" pivotButton="0" quotePrefix="0" xfId="0"/>
    <xf numFmtId="164" fontId="0" fillId="0" borderId="0" pivotButton="0" quotePrefix="0" xfId="0"/>
    <xf numFmtId="164" fontId="5" fillId="0" borderId="0" applyAlignment="1" pivotButton="0" quotePrefix="0" xfId="0">
      <alignment horizontal="center" vertical="center"/>
    </xf>
    <xf numFmtId="0" fontId="0" fillId="0" borderId="0" applyAlignment="1" pivotButton="0" quotePrefix="0" xfId="0">
      <alignment horizontal="center"/>
    </xf>
    <xf numFmtId="164" fontId="6" fillId="2" borderId="2" applyAlignment="1" pivotButton="0" quotePrefix="0" xfId="0">
      <alignment horizontal="center" vertical="center" wrapText="1"/>
    </xf>
    <xf numFmtId="0" fontId="6" fillId="2" borderId="2" applyAlignment="1" pivotButton="0" quotePrefix="0" xfId="0">
      <alignment horizontal="center" vertical="center" wrapText="1"/>
    </xf>
    <xf numFmtId="164" fontId="7" fillId="3" borderId="2" applyAlignment="1" pivotButton="0" quotePrefix="0" xfId="0">
      <alignment horizontal="center" vertical="center" wrapText="1"/>
    </xf>
    <xf numFmtId="0" fontId="7" fillId="3" borderId="2" applyAlignment="1" pivotButton="0" quotePrefix="0" xfId="0">
      <alignment horizontal="left" vertical="center" wrapText="1"/>
    </xf>
    <xf numFmtId="165" fontId="8" fillId="3" borderId="2" applyAlignment="1" pivotButton="0" quotePrefix="0" xfId="0">
      <alignment horizontal="center" vertical="center" wrapText="1"/>
    </xf>
    <xf numFmtId="3" fontId="9" fillId="3" borderId="2" applyAlignment="1" pivotButton="0" quotePrefix="0" xfId="0">
      <alignment horizontal="center" vertical="center" wrapText="1"/>
    </xf>
    <xf numFmtId="164" fontId="7" fillId="0" borderId="2" applyAlignment="1" pivotButton="0" quotePrefix="0" xfId="0">
      <alignment horizontal="center" vertical="center" wrapText="1"/>
    </xf>
    <xf numFmtId="0" fontId="7" fillId="0" borderId="2" applyAlignment="1" pivotButton="0" quotePrefix="0" xfId="0">
      <alignment horizontal="left" vertical="center" wrapText="1"/>
    </xf>
    <xf numFmtId="165" fontId="8" fillId="0" borderId="2" applyAlignment="1" pivotButton="0" quotePrefix="0" xfId="0">
      <alignment horizontal="center" vertical="center" wrapText="1"/>
    </xf>
    <xf numFmtId="3" fontId="10" fillId="0" borderId="2" applyAlignment="1" pivotButton="0" quotePrefix="0" xfId="0">
      <alignment horizontal="center" vertical="center" wrapText="1"/>
    </xf>
    <xf numFmtId="3" fontId="10" fillId="3" borderId="2" applyAlignment="1" pivotButton="0" quotePrefix="0" xfId="0">
      <alignment horizontal="center" vertical="center" wrapText="1"/>
    </xf>
    <xf numFmtId="165" fontId="7" fillId="0" borderId="2" applyAlignment="1" pivotButton="0" quotePrefix="0" xfId="0">
      <alignment horizontal="center" vertical="center" wrapText="1"/>
    </xf>
    <xf numFmtId="165" fontId="7" fillId="3" borderId="2" applyAlignment="1" pivotButton="0" quotePrefix="0" xfId="0">
      <alignment horizontal="center" vertical="center" wrapText="1"/>
    </xf>
    <xf numFmtId="3" fontId="7" fillId="0" borderId="2" applyAlignment="1" pivotButton="0" quotePrefix="0" xfId="0">
      <alignment horizontal="center" vertical="center" wrapText="1"/>
    </xf>
    <xf numFmtId="3" fontId="7" fillId="3" borderId="2" applyAlignment="1" pivotButton="0" quotePrefix="0" xfId="0">
      <alignment horizontal="center" vertical="center" wrapText="1"/>
    </xf>
    <xf numFmtId="3" fontId="11" fillId="0" borderId="2" applyAlignment="1" pivotButton="0" quotePrefix="0" xfId="0">
      <alignment horizontal="center" vertical="center" wrapText="1"/>
    </xf>
    <xf numFmtId="3" fontId="11" fillId="3" borderId="2" applyAlignment="1" pivotButton="0" quotePrefix="0" xfId="0">
      <alignment horizontal="center" vertical="center" wrapText="1"/>
    </xf>
    <xf numFmtId="0" fontId="7" fillId="3" borderId="2" applyAlignment="1" pivotButton="0" quotePrefix="0" xfId="0">
      <alignment horizontal="center" vertical="center" wrapText="1"/>
    </xf>
    <xf numFmtId="0" fontId="7" fillId="0" borderId="2" applyAlignment="1" pivotButton="0" quotePrefix="0" xfId="0">
      <alignment horizontal="center" vertical="center" wrapText="1"/>
    </xf>
    <xf numFmtId="165" fontId="7" fillId="0" borderId="2" applyAlignment="1" pivotButton="0" quotePrefix="0" xfId="3">
      <alignment horizontal="center" vertical="center" wrapText="1"/>
    </xf>
    <xf numFmtId="166" fontId="0" fillId="0" borderId="0" pivotButton="0" quotePrefix="0" xfId="0"/>
    <xf numFmtId="0" fontId="5" fillId="0" borderId="0" applyAlignment="1" pivotButton="0" quotePrefix="0" xfId="0">
      <alignment horizontal="center" vertical="center"/>
    </xf>
    <xf numFmtId="0" fontId="6" fillId="2" borderId="3" applyAlignment="1" pivotButton="0" quotePrefix="0" xfId="0">
      <alignment horizontal="center" vertical="center" wrapText="1"/>
    </xf>
    <xf numFmtId="0" fontId="7" fillId="4" borderId="4" applyAlignment="1" pivotButton="0" quotePrefix="0" xfId="0">
      <alignment horizontal="center" vertical="center"/>
    </xf>
    <xf numFmtId="0" fontId="7" fillId="0" borderId="5" applyAlignment="1" pivotButton="0" quotePrefix="0" xfId="0">
      <alignment horizontal="left" vertical="center" wrapText="1"/>
    </xf>
    <xf numFmtId="3" fontId="10" fillId="0" borderId="5" applyAlignment="1" pivotButton="0" quotePrefix="0" xfId="0">
      <alignment horizontal="center" vertical="center" wrapText="1"/>
    </xf>
    <xf numFmtId="3" fontId="11" fillId="0" borderId="5" applyAlignment="1" pivotButton="0" quotePrefix="0" xfId="0">
      <alignment horizontal="center" vertical="center" wrapText="1"/>
    </xf>
    <xf numFmtId="9" fontId="7" fillId="0" borderId="6" applyAlignment="1" pivotButton="0" quotePrefix="0" xfId="3">
      <alignment horizontal="center" vertical="center" wrapText="1"/>
    </xf>
    <xf numFmtId="167" fontId="0" fillId="0" borderId="0" pivotButton="0" quotePrefix="0" xfId="3"/>
    <xf numFmtId="0" fontId="7" fillId="4" borderId="7" applyAlignment="1" pivotButton="0" quotePrefix="0" xfId="0">
      <alignment horizontal="center" vertical="center"/>
    </xf>
    <xf numFmtId="0" fontId="7" fillId="0" borderId="2" applyAlignment="1" pivotButton="0" quotePrefix="0" xfId="0">
      <alignment horizontal="left" vertical="center" wrapText="1"/>
    </xf>
    <xf numFmtId="3" fontId="10" fillId="0" borderId="2" applyAlignment="1" pivotButton="0" quotePrefix="0" xfId="0">
      <alignment horizontal="center" vertical="center" wrapText="1"/>
    </xf>
    <xf numFmtId="3" fontId="11" fillId="0" borderId="2" applyAlignment="1" pivotButton="0" quotePrefix="0" xfId="0">
      <alignment horizontal="center" vertical="center" wrapText="1"/>
    </xf>
    <xf numFmtId="9" fontId="7" fillId="0" borderId="8" applyAlignment="1" pivotButton="0" quotePrefix="0" xfId="3">
      <alignment horizontal="center" vertical="center" wrapText="1"/>
    </xf>
    <xf numFmtId="0" fontId="7" fillId="4" borderId="9" applyAlignment="1" pivotButton="0" quotePrefix="0" xfId="0">
      <alignment horizontal="center" vertical="center"/>
    </xf>
    <xf numFmtId="0" fontId="7" fillId="0" borderId="10" applyAlignment="1" pivotButton="0" quotePrefix="0" xfId="0">
      <alignment horizontal="left" vertical="center" wrapText="1"/>
    </xf>
    <xf numFmtId="3" fontId="10" fillId="0" borderId="10" applyAlignment="1" pivotButton="0" quotePrefix="0" xfId="0">
      <alignment horizontal="center" vertical="center" wrapText="1"/>
    </xf>
    <xf numFmtId="3" fontId="11" fillId="0" borderId="10" applyAlignment="1" pivotButton="0" quotePrefix="0" xfId="0">
      <alignment horizontal="center" vertical="center" wrapText="1"/>
    </xf>
    <xf numFmtId="9" fontId="7" fillId="0" borderId="11" applyAlignment="1" pivotButton="0" quotePrefix="0" xfId="3">
      <alignment horizontal="center" vertical="center" wrapText="1"/>
    </xf>
    <xf numFmtId="0" fontId="7" fillId="4" borderId="4" applyAlignment="1" pivotButton="0" quotePrefix="0" xfId="0">
      <alignment horizontal="center" vertical="center" wrapText="1"/>
    </xf>
    <xf numFmtId="0" fontId="7" fillId="4" borderId="7" applyAlignment="1" pivotButton="0" quotePrefix="0" xfId="0">
      <alignment horizontal="center" vertical="center" wrapText="1"/>
    </xf>
    <xf numFmtId="0" fontId="7" fillId="4" borderId="9" applyAlignment="1" pivotButton="0" quotePrefix="0" xfId="0">
      <alignment horizontal="center" vertical="center" wrapText="1"/>
    </xf>
    <xf numFmtId="0" fontId="7" fillId="0" borderId="12" applyAlignment="1" pivotButton="0" quotePrefix="0" xfId="0">
      <alignment horizontal="left" vertical="center" wrapText="1"/>
    </xf>
    <xf numFmtId="3" fontId="10" fillId="0" borderId="12" applyAlignment="1" pivotButton="0" quotePrefix="0" xfId="0">
      <alignment horizontal="center" vertical="center" wrapText="1"/>
    </xf>
    <xf numFmtId="3" fontId="11" fillId="0" borderId="12" applyAlignment="1" pivotButton="0" quotePrefix="0" xfId="0">
      <alignment horizontal="center" vertical="center" wrapText="1"/>
    </xf>
    <xf numFmtId="9" fontId="7" fillId="0" borderId="13" applyAlignment="1" pivotButton="0" quotePrefix="0" xfId="3">
      <alignment horizontal="center" vertical="center" wrapText="1"/>
    </xf>
    <xf numFmtId="0" fontId="5" fillId="0" borderId="0" applyAlignment="1" pivotButton="0" quotePrefix="0" xfId="0">
      <alignment horizontal="left" vertical="center"/>
    </xf>
    <xf numFmtId="0" fontId="12" fillId="0" borderId="0" pivotButton="0" quotePrefix="0" xfId="0"/>
    <xf numFmtId="0" fontId="6" fillId="5" borderId="2" applyAlignment="1" pivotButton="0" quotePrefix="0" xfId="0">
      <alignment horizontal="center" vertical="center" wrapText="1"/>
    </xf>
    <xf numFmtId="3" fontId="8" fillId="0" borderId="2" applyAlignment="1" pivotButton="0" quotePrefix="0" xfId="0">
      <alignment horizontal="center" vertical="center" wrapText="1"/>
    </xf>
    <xf numFmtId="3" fontId="8" fillId="3" borderId="2" applyAlignment="1" pivotButton="0" quotePrefix="0" xfId="0">
      <alignment horizontal="center" vertical="center" wrapText="1"/>
    </xf>
    <xf numFmtId="0" fontId="13" fillId="0" borderId="0" pivotButton="0" quotePrefix="0" xfId="0"/>
    <xf numFmtId="0" fontId="14" fillId="0" borderId="0" pivotButton="0" quotePrefix="0" xfId="0"/>
    <xf numFmtId="0" fontId="6" fillId="6" borderId="2" applyAlignment="1" pivotButton="0" quotePrefix="0" xfId="0">
      <alignment horizontal="center" vertical="center" wrapText="1"/>
    </xf>
    <xf numFmtId="0" fontId="7" fillId="0" borderId="2" applyAlignment="1" pivotButton="0" quotePrefix="0" xfId="0">
      <alignment horizontal="center" vertical="center" wrapText="1"/>
    </xf>
    <xf numFmtId="3" fontId="7" fillId="0" borderId="2" applyAlignment="1" pivotButton="0" quotePrefix="0" xfId="0">
      <alignment horizontal="center" vertical="center" wrapText="1"/>
    </xf>
    <xf numFmtId="0" fontId="0" fillId="0" borderId="0" pivotButton="0" quotePrefix="0" xfId="0"/>
    <xf numFmtId="0" fontId="15" fillId="0" borderId="0" applyAlignment="1" pivotButton="0" quotePrefix="0" xfId="0">
      <alignment horizontal="center" vertical="center"/>
    </xf>
    <xf numFmtId="0" fontId="16" fillId="0" borderId="0" pivotButton="0" quotePrefix="0" xfId="0"/>
    <xf numFmtId="0" fontId="6" fillId="2" borderId="14" applyAlignment="1" pivotButton="0" quotePrefix="0" xfId="0">
      <alignment horizontal="center" vertical="center" wrapText="1"/>
    </xf>
    <xf numFmtId="0" fontId="6" fillId="0" borderId="0" applyAlignment="1" pivotButton="0" quotePrefix="0" xfId="0">
      <alignment vertical="center" wrapText="1"/>
    </xf>
    <xf numFmtId="0" fontId="17" fillId="0" borderId="2" applyAlignment="1" pivotButton="0" quotePrefix="0" xfId="0">
      <alignment vertical="center" wrapText="1"/>
    </xf>
    <xf numFmtId="0" fontId="7" fillId="0" borderId="12" applyAlignment="1" pivotButton="0" quotePrefix="0" xfId="0">
      <alignment vertical="center"/>
    </xf>
    <xf numFmtId="0" fontId="17" fillId="7" borderId="2" applyAlignment="1" pivotButton="0" quotePrefix="0" xfId="0">
      <alignment vertical="center" wrapText="1"/>
    </xf>
    <xf numFmtId="0" fontId="7" fillId="7" borderId="2" applyAlignment="1" pivotButton="0" quotePrefix="0" xfId="0">
      <alignment vertical="center"/>
    </xf>
    <xf numFmtId="0" fontId="16" fillId="0" borderId="0" pivotButton="0" quotePrefix="0" xfId="0"/>
    <xf numFmtId="0" fontId="2" fillId="6" borderId="2" applyAlignment="1" pivotButton="0" quotePrefix="0" xfId="0">
      <alignment horizontal="center" vertical="center" wrapText="1"/>
    </xf>
    <xf numFmtId="0" fontId="7" fillId="8" borderId="2" applyAlignment="1" pivotButton="0" quotePrefix="0" xfId="0">
      <alignment horizontal="center" vertical="center" wrapText="1"/>
    </xf>
    <xf numFmtId="0" fontId="7" fillId="9" borderId="2" applyAlignment="1" pivotButton="0" quotePrefix="0" xfId="0">
      <alignment horizontal="center" vertical="center" wrapText="1"/>
    </xf>
    <xf numFmtId="0" fontId="7" fillId="9" borderId="2" applyAlignment="1" pivotButton="0" quotePrefix="0" xfId="0">
      <alignment horizontal="center" vertical="center"/>
    </xf>
    <xf numFmtId="0" fontId="2" fillId="2" borderId="2" applyAlignment="1" pivotButton="0" quotePrefix="0" xfId="0">
      <alignment horizontal="center" vertical="center" wrapText="1"/>
    </xf>
    <xf numFmtId="3" fontId="8" fillId="0" borderId="2" applyAlignment="1" pivotButton="0" quotePrefix="0" xfId="0">
      <alignment horizontal="center" vertical="center" wrapText="1"/>
    </xf>
    <xf numFmtId="0" fontId="8" fillId="0" borderId="2" applyAlignment="1" pivotButton="0" quotePrefix="0" xfId="0">
      <alignment horizontal="center" vertical="center" wrapText="1"/>
    </xf>
    <xf numFmtId="10" fontId="7" fillId="0" borderId="2" applyAlignment="1" pivotButton="0" quotePrefix="0" xfId="0">
      <alignment horizontal="center" vertical="center" wrapText="1"/>
    </xf>
    <xf numFmtId="0" fontId="37" fillId="0" borderId="0" pivotButton="0" quotePrefix="0" xfId="0"/>
    <xf numFmtId="0" fontId="38" fillId="0" borderId="0" pivotButton="0" quotePrefix="0" xfId="0"/>
    <xf numFmtId="0" fontId="42" fillId="0" borderId="0" pivotButton="0" quotePrefix="0" xfId="0"/>
    <xf numFmtId="0" fontId="39" fillId="39" borderId="25" applyAlignment="1" pivotButton="0" quotePrefix="0" xfId="0">
      <alignment horizontal="center" vertical="center" wrapText="1"/>
    </xf>
    <xf numFmtId="0" fontId="40" fillId="0" borderId="25" pivotButton="0" quotePrefix="0" xfId="0"/>
    <xf numFmtId="0" fontId="0" fillId="0" borderId="28" pivotButton="0" quotePrefix="0" xfId="0"/>
    <xf numFmtId="0" fontId="0" fillId="0" borderId="29" pivotButton="0" quotePrefix="0" xfId="0"/>
    <xf numFmtId="4" fontId="41" fillId="0" borderId="25" pivotButton="0" quotePrefix="0" xfId="0"/>
    <xf numFmtId="4" fontId="41" fillId="40" borderId="25" pivotButton="0" quotePrefix="0" xfId="0"/>
    <xf numFmtId="10" fontId="41" fillId="0" borderId="25" pivotButton="0" quotePrefix="0" xfId="0"/>
    <xf numFmtId="0" fontId="39" fillId="39" borderId="0" pivotButton="0" quotePrefix="0" xfId="0"/>
    <xf numFmtId="0" fontId="40" fillId="41" borderId="25" pivotButton="0" quotePrefix="0" xfId="0"/>
    <xf numFmtId="4" fontId="41" fillId="41" borderId="25" pivotButton="0" quotePrefix="0" xfId="0"/>
    <xf numFmtId="4" fontId="43" fillId="0" borderId="25" pivotButton="0" quotePrefix="0" xfId="0"/>
    <xf numFmtId="0" fontId="41" fillId="0" borderId="25" pivotButton="0" quotePrefix="0" xfId="0"/>
    <xf numFmtId="0" fontId="7" fillId="4" borderId="23" applyAlignment="1" pivotButton="0" quotePrefix="0" xfId="0">
      <alignment horizontal="center" vertical="center"/>
    </xf>
    <xf numFmtId="167" fontId="0" fillId="0" borderId="0" pivotButton="0" quotePrefix="0" xfId="3"/>
    <xf numFmtId="0" fontId="0" fillId="0" borderId="7" pivotButton="0" quotePrefix="0" xfId="0"/>
    <xf numFmtId="0" fontId="0" fillId="0" borderId="9" pivotButton="0" quotePrefix="0" xfId="0"/>
    <xf numFmtId="0" fontId="7" fillId="4" borderId="23" applyAlignment="1" pivotButton="0" quotePrefix="0" xfId="0">
      <alignment horizontal="center" vertical="center" wrapText="1"/>
    </xf>
    <xf numFmtId="164" fontId="0" fillId="0" borderId="0" pivotButton="0" quotePrefix="0" xfId="0"/>
    <xf numFmtId="164" fontId="5" fillId="0" borderId="0" applyAlignment="1" pivotButton="0" quotePrefix="0" xfId="0">
      <alignment horizontal="center" vertical="center"/>
    </xf>
    <xf numFmtId="164" fontId="6" fillId="2" borderId="2" applyAlignment="1" pivotButton="0" quotePrefix="0" xfId="0">
      <alignment horizontal="center" vertical="center" wrapText="1"/>
    </xf>
    <xf numFmtId="164" fontId="7" fillId="3" borderId="2" applyAlignment="1" pivotButton="0" quotePrefix="0" xfId="0">
      <alignment horizontal="center" vertical="center" wrapText="1"/>
    </xf>
    <xf numFmtId="165" fontId="8" fillId="3" borderId="2" applyAlignment="1" pivotButton="0" quotePrefix="0" xfId="0">
      <alignment horizontal="center" vertical="center" wrapText="1"/>
    </xf>
    <xf numFmtId="164" fontId="7" fillId="0" borderId="2" applyAlignment="1" pivotButton="0" quotePrefix="0" xfId="0">
      <alignment horizontal="center" vertical="center" wrapText="1"/>
    </xf>
    <xf numFmtId="165" fontId="8" fillId="0" borderId="2" applyAlignment="1" pivotButton="0" quotePrefix="0" xfId="0">
      <alignment horizontal="center" vertical="center" wrapText="1"/>
    </xf>
    <xf numFmtId="165" fontId="7" fillId="0" borderId="2" applyAlignment="1" pivotButton="0" quotePrefix="0" xfId="0">
      <alignment horizontal="center" vertical="center" wrapText="1"/>
    </xf>
    <xf numFmtId="165" fontId="7" fillId="3" borderId="2" applyAlignment="1" pivotButton="0" quotePrefix="0" xfId="0">
      <alignment horizontal="center" vertical="center" wrapText="1"/>
    </xf>
    <xf numFmtId="165" fontId="7" fillId="0" borderId="2" applyAlignment="1" pivotButton="0" quotePrefix="0" xfId="3">
      <alignment horizontal="center" vertical="center" wrapText="1"/>
    </xf>
    <xf numFmtId="166" fontId="0" fillId="0" borderId="0" pivotButton="0" quotePrefix="0" xfId="0"/>
    <xf numFmtId="164" fontId="2" fillId="2" borderId="1" applyAlignment="1" pivotButton="0" quotePrefix="0" xfId="0">
      <alignment horizontal="center" vertical="center" wrapText="1"/>
    </xf>
    <xf numFmtId="164" fontId="3" fillId="0" borderId="1" applyAlignment="1" pivotButton="0" quotePrefix="0" xfId="0">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2">
    <dxf>
      <font>
        <b val="1"/>
        <color rgb="FFF2F2F2"/>
        <sz val="11"/>
      </font>
      <fill>
        <patternFill patternType="solid">
          <bgColor rgb="FFFFFFFF"/>
        </patternFill>
      </fill>
      <border>
        <left/>
        <right style="thin">
          <color rgb="FFF2F2F2"/>
        </right>
        <top style="thin">
          <color rgb="FFF2F2F2" tint="0.6"/>
        </top>
        <bottom style="thin">
          <color rgb="FFF2F2F2"/>
        </bottom>
        <vertical/>
        <horizontal/>
      </border>
    </dxf>
    <dxf>
      <font>
        <b val="1"/>
        <color rgb="FFF2F2F2"/>
        <sz val="11"/>
      </font>
      <fill>
        <patternFill patternType="solid">
          <bgColor rgb="FFFFFFFF"/>
        </patternFill>
      </fill>
      <border>
        <left style="thin">
          <color rgb="FFF2F2F2"/>
        </left>
        <right/>
        <top style="thin">
          <color rgb="FFF2F2F2" tint="0.6"/>
        </top>
        <bottom style="thin">
          <color rgb="FFF2F2F2"/>
        </bottom>
        <vertical/>
        <horizontal/>
      </border>
    </dxf>
    <dxf>
      <font>
        <b val="1"/>
        <color rgb="FFF2F2F2"/>
        <sz val="11"/>
      </font>
      <fill>
        <patternFill patternType="solid">
          <bgColor rgb="FFFFFFFF"/>
        </patternFill>
      </fill>
      <border>
        <left style="thin">
          <color rgb="FFF2F2F2" tint="0.6"/>
        </left>
        <right style="thin">
          <color rgb="FFF2F2F2"/>
        </right>
        <top style="thin">
          <color rgb="FFF2F2F2"/>
        </top>
        <bottom style="thin">
          <color rgb="FFF2F2F2" tint="0.6"/>
        </bottom>
        <vertical/>
        <horizontal/>
      </border>
    </dxf>
    <dxf>
      <font>
        <b val="1"/>
        <color rgb="FFF2F2F2"/>
        <sz val="11"/>
      </font>
      <fill>
        <patternFill patternType="solid">
          <bgColor rgb="FFFFFFFF"/>
        </patternFill>
      </fill>
      <border>
        <left style="thin">
          <color rgb="FFF2F2F2"/>
        </left>
        <right style="thin">
          <color rgb="FFF2F2F2" tint="0.6"/>
        </right>
        <top style="thin">
          <color rgb="FFF2F2F2"/>
        </top>
        <bottom style="thin">
          <color rgb="FFF2F2F2" tint="0.6"/>
        </bottom>
        <vertical/>
        <horizontal/>
      </border>
    </dxf>
    <dxf>
      <border>
        <left style="thin">
          <color rgb="FFF2F2F2" tint="0.6"/>
        </left>
        <right style="thin">
          <color rgb="FFF2F2F2" tint="0.6"/>
        </right>
        <top style="thin">
          <color rgb="FFF2F2F2"/>
        </top>
        <bottom style="thin">
          <color rgb="FFF2F2F2"/>
        </bottom>
        <vertical/>
        <horizontal style="thin">
          <color rgb="FFF2F2F2" tint="0.6"/>
        </horizontal>
      </border>
    </dxf>
    <dxf>
      <fill>
        <patternFill patternType="solid">
          <bgColor rgb="FFF2F2F2" tint="0.9"/>
        </patternFill>
      </fill>
      <border>
        <left style="thin">
          <color rgb="FFF2F2F2"/>
        </left>
        <right style="thin">
          <color rgb="FFF2F2F2"/>
        </right>
        <top style="thin">
          <color rgb="FFF2F2F2"/>
        </top>
        <bottom style="thin">
          <color rgb="FFF2F2F2"/>
        </bottom>
        <vertical/>
        <horizontal style="thin">
          <color rgb="FFF2F2F2" tint="0.6"/>
        </horizontal>
      </border>
    </dxf>
    <dxf>
      <fill>
        <patternFill patternType="solid">
          <bgColor rgb="FFF2F2F2" tint="0.9"/>
        </patternFill>
      </fill>
    </dxf>
    <dxf>
      <font>
        <b val="1"/>
        <color rgb="FF08090C"/>
        <sz val="11"/>
      </font>
      <fill>
        <patternFill patternType="solid">
          <bgColor rgb="FFF2F2F2" tint="0.8"/>
        </patternFill>
      </fill>
      <border>
        <left style="thin">
          <color rgb="FFF2F2F2" tint="0.6"/>
        </left>
        <right style="thin">
          <color rgb="FFF2F2F2"/>
        </right>
        <top style="thin">
          <color rgb="FFF2F2F2"/>
        </top>
        <bottom style="thin">
          <color rgb="FFF2F2F2"/>
        </bottom>
        <vertical/>
        <horizontal style="thin">
          <color rgb="FFF2F2F2" tint="0.6"/>
        </horizontal>
      </border>
    </dxf>
    <dxf>
      <font>
        <b val="1"/>
        <color rgb="FF08090C"/>
        <sz val="11"/>
      </font>
      <fill>
        <patternFill patternType="solid">
          <bgColor rgb="FFF2F2F2" tint="0.8"/>
        </patternFill>
      </fill>
      <border>
        <left style="thin">
          <color rgb="FFF2F2F2"/>
        </left>
        <right style="thin">
          <color rgb="FFF2F2F2" tint="0.6"/>
        </right>
        <top style="thin">
          <color rgb="FFF2F2F2"/>
        </top>
        <bottom style="thin">
          <color rgb="FFF2F2F2"/>
        </bottom>
        <vertical/>
        <horizontal style="thin">
          <color rgb="FFF2F2F2" tint="0.6"/>
        </horizontal>
      </border>
    </dxf>
    <dxf>
      <font>
        <b val="1"/>
        <color rgb="FFF2F2F2"/>
        <sz val="11"/>
      </font>
      <fill>
        <patternFill patternType="solid">
          <bgColor rgb="FFFFFFFF"/>
        </patternFill>
      </fill>
      <border>
        <left style="thin">
          <color rgb="FFF2F2F2"/>
        </left>
        <right style="thin">
          <color rgb="FFF2F2F2"/>
        </right>
        <top style="thin">
          <color rgb="FFF2F2F2" tint="0.6"/>
        </top>
        <bottom style="thin">
          <color rgb="FFF2F2F2"/>
        </bottom>
        <vertical/>
        <horizontal/>
      </border>
    </dxf>
    <dxf>
      <font>
        <b val="1"/>
        <color rgb="FFF2F2F2"/>
        <sz val="11"/>
      </font>
      <fill>
        <patternFill patternType="solid">
          <bgColor rgb="FFFFFFFF"/>
        </patternFill>
      </fill>
      <border>
        <left style="thin">
          <color rgb="FFF2F2F2"/>
        </left>
        <right style="thin">
          <color rgb="FFF2F2F2"/>
        </right>
        <top style="thin">
          <color rgb="FFF2F2F2"/>
        </top>
        <bottom style="thin">
          <color rgb="FFF2F2F2" tint="0.6"/>
        </bottom>
        <vertical style="thin">
          <color rgb="FFF2F2F2" tint="0.6"/>
        </vertical>
        <horizontal/>
      </border>
    </dxf>
    <dxf>
      <font>
        <color rgb="FF000000"/>
        <sz val="11"/>
      </font>
      <fill>
        <patternFill patternType="solid">
          <bgColor rgb="FFFFFFFF"/>
        </patternFill>
      </fill>
      <border>
        <left style="thin">
          <color rgb="FFF2F2F2"/>
        </left>
        <right style="thin">
          <color rgb="FFF2F2F2"/>
        </right>
        <top style="thin">
          <color rgb="FFF2F2F2"/>
        </top>
        <bottom style="thin">
          <color rgb="FFF2F2F2"/>
        </bottom>
        <vertical style="thin">
          <color rgb="FFF2F2F2" tint="0.6"/>
        </vertical>
        <horizontal style="thin">
          <color rgb="FFF2F2F2" tint="0.6"/>
        </horizontal>
      </border>
    </dxf>
  </dxfs>
  <tableStyles count="1" defaultTableStyle="TableStyleMedium9" defaultPivotStyle="PivotStyleLight16">
    <tableStyle name="简约浅色系标题行表格样式_c27f53" count="12">
      <tableStyleElement type="wholeTable" dxfId="11"/>
      <tableStyleElement type="headerRow" dxfId="10"/>
      <tableStyleElement type="totalRow" dxfId="9"/>
      <tableStyleElement type="firstColumn" dxfId="8"/>
      <tableStyleElement type="lastColumn" dxfId="7"/>
      <tableStyleElement type="secondRowStripe" dxfId="6"/>
      <tableStyleElement type="firstColumnStripe" dxfId="5"/>
      <tableStyleElement type="secondColumnStripe" dxfId="4"/>
      <tableStyleElement type="firstHeaderCell" dxfId="3"/>
      <tableStyleElement type="lastHeaderCell" dxfId="2"/>
      <tableStyleElement type="firstTotalCell" dxfId="1"/>
      <tableStyleElement type="lastTotalCell"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externalLink" Target="/xl/externalLinks/externalLink1.xml" Id="rId9" /><Relationship Type="http://schemas.openxmlformats.org/officeDocument/2006/relationships/externalLink" Target="/xl/externalLinks/externalLink2.xml" Id="rId10" /><Relationship Type="http://schemas.openxmlformats.org/officeDocument/2006/relationships/styles" Target="styles.xml" Id="rId11" /><Relationship Type="http://schemas.openxmlformats.org/officeDocument/2006/relationships/theme" Target="theme/theme1.xml" Id="rId12" /></Relationships>
</file>

<file path=xl/charts/chart1.xml><?xml version="1.0" encoding="utf-8"?>
<chartSpace xmlns:a="http://schemas.openxmlformats.org/drawingml/2006/main" xmlns="http://schemas.openxmlformats.org/drawingml/2006/chart">
  <chart>
    <title>
      <tx>
        <rich>
          <a:bodyPr/>
          <a:p>
            <a:pPr>
              <a:defRPr/>
            </a:pPr>
            <a:r>
              <a:t>推广后净利润周趋势（数据源1）</a:t>
            </a:r>
          </a:p>
        </rich>
      </tx>
    </title>
    <plotArea>
      <lineChart>
        <grouping val="standard"/>
        <ser>
          <idx val="0"/>
          <order val="0"/>
          <tx>
            <strRef>
              <f>'01-整体周趋势'!F4</f>
            </strRef>
          </tx>
          <spPr>
            <a:ln>
              <a:prstDash val="solid"/>
            </a:ln>
          </spPr>
          <marker>
            <symbol val="none"/>
            <spPr>
              <a:ln>
                <a:prstDash val="solid"/>
              </a:ln>
            </spPr>
          </marker>
          <cat>
            <numRef>
              <f>'01-整体周趋势'!$A$5:$A$13</f>
            </numRef>
          </cat>
          <val>
            <numRef>
              <f>'01-整体周趋势'!$F$5:$F$13</f>
            </numRef>
          </val>
        </ser>
        <axId val="10"/>
        <axId val="100"/>
      </lineChart>
      <catAx>
        <axId val="10"/>
        <scaling>
          <orientation val="minMax"/>
        </scaling>
        <axPos val="l"/>
        <title>
          <tx>
            <rich>
              <a:bodyPr/>
              <a:p>
                <a:pPr>
                  <a:defRPr/>
                </a:pPr>
                <a:r>
                  <a:t>周次</a:t>
                </a:r>
              </a:p>
            </rich>
          </tx>
        </title>
        <majorTickMark val="none"/>
        <minorTickMark val="none"/>
        <crossAx val="100"/>
        <lblOffset val="100"/>
      </catAx>
      <valAx>
        <axId val="100"/>
        <scaling>
          <orientation val="minMax"/>
        </scaling>
        <axPos val="l"/>
        <majorGridlines/>
        <title>
          <tx>
            <rich>
              <a:bodyPr/>
              <a:p>
                <a:pPr>
                  <a:defRPr/>
                </a:pPr>
                <a:r>
                  <a:t>推广后净利润</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15</row>
      <rowOff>0</rowOff>
    </from>
    <ext cx="5400000" cy="2880000"/>
    <graphicFrame>
      <nvGraphicFramePr>
        <cNvPr id="1" name="Chart 1"/>
        <cNvGraphicFramePr/>
      </nvGraphicFramePr>
      <xfrm/>
      <a:graphic>
        <a:graphicData uri="http://schemas.openxmlformats.org/drawingml/2006/chart">
          <c:chart r:id="rId1"/>
        </a:graphicData>
      </a:graphic>
    </graphicFrame>
    <clientData/>
  </oneCellAnchor>
</wsDr>
</file>

<file path=xl/externalLinks/_rels/externalLink1.xml.rels><Relationships xmlns="http://schemas.openxmlformats.org/package/2006/relationships"><Relationship Type="http://schemas.openxmlformats.org/officeDocument/2006/relationships/externalLinkPath" Target="&#22825;&#29483;ID&#21608;&#25439;&#30410;_7.20-7.26.csv" TargetMode="External" Id="rId1" /></Relationships>
</file>

<file path=xl/externalLinks/_rels/externalLink2.xml.rels><Relationships xmlns="http://schemas.openxmlformats.org/package/2006/relationships"><Relationship Type="http://schemas.openxmlformats.org/officeDocument/2006/relationships/externalLinkPath" Target="file:///D:\&#29983;&#24847;&#21442;&#35851;-&#19975;&#30456;&#21488;\&#22825;&#29483;ID&#21608;&#25439;&#30410;_&#21512;&#24182;%20(1).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周损益对比"/>
      <sheetName val="7.20-7.26"/>
      <sheetName val="match"/>
      <sheetName val="公式"/>
      <sheetName val="透视"/>
      <sheetName val="数据源7.20-7.26"/>
    </sheetNames>
    <sheetDataSet>
      <sheetData sheetId="0"/>
      <sheetData sheetId="1">
        <row r="1">
          <cell r="B1" t="str">
            <v>商品ID</v>
          </cell>
        </row>
        <row r="1">
          <cell r="AB1" t="str">
            <v>净利润
(推广后)</v>
          </cell>
        </row>
        <row r="2">
          <cell r="B2">
            <v>668566625747</v>
          </cell>
        </row>
        <row r="2">
          <cell r="AB2">
            <v>-1451.7729253109</v>
          </cell>
        </row>
        <row r="3">
          <cell r="B3">
            <v>649361890551</v>
          </cell>
        </row>
        <row r="3">
          <cell r="AB3">
            <v>-1706.33743725614</v>
          </cell>
        </row>
        <row r="4">
          <cell r="B4">
            <v>649735171438</v>
          </cell>
        </row>
        <row r="4">
          <cell r="AB4">
            <v>-985.126865981994</v>
          </cell>
        </row>
        <row r="5">
          <cell r="B5">
            <v>1057479227624</v>
          </cell>
        </row>
        <row r="5">
          <cell r="AB5">
            <v>-678.227050860628</v>
          </cell>
        </row>
        <row r="6">
          <cell r="B6">
            <v>1058280415678</v>
          </cell>
        </row>
        <row r="6">
          <cell r="AB6">
            <v>144.485906386717</v>
          </cell>
        </row>
        <row r="7">
          <cell r="B7">
            <v>648600900806</v>
          </cell>
        </row>
        <row r="7">
          <cell r="AB7">
            <v>-452.651619769937</v>
          </cell>
        </row>
        <row r="8">
          <cell r="B8">
            <v>649369494424</v>
          </cell>
        </row>
        <row r="8">
          <cell r="AB8">
            <v>245.006176185088</v>
          </cell>
        </row>
        <row r="9">
          <cell r="B9">
            <v>1060999732877</v>
          </cell>
        </row>
        <row r="9">
          <cell r="AB9">
            <v>-40.1915544895076</v>
          </cell>
        </row>
        <row r="10">
          <cell r="B10">
            <v>649014937782</v>
          </cell>
        </row>
        <row r="10">
          <cell r="AB10">
            <v>-177.011827159451</v>
          </cell>
        </row>
        <row r="11">
          <cell r="B11">
            <v>648598580775</v>
          </cell>
        </row>
        <row r="11">
          <cell r="AB11">
            <v>-79.8869797751165</v>
          </cell>
        </row>
        <row r="12">
          <cell r="B12">
            <v>648681860568</v>
          </cell>
        </row>
        <row r="12">
          <cell r="AB12">
            <v>-109.950845948548</v>
          </cell>
        </row>
        <row r="13">
          <cell r="B13">
            <v>1013887677295</v>
          </cell>
        </row>
        <row r="13">
          <cell r="AB13">
            <v>-223.632305546641</v>
          </cell>
        </row>
        <row r="14">
          <cell r="B14">
            <v>929504658691</v>
          </cell>
        </row>
        <row r="14">
          <cell r="AB14">
            <v>-55.7497823403884</v>
          </cell>
        </row>
        <row r="15">
          <cell r="B15">
            <v>744317232690</v>
          </cell>
        </row>
        <row r="15">
          <cell r="AB15">
            <v>14.4809535086682</v>
          </cell>
        </row>
        <row r="16">
          <cell r="B16">
            <v>969423151512</v>
          </cell>
        </row>
        <row r="16">
          <cell r="AB16">
            <v>-1.45239296070451</v>
          </cell>
        </row>
        <row r="17">
          <cell r="B17">
            <v>1059563993918</v>
          </cell>
        </row>
        <row r="17">
          <cell r="AB17">
            <v>-28.3864049030703</v>
          </cell>
        </row>
        <row r="18">
          <cell r="B18">
            <v>735014804839</v>
          </cell>
        </row>
        <row r="18">
          <cell r="AB18">
            <v>-23.1608011294854</v>
          </cell>
        </row>
        <row r="19">
          <cell r="B19">
            <v>766165464414</v>
          </cell>
        </row>
        <row r="19">
          <cell r="AB19">
            <v>33.380553937715</v>
          </cell>
        </row>
        <row r="20">
          <cell r="B20">
            <v>886856687067</v>
          </cell>
        </row>
        <row r="20">
          <cell r="AB20">
            <v>8.82477350607816</v>
          </cell>
        </row>
        <row r="21">
          <cell r="B21">
            <v>898076297965</v>
          </cell>
        </row>
        <row r="21">
          <cell r="AB21">
            <v>-20.0113808606837</v>
          </cell>
        </row>
        <row r="22">
          <cell r="B22">
            <v>885645733215</v>
          </cell>
        </row>
        <row r="22">
          <cell r="AB22">
            <v>-8.16355409537002</v>
          </cell>
        </row>
        <row r="23">
          <cell r="B23">
            <v>648604228786</v>
          </cell>
        </row>
        <row r="23">
          <cell r="AB23">
            <v>8.56306512277382</v>
          </cell>
        </row>
        <row r="24">
          <cell r="B24">
            <v>976535014785</v>
          </cell>
        </row>
        <row r="24">
          <cell r="AB24">
            <v>-9.68216471568612</v>
          </cell>
        </row>
        <row r="25">
          <cell r="B25">
            <v>971242260371</v>
          </cell>
        </row>
        <row r="25">
          <cell r="AB25">
            <v>-17.3045986779503</v>
          </cell>
        </row>
        <row r="26">
          <cell r="B26">
            <v>937005385662</v>
          </cell>
        </row>
        <row r="26">
          <cell r="AB26">
            <v>-18.6851081119125</v>
          </cell>
        </row>
        <row r="27">
          <cell r="B27">
            <v>969433743398</v>
          </cell>
        </row>
        <row r="27">
          <cell r="AB27">
            <v>3.74705827604263</v>
          </cell>
        </row>
        <row r="28">
          <cell r="B28">
            <v>1067363868298</v>
          </cell>
        </row>
        <row r="28">
          <cell r="AB28">
            <v>-4.36819043034184</v>
          </cell>
        </row>
        <row r="29">
          <cell r="B29">
            <v>649731447266</v>
          </cell>
        </row>
        <row r="29">
          <cell r="AB29">
            <v>33.9291114564506</v>
          </cell>
        </row>
        <row r="30">
          <cell r="B30">
            <v>1067957289054</v>
          </cell>
        </row>
        <row r="30">
          <cell r="AB30">
            <v>-5.2193070612546</v>
          </cell>
        </row>
        <row r="31">
          <cell r="B31">
            <v>976467954327</v>
          </cell>
        </row>
        <row r="31">
          <cell r="AB31">
            <v>-9.43849916386548</v>
          </cell>
        </row>
        <row r="32">
          <cell r="B32">
            <v>932687928859</v>
          </cell>
        </row>
        <row r="32">
          <cell r="AB32">
            <v>0.861934798398675</v>
          </cell>
        </row>
        <row r="33">
          <cell r="B33">
            <v>976466902934</v>
          </cell>
        </row>
        <row r="33">
          <cell r="AB33">
            <v>-8.39049916386548</v>
          </cell>
        </row>
        <row r="34">
          <cell r="B34">
            <v>1067350828719</v>
          </cell>
        </row>
        <row r="34">
          <cell r="AB34">
            <v>25.6223276014482</v>
          </cell>
        </row>
        <row r="35">
          <cell r="B35">
            <v>975092562679</v>
          </cell>
        </row>
        <row r="35">
          <cell r="AB35">
            <v>8.29785590333496</v>
          </cell>
        </row>
        <row r="36">
          <cell r="B36">
            <v>869217868453</v>
          </cell>
        </row>
        <row r="36">
          <cell r="AB36">
            <v>-14.6440686249669</v>
          </cell>
        </row>
        <row r="37">
          <cell r="B37">
            <v>976479938842</v>
          </cell>
        </row>
        <row r="37">
          <cell r="AB37">
            <v>-9.02933277591032</v>
          </cell>
        </row>
        <row r="38">
          <cell r="B38">
            <v>903183018417</v>
          </cell>
        </row>
        <row r="38">
          <cell r="AB38">
            <v>-2.50025730421221</v>
          </cell>
        </row>
        <row r="39">
          <cell r="AB39">
            <v>-5613.77603773581</v>
          </cell>
        </row>
      </sheetData>
      <sheetData sheetId="2"/>
      <sheetData sheetId="3"/>
      <sheetData sheetId="4"/>
      <sheetData sheetId="5"/>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说明"/>
      <sheetName val="工作表说明"/>
      <sheetName val="周报其他费用"/>
      <sheetName val="其他费用校准"/>
      <sheetName val="各周汇总"/>
      <sheetName val="全部周合并明细"/>
      <sheetName val="明细_5.11-5.17"/>
      <sheetName val="明细_5.25-5.31"/>
      <sheetName val="明细_6.15-6.21"/>
      <sheetName val="明细_6.22-6.28"/>
      <sheetName val="明细_6.29-7.5"/>
      <sheetName val="明细_7.6-7.12"/>
      <sheetName val="明细_7.13-7.19"/>
      <sheetName val="明细_7.20-7.26"/>
      <sheetName val="明细_7.27-8.2"/>
    </sheetNames>
    <sheetDataSet>
      <sheetData sheetId="0"/>
      <sheetData sheetId="1"/>
      <sheetData sheetId="2">
        <row r="1">
          <cell r="A1" t="str">
            <v>周次</v>
          </cell>
          <cell r="B1" t="str">
            <v>周报其他费用</v>
          </cell>
        </row>
        <row r="2">
          <cell r="A2" t="str">
            <v>5.11-5.17</v>
          </cell>
          <cell r="B2">
            <v>1911</v>
          </cell>
        </row>
        <row r="3">
          <cell r="A3" t="str">
            <v>5.25-5.31</v>
          </cell>
          <cell r="B3">
            <v>1911</v>
          </cell>
        </row>
        <row r="4">
          <cell r="A4" t="str">
            <v>6.15-6.21</v>
          </cell>
          <cell r="B4">
            <v>3605</v>
          </cell>
        </row>
        <row r="5">
          <cell r="A5" t="str">
            <v>6.22-6.28</v>
          </cell>
          <cell r="B5">
            <v>3605</v>
          </cell>
        </row>
        <row r="6">
          <cell r="A6" t="str">
            <v>6.29-7.5</v>
          </cell>
          <cell r="B6">
            <v>1951</v>
          </cell>
        </row>
        <row r="7">
          <cell r="A7" t="str">
            <v>7.6-7.12</v>
          </cell>
          <cell r="B7">
            <v>2054</v>
          </cell>
        </row>
        <row r="8">
          <cell r="A8" t="str">
            <v>7.13-7.19</v>
          </cell>
          <cell r="B8">
            <v>2405</v>
          </cell>
        </row>
        <row r="9">
          <cell r="A9" t="str">
            <v>7.20-7.26</v>
          </cell>
          <cell r="B9">
            <v>2097</v>
          </cell>
        </row>
        <row r="10">
          <cell r="A10" t="str">
            <v>7.27-8.2</v>
          </cell>
          <cell r="B10">
            <v>2127</v>
          </cell>
        </row>
      </sheetData>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K30"/>
  <sheetViews>
    <sheetView workbookViewId="0">
      <selection activeCell="A1" sqref="A1"/>
    </sheetView>
  </sheetViews>
  <sheetFormatPr baseColWidth="8" defaultRowHeight="15"/>
  <cols>
    <col width="12" customWidth="1" style="69" min="1" max="1"/>
    <col width="12" customWidth="1" style="69" min="2" max="2"/>
    <col width="12" customWidth="1" style="69" min="3" max="3"/>
    <col width="12" customWidth="1" style="69" min="4" max="4"/>
    <col width="12" customWidth="1" style="69" min="5" max="5"/>
    <col width="12" customWidth="1" style="69" min="6" max="6"/>
    <col width="12" customWidth="1" style="69" min="7" max="7"/>
    <col width="12" customWidth="1" style="69" min="8" max="8"/>
    <col width="12" customWidth="1" style="69" min="9" max="9"/>
    <col width="10" customWidth="1" style="69" min="10" max="10"/>
    <col width="22" customWidth="1" style="69" min="11" max="11"/>
  </cols>
  <sheetData>
    <row r="1">
      <c r="A1" s="87" t="inlineStr">
        <is>
          <t>天猫近3个月 · ID周净利润分析汇报（数据源1口径）</t>
        </is>
      </c>
    </row>
    <row r="2">
      <c r="A2" s="88" t="inlineStr">
        <is>
          <t>本页周数据均引用「01-整体周趋势」公式汇总（源自数据源1）；其他费用已按周报校准。</t>
        </is>
      </c>
    </row>
    <row r="4">
      <c r="A4" s="89" t="inlineStr">
        <is>
          <t>一、核心结论</t>
        </is>
      </c>
    </row>
    <row r="5" ht="28" customHeight="1" s="69">
      <c r="A5" s="90" t="inlineStr">
        <is>
          <t>序号</t>
        </is>
      </c>
      <c r="B5" s="90" t="inlineStr">
        <is>
          <t>内容</t>
        </is>
      </c>
    </row>
    <row r="6">
      <c r="A6" s="91" t="inlineStr">
        <is>
          <t>结论1</t>
        </is>
      </c>
      <c r="B6" s="91" t="inlineStr">
        <is>
          <t>近三个月ID口径持续亏损；最好一周是7.6-7.12（推广后约-4109）。</t>
        </is>
      </c>
      <c r="C6" s="92" t="n"/>
      <c r="D6" s="92" t="n"/>
      <c r="E6" s="92" t="n"/>
      <c r="F6" s="92" t="n"/>
      <c r="G6" s="92" t="n"/>
      <c r="H6" s="93" t="n"/>
    </row>
    <row r="7">
      <c r="A7" s="91" t="inlineStr">
        <is>
          <t>结论2</t>
        </is>
      </c>
      <c r="B7" s="91" t="inlineStr">
        <is>
          <t>利润下降主要集中在大链接：551, 747, 438（袋面次链接, 袋面主链接, 杯面主链接）。</t>
        </is>
      </c>
      <c r="C7" s="92" t="n"/>
      <c r="D7" s="92" t="n"/>
      <c r="E7" s="92" t="n"/>
      <c r="F7" s="92" t="n"/>
      <c r="G7" s="92" t="n"/>
      <c r="H7" s="93" t="n"/>
    </row>
    <row r="8">
      <c r="A8" s="91" t="inlineStr">
        <is>
          <t>结论3</t>
        </is>
      </c>
      <c r="B8" s="91" t="inlineStr">
        <is>
          <t>7.6→7.13回落主因是推广前利润下降（袋面主链等）；7.13→7.20更多是推广费抬升。</t>
        </is>
      </c>
      <c r="C8" s="92" t="n"/>
      <c r="D8" s="92" t="n"/>
      <c r="E8" s="92" t="n"/>
      <c r="F8" s="92" t="n"/>
      <c r="G8" s="92" t="n"/>
      <c r="H8" s="93" t="n"/>
    </row>
    <row r="9">
      <c r="A9" s="91" t="inlineStr">
        <is>
          <t>结论4</t>
        </is>
      </c>
      <c r="B9" s="91" t="inlineStr">
        <is>
          <t>大大包有利润补充但推广后常被侵蚀，不是本轮主亏来源；需控加投。</t>
        </is>
      </c>
      <c r="C9" s="92" t="n"/>
      <c r="D9" s="92" t="n"/>
      <c r="E9" s="92" t="n"/>
      <c r="F9" s="92" t="n"/>
      <c r="G9" s="92" t="n"/>
      <c r="H9" s="93" t="n"/>
    </row>
    <row r="11">
      <c r="A11" s="89" t="inlineStr">
        <is>
          <t>二、近三个月阶段拆解（按数据源周序）</t>
        </is>
      </c>
    </row>
    <row r="12" ht="28" customHeight="1" s="69">
      <c r="A12" s="90" t="inlineStr">
        <is>
          <t>阶段</t>
        </is>
      </c>
      <c r="B12" s="90" t="inlineStr">
        <is>
          <t>周区间</t>
        </is>
      </c>
      <c r="C12" s="90" t="inlineStr">
        <is>
          <t>主因</t>
        </is>
      </c>
      <c r="D12" s="90" t="inlineStr">
        <is>
          <t>说明</t>
        </is>
      </c>
    </row>
    <row r="13">
      <c r="A13" s="91" t="inlineStr">
        <is>
          <t>阶段A</t>
        </is>
      </c>
      <c r="B13" s="91" t="inlineStr">
        <is>
          <t>5.11 → 6.22</t>
        </is>
      </c>
      <c r="C13" s="91" t="inlineStr">
        <is>
          <t>主要是推广前利润下降</t>
        </is>
      </c>
      <c r="D13" s="91" t="inlineStr">
        <is>
          <t>成交与推广前利润同步走弱</t>
        </is>
      </c>
    </row>
    <row r="14">
      <c r="A14" s="91" t="inlineStr">
        <is>
          <t>阶段B</t>
        </is>
      </c>
      <c r="B14" s="91" t="inlineStr">
        <is>
          <t>6.22 → 7.6</t>
        </is>
      </c>
      <c r="C14" s="91" t="inlineStr">
        <is>
          <t>本期改善</t>
        </is>
      </c>
      <c r="D14" s="91" t="inlineStr">
        <is>
          <t>触底后回升，7.6为最好周</t>
        </is>
      </c>
    </row>
    <row r="15">
      <c r="A15" s="91" t="inlineStr">
        <is>
          <t>阶段C</t>
        </is>
      </c>
      <c r="B15" s="91" t="inlineStr">
        <is>
          <t>7.6 → 7.13</t>
        </is>
      </c>
      <c r="C15" s="91" t="inlineStr">
        <is>
          <t>主要是推广前利润下降</t>
        </is>
      </c>
      <c r="D15" s="91" t="inlineStr">
        <is>
          <t>主链回落带动整体转差</t>
        </is>
      </c>
    </row>
    <row r="16">
      <c r="A16" s="91" t="inlineStr">
        <is>
          <t>阶段D</t>
        </is>
      </c>
      <c r="B16" s="91" t="inlineStr">
        <is>
          <t>7.13 → 7.20</t>
        </is>
      </c>
      <c r="C16" s="91" t="inlineStr">
        <is>
          <t>主要是推广费上升</t>
        </is>
      </c>
      <c r="D16" s="91" t="inlineStr">
        <is>
          <t>推广花费抬升，利润再下探</t>
        </is>
      </c>
    </row>
    <row r="17">
      <c r="A17" s="91" t="inlineStr">
        <is>
          <t>阶段E</t>
        </is>
      </c>
      <c r="B17" s="91" t="inlineStr">
        <is>
          <t>7.20 → 7.27</t>
        </is>
      </c>
      <c r="C17" s="91" t="inlineStr">
        <is>
          <t>本期改善</t>
        </is>
      </c>
      <c r="D17" s="91" t="inlineStr">
        <is>
          <t>推广后利润小幅修复</t>
        </is>
      </c>
    </row>
    <row r="20">
      <c r="A20" s="89" t="inlineStr">
        <is>
          <t>三、数据源逐周明细（公式引用整体周趋势）</t>
        </is>
      </c>
    </row>
    <row r="21" ht="28" customHeight="1" s="69">
      <c r="A21" s="90" t="inlineStr">
        <is>
          <t>周次</t>
        </is>
      </c>
      <c r="B21" s="90" t="inlineStr">
        <is>
          <t>成交金额</t>
        </is>
      </c>
      <c r="C21" s="90" t="inlineStr">
        <is>
          <t>推广前利润</t>
        </is>
      </c>
      <c r="D21" s="90" t="inlineStr">
        <is>
          <t>推广前环比</t>
        </is>
      </c>
      <c r="E21" s="90" t="inlineStr">
        <is>
          <t>推广花费</t>
        </is>
      </c>
      <c r="F21" s="90" t="inlineStr">
        <is>
          <t>推广费环比</t>
        </is>
      </c>
      <c r="G21" s="90" t="inlineStr">
        <is>
          <t>其他费用</t>
        </is>
      </c>
      <c r="H21" s="90" t="inlineStr">
        <is>
          <t>推广后利润</t>
        </is>
      </c>
      <c r="I21" s="90" t="inlineStr">
        <is>
          <t>推广后环比</t>
        </is>
      </c>
      <c r="J21" s="90" t="inlineStr">
        <is>
          <t>推广费率</t>
        </is>
      </c>
      <c r="K21" s="90" t="inlineStr">
        <is>
          <t>下降主因</t>
        </is>
      </c>
    </row>
    <row r="22">
      <c r="A22" s="91" t="inlineStr">
        <is>
          <t>5.11-5.17</t>
        </is>
      </c>
      <c r="B22" s="94">
        <f>'01-整体周趋势'!B5</f>
        <v/>
      </c>
      <c r="C22" s="94">
        <f>'01-整体周趋势'!C5</f>
        <v/>
      </c>
      <c r="D22" s="91" t="n"/>
      <c r="E22" s="94">
        <f>'01-整体周趋势'!D5</f>
        <v/>
      </c>
      <c r="F22" s="91" t="n"/>
      <c r="G22" s="95">
        <f>'01-整体周趋势'!E5</f>
        <v/>
      </c>
      <c r="H22" s="94">
        <f>'01-整体周趋势'!F5</f>
        <v/>
      </c>
      <c r="I22" s="91" t="n"/>
      <c r="J22" s="96">
        <f>IFERROR(E22/B22,0)</f>
        <v/>
      </c>
      <c r="K22" s="91" t="inlineStr"/>
    </row>
    <row r="23">
      <c r="A23" s="91" t="inlineStr">
        <is>
          <t>5.25-5.31</t>
        </is>
      </c>
      <c r="B23" s="94">
        <f>'01-整体周趋势'!B6</f>
        <v/>
      </c>
      <c r="C23" s="94">
        <f>'01-整体周趋势'!C6</f>
        <v/>
      </c>
      <c r="D23" s="94">
        <f>C23-C22</f>
        <v/>
      </c>
      <c r="E23" s="94">
        <f>'01-整体周趋势'!D6</f>
        <v/>
      </c>
      <c r="F23" s="94">
        <f>E23-E22</f>
        <v/>
      </c>
      <c r="G23" s="95">
        <f>'01-整体周趋势'!E6</f>
        <v/>
      </c>
      <c r="H23" s="94">
        <f>'01-整体周趋势'!F6</f>
        <v/>
      </c>
      <c r="I23" s="94">
        <f>H23-H22</f>
        <v/>
      </c>
      <c r="J23" s="96">
        <f>IFERROR(E23/B23,0)</f>
        <v/>
      </c>
      <c r="K23" s="91" t="inlineStr">
        <is>
          <t>本期改善</t>
        </is>
      </c>
    </row>
    <row r="24">
      <c r="A24" s="91" t="inlineStr">
        <is>
          <t>6.15-6.21</t>
        </is>
      </c>
      <c r="B24" s="94">
        <f>'01-整体周趋势'!B7</f>
        <v/>
      </c>
      <c r="C24" s="94">
        <f>'01-整体周趋势'!C7</f>
        <v/>
      </c>
      <c r="D24" s="94">
        <f>C24-C23</f>
        <v/>
      </c>
      <c r="E24" s="94">
        <f>'01-整体周趋势'!D7</f>
        <v/>
      </c>
      <c r="F24" s="94">
        <f>E24-E23</f>
        <v/>
      </c>
      <c r="G24" s="95">
        <f>'01-整体周趋势'!E7</f>
        <v/>
      </c>
      <c r="H24" s="94">
        <f>'01-整体周趋势'!F7</f>
        <v/>
      </c>
      <c r="I24" s="94">
        <f>H24-H23</f>
        <v/>
      </c>
      <c r="J24" s="96">
        <f>IFERROR(E24/B24,0)</f>
        <v/>
      </c>
      <c r="K24" s="91" t="inlineStr">
        <is>
          <t>主要是推广前利润下降</t>
        </is>
      </c>
    </row>
    <row r="25">
      <c r="A25" s="91" t="inlineStr">
        <is>
          <t>6.22-6.28</t>
        </is>
      </c>
      <c r="B25" s="94">
        <f>'01-整体周趋势'!B8</f>
        <v/>
      </c>
      <c r="C25" s="94">
        <f>'01-整体周趋势'!C8</f>
        <v/>
      </c>
      <c r="D25" s="94">
        <f>C25-C24</f>
        <v/>
      </c>
      <c r="E25" s="94">
        <f>'01-整体周趋势'!D8</f>
        <v/>
      </c>
      <c r="F25" s="94">
        <f>E25-E24</f>
        <v/>
      </c>
      <c r="G25" s="95">
        <f>'01-整体周趋势'!E8</f>
        <v/>
      </c>
      <c r="H25" s="94">
        <f>'01-整体周趋势'!F8</f>
        <v/>
      </c>
      <c r="I25" s="94">
        <f>H25-H24</f>
        <v/>
      </c>
      <c r="J25" s="96">
        <f>IFERROR(E25/B25,0)</f>
        <v/>
      </c>
      <c r="K25" s="91" t="inlineStr">
        <is>
          <t>本期改善</t>
        </is>
      </c>
    </row>
    <row r="26">
      <c r="A26" s="91" t="inlineStr">
        <is>
          <t>6.29-7.5</t>
        </is>
      </c>
      <c r="B26" s="94">
        <f>'01-整体周趋势'!B9</f>
        <v/>
      </c>
      <c r="C26" s="94">
        <f>'01-整体周趋势'!C9</f>
        <v/>
      </c>
      <c r="D26" s="94">
        <f>C26-C25</f>
        <v/>
      </c>
      <c r="E26" s="94">
        <f>'01-整体周趋势'!D9</f>
        <v/>
      </c>
      <c r="F26" s="94">
        <f>E26-E25</f>
        <v/>
      </c>
      <c r="G26" s="95">
        <f>'01-整体周趋势'!E9</f>
        <v/>
      </c>
      <c r="H26" s="94">
        <f>'01-整体周趋势'!F9</f>
        <v/>
      </c>
      <c r="I26" s="94">
        <f>H26-H25</f>
        <v/>
      </c>
      <c r="J26" s="96">
        <f>IFERROR(E26/B26,0)</f>
        <v/>
      </c>
      <c r="K26" s="91" t="inlineStr">
        <is>
          <t>本期改善</t>
        </is>
      </c>
    </row>
    <row r="27">
      <c r="A27" s="91" t="inlineStr">
        <is>
          <t>7.6-7.12</t>
        </is>
      </c>
      <c r="B27" s="94">
        <f>'01-整体周趋势'!B10</f>
        <v/>
      </c>
      <c r="C27" s="94">
        <f>'01-整体周趋势'!C10</f>
        <v/>
      </c>
      <c r="D27" s="94">
        <f>C27-C26</f>
        <v/>
      </c>
      <c r="E27" s="94">
        <f>'01-整体周趋势'!D10</f>
        <v/>
      </c>
      <c r="F27" s="94">
        <f>E27-E26</f>
        <v/>
      </c>
      <c r="G27" s="95">
        <f>'01-整体周趋势'!E10</f>
        <v/>
      </c>
      <c r="H27" s="94">
        <f>'01-整体周趋势'!F10</f>
        <v/>
      </c>
      <c r="I27" s="94">
        <f>H27-H26</f>
        <v/>
      </c>
      <c r="J27" s="96">
        <f>IFERROR(E27/B27,0)</f>
        <v/>
      </c>
      <c r="K27" s="91" t="inlineStr">
        <is>
          <t>本期改善</t>
        </is>
      </c>
    </row>
    <row r="28">
      <c r="A28" s="91" t="inlineStr">
        <is>
          <t>7.13-7.19</t>
        </is>
      </c>
      <c r="B28" s="94">
        <f>'01-整体周趋势'!B11</f>
        <v/>
      </c>
      <c r="C28" s="94">
        <f>'01-整体周趋势'!C11</f>
        <v/>
      </c>
      <c r="D28" s="94">
        <f>C28-C27</f>
        <v/>
      </c>
      <c r="E28" s="94">
        <f>'01-整体周趋势'!D11</f>
        <v/>
      </c>
      <c r="F28" s="94">
        <f>E28-E27</f>
        <v/>
      </c>
      <c r="G28" s="95">
        <f>'01-整体周趋势'!E11</f>
        <v/>
      </c>
      <c r="H28" s="94">
        <f>'01-整体周趋势'!F11</f>
        <v/>
      </c>
      <c r="I28" s="94">
        <f>H28-H27</f>
        <v/>
      </c>
      <c r="J28" s="96">
        <f>IFERROR(E28/B28,0)</f>
        <v/>
      </c>
      <c r="K28" s="91" t="inlineStr">
        <is>
          <t>主要是推广前利润下降</t>
        </is>
      </c>
    </row>
    <row r="29">
      <c r="A29" s="91" t="inlineStr">
        <is>
          <t>7.20-7.26</t>
        </is>
      </c>
      <c r="B29" s="94">
        <f>'01-整体周趋势'!B12</f>
        <v/>
      </c>
      <c r="C29" s="94">
        <f>'01-整体周趋势'!C12</f>
        <v/>
      </c>
      <c r="D29" s="94">
        <f>C29-C28</f>
        <v/>
      </c>
      <c r="E29" s="94">
        <f>'01-整体周趋势'!D12</f>
        <v/>
      </c>
      <c r="F29" s="94">
        <f>E29-E28</f>
        <v/>
      </c>
      <c r="G29" s="95">
        <f>'01-整体周趋势'!E12</f>
        <v/>
      </c>
      <c r="H29" s="94">
        <f>'01-整体周趋势'!F12</f>
        <v/>
      </c>
      <c r="I29" s="94">
        <f>H29-H28</f>
        <v/>
      </c>
      <c r="J29" s="96">
        <f>IFERROR(E29/B29,0)</f>
        <v/>
      </c>
      <c r="K29" s="91" t="inlineStr">
        <is>
          <t>主要是推广费上升</t>
        </is>
      </c>
    </row>
    <row r="30">
      <c r="A30" s="91" t="inlineStr">
        <is>
          <t>7.27-8.2</t>
        </is>
      </c>
      <c r="B30" s="94">
        <f>'01-整体周趋势'!B13</f>
        <v/>
      </c>
      <c r="C30" s="94">
        <f>'01-整体周趋势'!C13</f>
        <v/>
      </c>
      <c r="D30" s="94">
        <f>C30-C29</f>
        <v/>
      </c>
      <c r="E30" s="94">
        <f>'01-整体周趋势'!D13</f>
        <v/>
      </c>
      <c r="F30" s="94">
        <f>E30-E29</f>
        <v/>
      </c>
      <c r="G30" s="95">
        <f>'01-整体周趋势'!E13</f>
        <v/>
      </c>
      <c r="H30" s="94">
        <f>'01-整体周趋势'!F13</f>
        <v/>
      </c>
      <c r="I30" s="94">
        <f>H30-H29</f>
        <v/>
      </c>
      <c r="J30" s="96">
        <f>IFERROR(E30/B30,0)</f>
        <v/>
      </c>
      <c r="K30" s="91" t="inlineStr">
        <is>
          <t>本期改善</t>
        </is>
      </c>
    </row>
  </sheetData>
  <mergeCells count="6">
    <mergeCell ref="B8:H8"/>
    <mergeCell ref="B9:H9"/>
    <mergeCell ref="A2:K2"/>
    <mergeCell ref="B6:H6"/>
    <mergeCell ref="B7:H7"/>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
  <sheetViews>
    <sheetView workbookViewId="0">
      <pane ySplit="4" topLeftCell="A5" activePane="bottomLeft" state="frozen"/>
      <selection pane="bottomLeft" activeCell="A1" sqref="A1"/>
    </sheetView>
  </sheetViews>
  <sheetFormatPr baseColWidth="8" defaultRowHeight="15"/>
  <cols>
    <col width="12" customWidth="1" style="69" min="1" max="1"/>
    <col width="12" customWidth="1" style="69" min="2" max="2"/>
    <col width="14" customWidth="1" style="69" min="3" max="3"/>
    <col width="12" customWidth="1" style="69" min="4" max="4"/>
    <col width="12" customWidth="1" style="69" min="5" max="5"/>
    <col width="14" customWidth="1" style="69" min="6" max="6"/>
    <col width="12" customWidth="1" style="69" min="7" max="7"/>
    <col width="3" customWidth="1" style="69" min="8" max="8"/>
    <col width="18" customWidth="1" style="69" min="9" max="9"/>
  </cols>
  <sheetData>
    <row r="1">
      <c r="A1" s="87" t="inlineStr">
        <is>
          <t>整体经营周趋势（口径：数据源1 · ID周损益合计）</t>
        </is>
      </c>
    </row>
    <row r="2">
      <c r="A2" s="88" t="inlineStr">
        <is>
          <t>成交/推广前/推广花费/其他费用/推广后均由数据源1按周SUMIF汇总；推广后也可用 推广前-(推广花费+其他费用)/1.06 校验。</t>
        </is>
      </c>
    </row>
    <row r="4" ht="28" customHeight="1" s="69">
      <c r="A4" s="90" t="inlineStr">
        <is>
          <t>周次</t>
        </is>
      </c>
      <c r="B4" s="90" t="inlineStr">
        <is>
          <t>成交金额</t>
        </is>
      </c>
      <c r="C4" s="90" t="inlineStr">
        <is>
          <t>推广前净利润</t>
        </is>
      </c>
      <c r="D4" s="90" t="inlineStr">
        <is>
          <t>推广花费</t>
        </is>
      </c>
      <c r="E4" s="90" t="inlineStr">
        <is>
          <t>其他费用</t>
        </is>
      </c>
      <c r="F4" s="90" t="inlineStr">
        <is>
          <t>推广后净利润</t>
        </is>
      </c>
      <c r="G4" s="90" t="inlineStr">
        <is>
          <t>环比_推广后</t>
        </is>
      </c>
      <c r="I4" s="97" t="inlineStr">
        <is>
          <t>校验_推广后=前-(花费+其他)/1.06</t>
        </is>
      </c>
    </row>
    <row r="5">
      <c r="A5" s="91" t="inlineStr">
        <is>
          <t>5.11-5.17</t>
        </is>
      </c>
      <c r="B5" s="94">
        <f>SUMIF(数据源1!A:A,A5,数据源1!F:F)</f>
        <v/>
      </c>
      <c r="C5" s="94">
        <f>SUMIF(数据源1!A:A,A5,数据源1!Y:Y)</f>
        <v/>
      </c>
      <c r="D5" s="94">
        <f>SUMIF(数据源1!A:A,A5,数据源1!Q:Q)</f>
        <v/>
      </c>
      <c r="E5" s="95">
        <f>SUMIF(数据源1!A:A,A5,数据源1!X:X)</f>
        <v/>
      </c>
      <c r="F5" s="94">
        <f>SUMIF(数据源1!A:A,A5,数据源1!AC:AC)</f>
        <v/>
      </c>
      <c r="G5" s="91" t="n"/>
      <c r="I5" s="94">
        <f>C5-(D5+E5)/1.06</f>
        <v/>
      </c>
    </row>
    <row r="6">
      <c r="A6" s="98" t="inlineStr">
        <is>
          <t>5.25-5.31</t>
        </is>
      </c>
      <c r="B6" s="99">
        <f>SUMIF(数据源1!A:A,A6,数据源1!F:F)</f>
        <v/>
      </c>
      <c r="C6" s="99">
        <f>SUMIF(数据源1!A:A,A6,数据源1!Y:Y)</f>
        <v/>
      </c>
      <c r="D6" s="99">
        <f>SUMIF(数据源1!A:A,A6,数据源1!Q:Q)</f>
        <v/>
      </c>
      <c r="E6" s="95">
        <f>SUMIF(数据源1!A:A,A6,数据源1!X:X)</f>
        <v/>
      </c>
      <c r="F6" s="99">
        <f>SUMIF(数据源1!A:A,A6,数据源1!AC:AC)</f>
        <v/>
      </c>
      <c r="G6" s="99">
        <f>F6-F5</f>
        <v/>
      </c>
      <c r="I6" s="94">
        <f>C6-(D6+E6)/1.06</f>
        <v/>
      </c>
    </row>
    <row r="7">
      <c r="A7" s="91" t="inlineStr">
        <is>
          <t>6.15-6.21</t>
        </is>
      </c>
      <c r="B7" s="94">
        <f>SUMIF(数据源1!A:A,A7,数据源1!F:F)</f>
        <v/>
      </c>
      <c r="C7" s="94">
        <f>SUMIF(数据源1!A:A,A7,数据源1!Y:Y)</f>
        <v/>
      </c>
      <c r="D7" s="94">
        <f>SUMIF(数据源1!A:A,A7,数据源1!Q:Q)</f>
        <v/>
      </c>
      <c r="E7" s="95">
        <f>SUMIF(数据源1!A:A,A7,数据源1!X:X)</f>
        <v/>
      </c>
      <c r="F7" s="94">
        <f>SUMIF(数据源1!A:A,A7,数据源1!AC:AC)</f>
        <v/>
      </c>
      <c r="G7" s="94">
        <f>F7-F6</f>
        <v/>
      </c>
      <c r="I7" s="94">
        <f>C7-(D7+E7)/1.06</f>
        <v/>
      </c>
    </row>
    <row r="8">
      <c r="A8" s="98" t="inlineStr">
        <is>
          <t>6.22-6.28</t>
        </is>
      </c>
      <c r="B8" s="99">
        <f>SUMIF(数据源1!A:A,A8,数据源1!F:F)</f>
        <v/>
      </c>
      <c r="C8" s="99">
        <f>SUMIF(数据源1!A:A,A8,数据源1!Y:Y)</f>
        <v/>
      </c>
      <c r="D8" s="99">
        <f>SUMIF(数据源1!A:A,A8,数据源1!Q:Q)</f>
        <v/>
      </c>
      <c r="E8" s="95">
        <f>SUMIF(数据源1!A:A,A8,数据源1!X:X)</f>
        <v/>
      </c>
      <c r="F8" s="99">
        <f>SUMIF(数据源1!A:A,A8,数据源1!AC:AC)</f>
        <v/>
      </c>
      <c r="G8" s="99">
        <f>F8-F7</f>
        <v/>
      </c>
      <c r="I8" s="94">
        <f>C8-(D8+E8)/1.06</f>
        <v/>
      </c>
    </row>
    <row r="9">
      <c r="A9" s="91" t="inlineStr">
        <is>
          <t>6.29-7.5</t>
        </is>
      </c>
      <c r="B9" s="94">
        <f>SUMIF(数据源1!A:A,A9,数据源1!F:F)</f>
        <v/>
      </c>
      <c r="C9" s="94">
        <f>SUMIF(数据源1!A:A,A9,数据源1!Y:Y)</f>
        <v/>
      </c>
      <c r="D9" s="94">
        <f>SUMIF(数据源1!A:A,A9,数据源1!Q:Q)</f>
        <v/>
      </c>
      <c r="E9" s="95">
        <f>SUMIF(数据源1!A:A,A9,数据源1!X:X)</f>
        <v/>
      </c>
      <c r="F9" s="94">
        <f>SUMIF(数据源1!A:A,A9,数据源1!AC:AC)</f>
        <v/>
      </c>
      <c r="G9" s="94">
        <f>F9-F8</f>
        <v/>
      </c>
      <c r="I9" s="94">
        <f>C9-(D9+E9)/1.06</f>
        <v/>
      </c>
    </row>
    <row r="10">
      <c r="A10" s="98" t="inlineStr">
        <is>
          <t>7.6-7.12</t>
        </is>
      </c>
      <c r="B10" s="99">
        <f>SUMIF(数据源1!A:A,A10,数据源1!F:F)</f>
        <v/>
      </c>
      <c r="C10" s="99">
        <f>SUMIF(数据源1!A:A,A10,数据源1!Y:Y)</f>
        <v/>
      </c>
      <c r="D10" s="99">
        <f>SUMIF(数据源1!A:A,A10,数据源1!Q:Q)</f>
        <v/>
      </c>
      <c r="E10" s="95">
        <f>SUMIF(数据源1!A:A,A10,数据源1!X:X)</f>
        <v/>
      </c>
      <c r="F10" s="99">
        <f>SUMIF(数据源1!A:A,A10,数据源1!AC:AC)</f>
        <v/>
      </c>
      <c r="G10" s="99">
        <f>F10-F9</f>
        <v/>
      </c>
      <c r="I10" s="94">
        <f>C10-(D10+E10)/1.06</f>
        <v/>
      </c>
    </row>
    <row r="11">
      <c r="A11" s="91" t="inlineStr">
        <is>
          <t>7.13-7.19</t>
        </is>
      </c>
      <c r="B11" s="94">
        <f>SUMIF(数据源1!A:A,A11,数据源1!F:F)</f>
        <v/>
      </c>
      <c r="C11" s="94">
        <f>SUMIF(数据源1!A:A,A11,数据源1!Y:Y)</f>
        <v/>
      </c>
      <c r="D11" s="94">
        <f>SUMIF(数据源1!A:A,A11,数据源1!Q:Q)</f>
        <v/>
      </c>
      <c r="E11" s="95">
        <f>SUMIF(数据源1!A:A,A11,数据源1!X:X)</f>
        <v/>
      </c>
      <c r="F11" s="94">
        <f>SUMIF(数据源1!A:A,A11,数据源1!AC:AC)</f>
        <v/>
      </c>
      <c r="G11" s="94">
        <f>F11-F10</f>
        <v/>
      </c>
      <c r="I11" s="94">
        <f>C11-(D11+E11)/1.06</f>
        <v/>
      </c>
    </row>
    <row r="12">
      <c r="A12" s="98" t="inlineStr">
        <is>
          <t>7.20-7.26</t>
        </is>
      </c>
      <c r="B12" s="99">
        <f>SUMIF(数据源1!A:A,A12,数据源1!F:F)</f>
        <v/>
      </c>
      <c r="C12" s="99">
        <f>SUMIF(数据源1!A:A,A12,数据源1!Y:Y)</f>
        <v/>
      </c>
      <c r="D12" s="99">
        <f>SUMIF(数据源1!A:A,A12,数据源1!Q:Q)</f>
        <v/>
      </c>
      <c r="E12" s="95">
        <f>SUMIF(数据源1!A:A,A12,数据源1!X:X)</f>
        <v/>
      </c>
      <c r="F12" s="99">
        <f>SUMIF(数据源1!A:A,A12,数据源1!AC:AC)</f>
        <v/>
      </c>
      <c r="G12" s="99">
        <f>F12-F11</f>
        <v/>
      </c>
      <c r="I12" s="94">
        <f>C12-(D12+E12)/1.06</f>
        <v/>
      </c>
    </row>
    <row r="13">
      <c r="A13" s="91" t="inlineStr">
        <is>
          <t>7.27-8.2</t>
        </is>
      </c>
      <c r="B13" s="94">
        <f>SUMIF(数据源1!A:A,A13,数据源1!F:F)</f>
        <v/>
      </c>
      <c r="C13" s="94">
        <f>SUMIF(数据源1!A:A,A13,数据源1!Y:Y)</f>
        <v/>
      </c>
      <c r="D13" s="94">
        <f>SUMIF(数据源1!A:A,A13,数据源1!Q:Q)</f>
        <v/>
      </c>
      <c r="E13" s="95">
        <f>SUMIF(数据源1!A:A,A13,数据源1!X:X)</f>
        <v/>
      </c>
      <c r="F13" s="94">
        <f>SUMIF(数据源1!A:A,A13,数据源1!AC:AC)</f>
        <v/>
      </c>
      <c r="G13" s="94">
        <f>F13-F12</f>
        <v/>
      </c>
      <c r="I13" s="94">
        <f>C13-(D13+E13)/1.06</f>
        <v/>
      </c>
    </row>
  </sheetData>
  <mergeCells count="2">
    <mergeCell ref="A2:G2"/>
    <mergeCell ref="A1:G1"/>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8" customWidth="1" style="69" min="1" max="1"/>
    <col width="16" customWidth="1" style="69" min="2" max="2"/>
    <col width="14" customWidth="1" style="69" min="3" max="3"/>
    <col width="42" customWidth="1" style="69" min="4" max="4"/>
    <col width="12" customWidth="1" style="69" min="5" max="5"/>
    <col width="12" customWidth="1" style="69" min="6" max="6"/>
    <col width="12" customWidth="1" style="69" min="7" max="7"/>
  </cols>
  <sheetData>
    <row r="1">
      <c r="A1" s="87" t="inlineStr">
        <is>
          <t>近周利润回落归因（7.6-7.12 → 7.13-7.19，数据源1·推广后净利润）</t>
        </is>
      </c>
    </row>
    <row r="2">
      <c r="A2" s="88" t="inlineStr">
        <is>
          <t>变化=后周-前周；负值=拖累。ID利润取自数据源1（其他费用已按周报×件数占比，推广后=推广前-(推广总花费+其他费用)/1.06）。</t>
        </is>
      </c>
    </row>
    <row r="3">
      <c r="A3" s="89" t="inlineStr">
        <is>
          <t>拖累 TOP10（变化越负，拖累越大）</t>
        </is>
      </c>
    </row>
    <row r="4" ht="28" customHeight="1" s="69">
      <c r="A4" s="90" t="inlineStr">
        <is>
          <t>排名</t>
        </is>
      </c>
      <c r="B4" s="90" t="inlineStr">
        <is>
          <t>商品ID</t>
        </is>
      </c>
      <c r="C4" s="90" t="inlineStr">
        <is>
          <t>定位</t>
        </is>
      </c>
      <c r="D4" s="90" t="inlineStr">
        <is>
          <t>商品名称</t>
        </is>
      </c>
      <c r="E4" s="90" t="inlineStr">
        <is>
          <t>7.6-7.12</t>
        </is>
      </c>
      <c r="F4" s="90" t="inlineStr">
        <is>
          <t>7.13-7.19</t>
        </is>
      </c>
      <c r="G4" s="90" t="inlineStr">
        <is>
          <t>变化</t>
        </is>
      </c>
    </row>
    <row r="5">
      <c r="A5" s="91" t="n">
        <v>1</v>
      </c>
      <c r="B5" s="91" t="inlineStr">
        <is>
          <t>668566625747</t>
        </is>
      </c>
      <c r="C5" s="91" t="inlineStr">
        <is>
          <t>袋面主链接</t>
        </is>
      </c>
      <c r="D5" s="91" t="inlineStr">
        <is>
          <t>印尼营多捞面进口网红泡面袋装方便面速食食品拉面火鸡面拌面整箱</t>
        </is>
      </c>
      <c r="E5" s="100" t="n">
        <v>-911.42</v>
      </c>
      <c r="F5" s="100" t="n">
        <v>-1577.82</v>
      </c>
      <c r="G5" s="94">
        <f>F5-E5</f>
        <v/>
      </c>
    </row>
    <row r="6">
      <c r="A6" s="91" t="n">
        <v>2</v>
      </c>
      <c r="B6" s="91" t="inlineStr">
        <is>
          <t>648600900806</t>
        </is>
      </c>
      <c r="C6" s="91" t="inlineStr">
        <is>
          <t>30包</t>
        </is>
      </c>
      <c r="D6" s="91" t="inlineStr">
        <is>
          <t>进口营多捞面一整箱30包网红速食方便面宿舍速食泡面干拌面拉面</t>
        </is>
      </c>
      <c r="E6" s="94" t="n">
        <v>41.33</v>
      </c>
      <c r="F6" s="100" t="n">
        <v>-202.24</v>
      </c>
      <c r="G6" s="94">
        <f>F6-E6</f>
        <v/>
      </c>
    </row>
    <row r="7">
      <c r="A7" s="91" t="n">
        <v>3</v>
      </c>
      <c r="B7" s="91" t="inlineStr">
        <is>
          <t>649369494424</t>
        </is>
      </c>
      <c r="C7" s="91" t="inlineStr">
        <is>
          <t>24包经典/牛系列</t>
        </is>
      </c>
      <c r="D7" s="91" t="inlineStr">
        <is>
          <t>营多捞面干拌面一整箱24袋装批发泡面混搭宿舍速食方便面火鸡面</t>
        </is>
      </c>
      <c r="E7" s="94" t="n">
        <v>457.42</v>
      </c>
      <c r="F7" s="94" t="n">
        <v>246.8</v>
      </c>
      <c r="G7" s="94">
        <f>F7-E7</f>
        <v/>
      </c>
    </row>
    <row r="8">
      <c r="A8" s="91" t="n">
        <v>4</v>
      </c>
      <c r="B8" s="91" t="inlineStr">
        <is>
          <t>766165464414</t>
        </is>
      </c>
      <c r="C8" s="91" t="inlineStr">
        <is>
          <t>12包</t>
        </is>
      </c>
      <c r="D8" s="91" t="inlineStr">
        <is>
          <t>营多印尼进口营多捞面方便面火鸡面干拌面12包宿舍速食泡面夜宵</t>
        </is>
      </c>
      <c r="E8" s="94" t="n">
        <v>129.27</v>
      </c>
      <c r="F8" s="94" t="n">
        <v>9.81</v>
      </c>
      <c r="G8" s="94">
        <f>F8-E8</f>
        <v/>
      </c>
    </row>
    <row r="9">
      <c r="A9" s="91" t="n">
        <v>5</v>
      </c>
      <c r="B9" s="91" t="inlineStr">
        <is>
          <t>648598580775</t>
        </is>
      </c>
      <c r="C9" s="91" t="inlineStr">
        <is>
          <t>原味大包</t>
        </is>
      </c>
      <c r="D9" s="91" t="inlineStr">
        <is>
          <t>印尼进口大大包营多原味捞面5包干拌面速食超大包方便面速食宵夜</t>
        </is>
      </c>
      <c r="E9" s="94" t="n">
        <v>63.6</v>
      </c>
      <c r="F9" s="100" t="n">
        <v>-36.63</v>
      </c>
      <c r="G9" s="94">
        <f>F9-E9</f>
        <v/>
      </c>
    </row>
    <row r="10">
      <c r="A10" s="91" t="n">
        <v>6</v>
      </c>
      <c r="B10" s="91" t="inlineStr">
        <is>
          <t>1059563993918</t>
        </is>
      </c>
      <c r="C10" s="91" t="inlineStr">
        <is>
          <t>原味大包</t>
        </is>
      </c>
      <c r="D10" s="91" t="inlineStr">
        <is>
          <t>indomie印尼进口营多原味大大包129g捞面方便面速食食品宵夜小吃</t>
        </is>
      </c>
      <c r="E10" s="100" t="n">
        <v>-50.18</v>
      </c>
      <c r="F10" s="100" t="n">
        <v>-115.11</v>
      </c>
      <c r="G10" s="94">
        <f>F10-E10</f>
        <v/>
      </c>
    </row>
    <row r="11">
      <c r="A11" s="91" t="n">
        <v>7</v>
      </c>
      <c r="B11" s="91" t="inlineStr">
        <is>
          <t>649014937782</t>
        </is>
      </c>
      <c r="C11" s="91" t="inlineStr">
        <is>
          <t>24包</t>
        </is>
      </c>
      <c r="D11" s="91" t="inlineStr">
        <is>
          <t>印尼营多捞面干拌面一整箱24袋装批发泡面宿舍速食方便面火鸡面</t>
        </is>
      </c>
      <c r="E11" s="100" t="n">
        <v>-4.94</v>
      </c>
      <c r="F11" s="100" t="n">
        <v>-62.79</v>
      </c>
      <c r="G11" s="94">
        <f>F11-E11</f>
        <v/>
      </c>
    </row>
    <row r="12">
      <c r="A12" s="91" t="n">
        <v>8</v>
      </c>
      <c r="B12" s="91" t="inlineStr">
        <is>
          <t>1013887677295</t>
        </is>
      </c>
      <c r="C12" s="91" t="inlineStr">
        <is>
          <t>混搭5杯</t>
        </is>
      </c>
      <c r="D12" s="91" t="inlineStr">
        <is>
          <t>进口营多原味杯面日式杯面韩式杯面泡面方便面汤面宿舍速食夜宵</t>
        </is>
      </c>
      <c r="E12" s="100" t="n">
        <v>-127.65</v>
      </c>
      <c r="F12" s="100" t="n">
        <v>-173.79</v>
      </c>
      <c r="G12" s="94">
        <f>F12-E12</f>
        <v/>
      </c>
    </row>
    <row r="13">
      <c r="A13" s="91" t="n">
        <v>9</v>
      </c>
      <c r="B13" s="91" t="inlineStr">
        <is>
          <t>648604228786</t>
        </is>
      </c>
      <c r="C13" s="91" t="inlineStr">
        <is>
          <t>杯面混搭</t>
        </is>
      </c>
      <c r="D13" s="91" t="inlineStr">
        <is>
          <t>INDOMIE营多日式杯面原味经典泡面整箱批发速食宿舍旅行宵夜宿舍</t>
        </is>
      </c>
      <c r="E13" s="94" t="n">
        <v>16.38</v>
      </c>
      <c r="F13" s="100" t="n">
        <v>-14.73</v>
      </c>
      <c r="G13" s="94">
        <f>F13-E13</f>
        <v/>
      </c>
    </row>
    <row r="14">
      <c r="A14" s="91" t="n">
        <v>10</v>
      </c>
      <c r="B14" s="91" t="inlineStr">
        <is>
          <t>735014804839</t>
        </is>
      </c>
      <c r="C14" s="91" t="inlineStr">
        <is>
          <t>24/30包</t>
        </is>
      </c>
      <c r="D14" s="91" t="inlineStr">
        <is>
          <t>进口营多捞面多口味Indomie网红方便面干拌面泡面30包整箱批发面</t>
        </is>
      </c>
      <c r="E14" s="94" t="n">
        <v>107.63</v>
      </c>
      <c r="F14" s="94" t="n">
        <v>78.69</v>
      </c>
      <c r="G14" s="94">
        <f>F14-E14</f>
        <v/>
      </c>
    </row>
    <row r="16">
      <c r="A16" s="89" t="inlineStr">
        <is>
          <t>改善 TOP5（变化为正，对冲回落）</t>
        </is>
      </c>
    </row>
    <row r="17" ht="28" customHeight="1" s="69">
      <c r="A17" s="90" t="inlineStr">
        <is>
          <t>排名</t>
        </is>
      </c>
      <c r="B17" s="90" t="inlineStr">
        <is>
          <t>商品ID</t>
        </is>
      </c>
      <c r="C17" s="90" t="inlineStr">
        <is>
          <t>定位</t>
        </is>
      </c>
      <c r="D17" s="90" t="inlineStr">
        <is>
          <t>商品名称</t>
        </is>
      </c>
      <c r="E17" s="90" t="inlineStr">
        <is>
          <t>7.6-7.12</t>
        </is>
      </c>
      <c r="F17" s="90" t="inlineStr">
        <is>
          <t>7.13-7.19</t>
        </is>
      </c>
      <c r="G17" s="90" t="inlineStr">
        <is>
          <t>变化</t>
        </is>
      </c>
    </row>
    <row r="18">
      <c r="A18" s="91" t="n">
        <v>1</v>
      </c>
      <c r="B18" s="91" t="inlineStr">
        <is>
          <t>649361890551</t>
        </is>
      </c>
      <c r="C18" s="91" t="inlineStr">
        <is>
          <t>袋面次链接</t>
        </is>
      </c>
      <c r="D18" s="91" t="inlineStr">
        <is>
          <t>营多捞面印尼进口Indomie网红夜宵早餐方便面火鸡面泡面拌面</t>
        </is>
      </c>
      <c r="E18" s="100" t="n">
        <v>-1807.89</v>
      </c>
      <c r="F18" s="100" t="n">
        <v>-1447.22</v>
      </c>
      <c r="G18" s="94">
        <f>F18-E18</f>
        <v/>
      </c>
    </row>
    <row r="19">
      <c r="A19" s="91" t="n">
        <v>2</v>
      </c>
      <c r="B19" s="91" t="inlineStr">
        <is>
          <t>649735171438</t>
        </is>
      </c>
      <c r="C19" s="91" t="inlineStr">
        <is>
          <t>杯面主链接</t>
        </is>
      </c>
      <c r="D19" s="91" t="inlineStr">
        <is>
          <t>印尼进口indomie营多捞面杯面速食泡面干拌面盒桶装方便面火鸡面</t>
        </is>
      </c>
      <c r="E19" s="100" t="n">
        <v>-1023.86</v>
      </c>
      <c r="F19" s="100" t="n">
        <v>-962.74</v>
      </c>
      <c r="G19" s="94">
        <f>F19-E19</f>
        <v/>
      </c>
    </row>
    <row r="20">
      <c r="A20" s="91" t="n">
        <v>3</v>
      </c>
      <c r="B20" s="91" t="inlineStr">
        <is>
          <t>648681860568</t>
        </is>
      </c>
      <c r="C20" s="91" t="inlineStr">
        <is>
          <t>巴东牛肉</t>
        </is>
      </c>
      <c r="D20" s="91" t="inlineStr">
        <is>
          <t>营多进口新口味巴东炖牛肉味捞面印尼料理方便面泡面捞面夜宵速食</t>
        </is>
      </c>
      <c r="E20" s="100" t="n">
        <v>-160.09</v>
      </c>
      <c r="F20" s="100" t="n">
        <v>-99.84999999999999</v>
      </c>
      <c r="G20" s="94">
        <f>F20-E20</f>
        <v/>
      </c>
    </row>
    <row r="21">
      <c r="A21" s="91" t="n">
        <v>4</v>
      </c>
      <c r="B21" s="91" t="inlineStr">
        <is>
          <t>971242260371</t>
        </is>
      </c>
      <c r="C21" s="91" t="inlineStr">
        <is>
          <t>韩式袋面</t>
        </is>
      </c>
      <c r="D21" s="91" t="inlineStr">
        <is>
          <t>新品营多捞面韩式辣蘑菇汤面泡面方便面速食干拌面宿舍宵夜旅行</t>
        </is>
      </c>
      <c r="E21" s="100" t="n">
        <v>-59.92</v>
      </c>
      <c r="F21" s="100" t="n">
        <v>-21.25</v>
      </c>
      <c r="G21" s="94">
        <f>F21-E21</f>
        <v/>
      </c>
    </row>
    <row r="22">
      <c r="A22" s="91" t="n">
        <v>5</v>
      </c>
      <c r="B22" s="91" t="inlineStr">
        <is>
          <t>1058280415678</t>
        </is>
      </c>
      <c r="C22" s="91" t="inlineStr">
        <is>
          <t>巴东牛肉</t>
        </is>
      </c>
      <c r="D22" s="91" t="inlineStr">
        <is>
          <t>【新口味】印尼进口营多捞面巴东炖牛肉味泡面方便面宿舍速食宵夜</t>
        </is>
      </c>
      <c r="E22" s="94" t="n">
        <v>29.25</v>
      </c>
      <c r="F22" s="94" t="n">
        <v>51.68</v>
      </c>
      <c r="G22" s="94">
        <f>F22-E22</f>
        <v/>
      </c>
    </row>
    <row r="24">
      <c r="A24" s="89" t="inlineStr">
        <is>
          <t>本阶段数据源合计变化</t>
        </is>
      </c>
      <c r="B24" s="100" t="n">
        <v>-1072.39</v>
      </c>
      <c r="C24" s="94">
        <f>SUMIF(数据源1!A:A,"7.13-7.19",数据源1!AC:AC)-SUMIF(数据源1!A:A,"7.6-7.12",数据源1!AC:AC)</f>
        <v/>
      </c>
      <c r="D24" s="88" t="inlineStr">
        <is>
          <t>←公式校验（应与B24接近）</t>
        </is>
      </c>
    </row>
  </sheetData>
  <mergeCells count="2">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cols>
    <col width="12" customWidth="1" style="69" min="1" max="1"/>
    <col width="16" customWidth="1" style="69" min="2" max="2"/>
    <col width="12" customWidth="1" style="69" min="3" max="3"/>
    <col width="42" customWidth="1" style="69" min="4" max="4"/>
    <col width="12" customWidth="1" style="69" min="5" max="5"/>
    <col width="12" customWidth="1" style="69" min="6" max="6"/>
    <col width="12" customWidth="1" style="69" min="7" max="7"/>
    <col width="12" customWidth="1" style="69" min="8" max="8"/>
    <col width="12" customWidth="1" style="69" min="9" max="9"/>
  </cols>
  <sheetData>
    <row r="1">
      <c r="A1" s="87" t="inlineStr">
        <is>
          <t>原味大大包专题（数据源1：定位=大大 / 原味大包）</t>
        </is>
      </c>
    </row>
    <row r="2">
      <c r="A2" s="88" t="inlineStr">
        <is>
          <t>汇总与明细均按数据源1筛选；推广侵蚀=推广前-推广后。</t>
        </is>
      </c>
    </row>
    <row r="3">
      <c r="A3" s="89" t="inlineStr">
        <is>
          <t>汇总：大大相关链接按周</t>
        </is>
      </c>
    </row>
    <row r="4" ht="28" customHeight="1" s="69">
      <c r="A4" s="90" t="inlineStr">
        <is>
          <t>周次</t>
        </is>
      </c>
      <c r="B4" s="90" t="inlineStr">
        <is>
          <t>成交金额</t>
        </is>
      </c>
      <c r="C4" s="90" t="inlineStr">
        <is>
          <t>推广前净利润</t>
        </is>
      </c>
      <c r="D4" s="90" t="inlineStr">
        <is>
          <t>推广花费</t>
        </is>
      </c>
      <c r="E4" s="90" t="inlineStr">
        <is>
          <t>其他费用</t>
        </is>
      </c>
      <c r="F4" s="90" t="inlineStr">
        <is>
          <t>推广后净利润</t>
        </is>
      </c>
      <c r="G4" s="90" t="inlineStr">
        <is>
          <t>推广侵蚀</t>
        </is>
      </c>
      <c r="H4" s="90" t="inlineStr">
        <is>
          <t>链接数</t>
        </is>
      </c>
    </row>
    <row r="5">
      <c r="A5" s="91" t="inlineStr">
        <is>
          <t>6.22-6.28</t>
        </is>
      </c>
      <c r="B5" s="94">
        <f>SUMIFS(数据源1!F:F,数据源1!A:A,A5,数据源1!D:D,"大大")+SUMIFS(数据源1!F:F,数据源1!A:A,A5,数据源1!D:D,"原味大包")</f>
        <v/>
      </c>
      <c r="C5" s="94">
        <f>SUMIFS(数据源1!Y:Y,数据源1!A:A,A5,数据源1!D:D,"大大")+SUMIFS(数据源1!Y:Y,数据源1!A:A,A5,数据源1!D:D,"原味大包")</f>
        <v/>
      </c>
      <c r="D5" s="94">
        <f>SUMIFS(数据源1!Q:Q,数据源1!A:A,A5,数据源1!D:D,"大大")+SUMIFS(数据源1!Q:Q,数据源1!A:A,A5,数据源1!D:D,"原味大包")</f>
        <v/>
      </c>
      <c r="E5" s="95">
        <f>SUMIFS(数据源1!X:X,数据源1!A:A,A5,数据源1!D:D,"大大")+SUMIFS(数据源1!X:X,数据源1!A:A,A5,数据源1!D:D,"原味大包")</f>
        <v/>
      </c>
      <c r="F5" s="94">
        <f>SUMIFS(数据源1!AC:AC,数据源1!A:A,A5,数据源1!D:D,"大大")+SUMIFS(数据源1!AC:AC,数据源1!A:A,A5,数据源1!D:D,"原味大包")</f>
        <v/>
      </c>
      <c r="G5" s="94">
        <f>C5-F5</f>
        <v/>
      </c>
      <c r="H5" s="101">
        <f>COUNTIFS(数据源1!A:A,A5,数据源1!D:D,"大大")+COUNTIFS(数据源1!A:A,A5,数据源1!D:D,"原味大包")</f>
        <v/>
      </c>
    </row>
    <row r="6">
      <c r="A6" s="91" t="inlineStr">
        <is>
          <t>6.29-7.5</t>
        </is>
      </c>
      <c r="B6" s="94">
        <f>SUMIFS(数据源1!F:F,数据源1!A:A,A6,数据源1!D:D,"大大")+SUMIFS(数据源1!F:F,数据源1!A:A,A6,数据源1!D:D,"原味大包")</f>
        <v/>
      </c>
      <c r="C6" s="94">
        <f>SUMIFS(数据源1!Y:Y,数据源1!A:A,A6,数据源1!D:D,"大大")+SUMIFS(数据源1!Y:Y,数据源1!A:A,A6,数据源1!D:D,"原味大包")</f>
        <v/>
      </c>
      <c r="D6" s="94">
        <f>SUMIFS(数据源1!Q:Q,数据源1!A:A,A6,数据源1!D:D,"大大")+SUMIFS(数据源1!Q:Q,数据源1!A:A,A6,数据源1!D:D,"原味大包")</f>
        <v/>
      </c>
      <c r="E6" s="95">
        <f>SUMIFS(数据源1!X:X,数据源1!A:A,A6,数据源1!D:D,"大大")+SUMIFS(数据源1!X:X,数据源1!A:A,A6,数据源1!D:D,"原味大包")</f>
        <v/>
      </c>
      <c r="F6" s="94">
        <f>SUMIFS(数据源1!AC:AC,数据源1!A:A,A6,数据源1!D:D,"大大")+SUMIFS(数据源1!AC:AC,数据源1!A:A,A6,数据源1!D:D,"原味大包")</f>
        <v/>
      </c>
      <c r="G6" s="94">
        <f>C6-F6</f>
        <v/>
      </c>
      <c r="H6" s="101">
        <f>COUNTIFS(数据源1!A:A,A6,数据源1!D:D,"大大")+COUNTIFS(数据源1!A:A,A6,数据源1!D:D,"原味大包")</f>
        <v/>
      </c>
    </row>
    <row r="7">
      <c r="A7" s="91" t="inlineStr">
        <is>
          <t>7.6-7.12</t>
        </is>
      </c>
      <c r="B7" s="94">
        <f>SUMIFS(数据源1!F:F,数据源1!A:A,A7,数据源1!D:D,"大大")+SUMIFS(数据源1!F:F,数据源1!A:A,A7,数据源1!D:D,"原味大包")</f>
        <v/>
      </c>
      <c r="C7" s="94">
        <f>SUMIFS(数据源1!Y:Y,数据源1!A:A,A7,数据源1!D:D,"大大")+SUMIFS(数据源1!Y:Y,数据源1!A:A,A7,数据源1!D:D,"原味大包")</f>
        <v/>
      </c>
      <c r="D7" s="94">
        <f>SUMIFS(数据源1!Q:Q,数据源1!A:A,A7,数据源1!D:D,"大大")+SUMIFS(数据源1!Q:Q,数据源1!A:A,A7,数据源1!D:D,"原味大包")</f>
        <v/>
      </c>
      <c r="E7" s="95">
        <f>SUMIFS(数据源1!X:X,数据源1!A:A,A7,数据源1!D:D,"大大")+SUMIFS(数据源1!X:X,数据源1!A:A,A7,数据源1!D:D,"原味大包")</f>
        <v/>
      </c>
      <c r="F7" s="94">
        <f>SUMIFS(数据源1!AC:AC,数据源1!A:A,A7,数据源1!D:D,"大大")+SUMIFS(数据源1!AC:AC,数据源1!A:A,A7,数据源1!D:D,"原味大包")</f>
        <v/>
      </c>
      <c r="G7" s="94">
        <f>C7-F7</f>
        <v/>
      </c>
      <c r="H7" s="101">
        <f>COUNTIFS(数据源1!A:A,A7,数据源1!D:D,"大大")+COUNTIFS(数据源1!A:A,A7,数据源1!D:D,"原味大包")</f>
        <v/>
      </c>
    </row>
    <row r="8">
      <c r="A8" s="91" t="inlineStr">
        <is>
          <t>7.13-7.19</t>
        </is>
      </c>
      <c r="B8" s="94">
        <f>SUMIFS(数据源1!F:F,数据源1!A:A,A8,数据源1!D:D,"大大")+SUMIFS(数据源1!F:F,数据源1!A:A,A8,数据源1!D:D,"原味大包")</f>
        <v/>
      </c>
      <c r="C8" s="94">
        <f>SUMIFS(数据源1!Y:Y,数据源1!A:A,A8,数据源1!D:D,"大大")+SUMIFS(数据源1!Y:Y,数据源1!A:A,A8,数据源1!D:D,"原味大包")</f>
        <v/>
      </c>
      <c r="D8" s="94">
        <f>SUMIFS(数据源1!Q:Q,数据源1!A:A,A8,数据源1!D:D,"大大")+SUMIFS(数据源1!Q:Q,数据源1!A:A,A8,数据源1!D:D,"原味大包")</f>
        <v/>
      </c>
      <c r="E8" s="95">
        <f>SUMIFS(数据源1!X:X,数据源1!A:A,A8,数据源1!D:D,"大大")+SUMIFS(数据源1!X:X,数据源1!A:A,A8,数据源1!D:D,"原味大包")</f>
        <v/>
      </c>
      <c r="F8" s="94">
        <f>SUMIFS(数据源1!AC:AC,数据源1!A:A,A8,数据源1!D:D,"大大")+SUMIFS(数据源1!AC:AC,数据源1!A:A,A8,数据源1!D:D,"原味大包")</f>
        <v/>
      </c>
      <c r="G8" s="94">
        <f>C8-F8</f>
        <v/>
      </c>
      <c r="H8" s="101">
        <f>COUNTIFS(数据源1!A:A,A8,数据源1!D:D,"大大")+COUNTIFS(数据源1!A:A,A8,数据源1!D:D,"原味大包")</f>
        <v/>
      </c>
    </row>
    <row r="9">
      <c r="A9" s="91" t="inlineStr">
        <is>
          <t>7.20-7.26</t>
        </is>
      </c>
      <c r="B9" s="94">
        <f>SUMIFS(数据源1!F:F,数据源1!A:A,A9,数据源1!D:D,"大大")+SUMIFS(数据源1!F:F,数据源1!A:A,A9,数据源1!D:D,"原味大包")</f>
        <v/>
      </c>
      <c r="C9" s="94">
        <f>SUMIFS(数据源1!Y:Y,数据源1!A:A,A9,数据源1!D:D,"大大")+SUMIFS(数据源1!Y:Y,数据源1!A:A,A9,数据源1!D:D,"原味大包")</f>
        <v/>
      </c>
      <c r="D9" s="94">
        <f>SUMIFS(数据源1!Q:Q,数据源1!A:A,A9,数据源1!D:D,"大大")+SUMIFS(数据源1!Q:Q,数据源1!A:A,A9,数据源1!D:D,"原味大包")</f>
        <v/>
      </c>
      <c r="E9" s="95">
        <f>SUMIFS(数据源1!X:X,数据源1!A:A,A9,数据源1!D:D,"大大")+SUMIFS(数据源1!X:X,数据源1!A:A,A9,数据源1!D:D,"原味大包")</f>
        <v/>
      </c>
      <c r="F9" s="94">
        <f>SUMIFS(数据源1!AC:AC,数据源1!A:A,A9,数据源1!D:D,"大大")+SUMIFS(数据源1!AC:AC,数据源1!A:A,A9,数据源1!D:D,"原味大包")</f>
        <v/>
      </c>
      <c r="G9" s="94">
        <f>C9-F9</f>
        <v/>
      </c>
      <c r="H9" s="101">
        <f>COUNTIFS(数据源1!A:A,A9,数据源1!D:D,"大大")+COUNTIFS(数据源1!A:A,A9,数据源1!D:D,"原味大包")</f>
        <v/>
      </c>
    </row>
    <row r="10">
      <c r="A10" s="91" t="inlineStr">
        <is>
          <t>7.27-8.2</t>
        </is>
      </c>
      <c r="B10" s="94">
        <f>SUMIFS(数据源1!F:F,数据源1!A:A,A10,数据源1!D:D,"大大")+SUMIFS(数据源1!F:F,数据源1!A:A,A10,数据源1!D:D,"原味大包")</f>
        <v/>
      </c>
      <c r="C10" s="94">
        <f>SUMIFS(数据源1!Y:Y,数据源1!A:A,A10,数据源1!D:D,"大大")+SUMIFS(数据源1!Y:Y,数据源1!A:A,A10,数据源1!D:D,"原味大包")</f>
        <v/>
      </c>
      <c r="D10" s="94">
        <f>SUMIFS(数据源1!Q:Q,数据源1!A:A,A10,数据源1!D:D,"大大")+SUMIFS(数据源1!Q:Q,数据源1!A:A,A10,数据源1!D:D,"原味大包")</f>
        <v/>
      </c>
      <c r="E10" s="95">
        <f>SUMIFS(数据源1!X:X,数据源1!A:A,A10,数据源1!D:D,"大大")+SUMIFS(数据源1!X:X,数据源1!A:A,A10,数据源1!D:D,"原味大包")</f>
        <v/>
      </c>
      <c r="F10" s="94">
        <f>SUMIFS(数据源1!AC:AC,数据源1!A:A,A10,数据源1!D:D,"大大")+SUMIFS(数据源1!AC:AC,数据源1!A:A,A10,数据源1!D:D,"原味大包")</f>
        <v/>
      </c>
      <c r="G10" s="94">
        <f>C10-F10</f>
        <v/>
      </c>
      <c r="H10" s="101">
        <f>COUNTIFS(数据源1!A:A,A10,数据源1!D:D,"大大")+COUNTIFS(数据源1!A:A,A10,数据源1!D:D,"原味大包")</f>
        <v/>
      </c>
    </row>
    <row r="13">
      <c r="A13" s="89" t="inlineStr">
        <is>
          <t>明细：大大相关 ID × 周（数据源1）</t>
        </is>
      </c>
    </row>
    <row r="14" ht="28" customHeight="1" s="69">
      <c r="A14" s="90" t="inlineStr">
        <is>
          <t>周次</t>
        </is>
      </c>
      <c r="B14" s="90" t="inlineStr">
        <is>
          <t>商品ID</t>
        </is>
      </c>
      <c r="C14" s="90" t="inlineStr">
        <is>
          <t>定位</t>
        </is>
      </c>
      <c r="D14" s="90" t="inlineStr">
        <is>
          <t>商品名称</t>
        </is>
      </c>
      <c r="E14" s="90" t="inlineStr">
        <is>
          <t>成交金额</t>
        </is>
      </c>
      <c r="F14" s="90" t="inlineStr">
        <is>
          <t>推广前净利润</t>
        </is>
      </c>
      <c r="G14" s="90" t="inlineStr">
        <is>
          <t>推广花费</t>
        </is>
      </c>
      <c r="H14" s="90" t="inlineStr">
        <is>
          <t>其他费用</t>
        </is>
      </c>
      <c r="I14" s="90" t="inlineStr">
        <is>
          <t>推广后净利润</t>
        </is>
      </c>
    </row>
    <row r="15">
      <c r="A15" s="91" t="inlineStr">
        <is>
          <t>6.22-6.28</t>
        </is>
      </c>
      <c r="B15" s="91" t="inlineStr">
        <is>
          <t>1058280415678</t>
        </is>
      </c>
      <c r="C15" s="91" t="inlineStr">
        <is>
          <t>大大</t>
        </is>
      </c>
      <c r="D15" s="91" t="inlineStr">
        <is>
          <t>印尼进口大大包营多原味捞面5包干拌面速食超大包方便面速食宵夜</t>
        </is>
      </c>
      <c r="E15" s="94">
        <f>SUMIFS(数据源1!F:F,数据源1!A:A,A15,数据源1!C:C,B15)</f>
        <v/>
      </c>
      <c r="F15" s="94">
        <f>SUMIFS(数据源1!Y:Y,数据源1!A:A,A15,数据源1!C:C,B15)</f>
        <v/>
      </c>
      <c r="G15" s="94">
        <f>SUMIFS(数据源1!Q:Q,数据源1!A:A,A15,数据源1!C:C,B15)</f>
        <v/>
      </c>
      <c r="H15" s="95">
        <f>SUMIFS(数据源1!X:X,数据源1!A:A,A15,数据源1!C:C,B15)</f>
        <v/>
      </c>
      <c r="I15" s="94">
        <f>SUMIFS(数据源1!AC:AC,数据源1!A:A,A15,数据源1!C:C,B15)</f>
        <v/>
      </c>
    </row>
    <row r="16">
      <c r="A16" s="91" t="inlineStr">
        <is>
          <t>6.22-6.28</t>
        </is>
      </c>
      <c r="B16" s="91" t="inlineStr">
        <is>
          <t>1060999732877</t>
        </is>
      </c>
      <c r="C16" s="91" t="inlineStr">
        <is>
          <t>大大</t>
        </is>
      </c>
      <c r="D16" s="91" t="inlineStr">
        <is>
          <t>indomie印尼进口营多原味大大包129g捞面方便面速食食品宵夜小吃</t>
        </is>
      </c>
      <c r="E16" s="94">
        <f>SUMIFS(数据源1!F:F,数据源1!A:A,A16,数据源1!C:C,B16)</f>
        <v/>
      </c>
      <c r="F16" s="94">
        <f>SUMIFS(数据源1!Y:Y,数据源1!A:A,A16,数据源1!C:C,B16)</f>
        <v/>
      </c>
      <c r="G16" s="94">
        <f>SUMIFS(数据源1!Q:Q,数据源1!A:A,A16,数据源1!C:C,B16)</f>
        <v/>
      </c>
      <c r="H16" s="95">
        <f>SUMIFS(数据源1!X:X,数据源1!A:A,A16,数据源1!C:C,B16)</f>
        <v/>
      </c>
      <c r="I16" s="94">
        <f>SUMIFS(数据源1!AC:AC,数据源1!A:A,A16,数据源1!C:C,B16)</f>
        <v/>
      </c>
    </row>
    <row r="17">
      <c r="A17" s="91" t="inlineStr">
        <is>
          <t>6.29-7.5</t>
        </is>
      </c>
      <c r="B17" s="91" t="inlineStr">
        <is>
          <t>1058280415678</t>
        </is>
      </c>
      <c r="C17" s="91" t="inlineStr">
        <is>
          <t>原味大包</t>
        </is>
      </c>
      <c r="D17" s="91" t="inlineStr">
        <is>
          <t>印尼进口大大包营多原味捞面5包干拌面速食超大包方便面速食宵夜</t>
        </is>
      </c>
      <c r="E17" s="94">
        <f>SUMIFS(数据源1!F:F,数据源1!A:A,A17,数据源1!C:C,B17)</f>
        <v/>
      </c>
      <c r="F17" s="94">
        <f>SUMIFS(数据源1!Y:Y,数据源1!A:A,A17,数据源1!C:C,B17)</f>
        <v/>
      </c>
      <c r="G17" s="94">
        <f>SUMIFS(数据源1!Q:Q,数据源1!A:A,A17,数据源1!C:C,B17)</f>
        <v/>
      </c>
      <c r="H17" s="95">
        <f>SUMIFS(数据源1!X:X,数据源1!A:A,A17,数据源1!C:C,B17)</f>
        <v/>
      </c>
      <c r="I17" s="94">
        <f>SUMIFS(数据源1!AC:AC,数据源1!A:A,A17,数据源1!C:C,B17)</f>
        <v/>
      </c>
    </row>
    <row r="18">
      <c r="A18" s="91" t="inlineStr">
        <is>
          <t>6.29-7.5</t>
        </is>
      </c>
      <c r="B18" s="91" t="inlineStr">
        <is>
          <t>1060999732877</t>
        </is>
      </c>
      <c r="C18" s="91" t="inlineStr">
        <is>
          <t>原味大包</t>
        </is>
      </c>
      <c r="D18" s="91" t="inlineStr">
        <is>
          <t>indomie印尼进口营多原味大大包129g捞面方便面速食食品宵夜小吃</t>
        </is>
      </c>
      <c r="E18" s="94">
        <f>SUMIFS(数据源1!F:F,数据源1!A:A,A18,数据源1!C:C,B18)</f>
        <v/>
      </c>
      <c r="F18" s="94">
        <f>SUMIFS(数据源1!Y:Y,数据源1!A:A,A18,数据源1!C:C,B18)</f>
        <v/>
      </c>
      <c r="G18" s="94">
        <f>SUMIFS(数据源1!Q:Q,数据源1!A:A,A18,数据源1!C:C,B18)</f>
        <v/>
      </c>
      <c r="H18" s="95">
        <f>SUMIFS(数据源1!X:X,数据源1!A:A,A18,数据源1!C:C,B18)</f>
        <v/>
      </c>
      <c r="I18" s="94">
        <f>SUMIFS(数据源1!AC:AC,数据源1!A:A,A18,数据源1!C:C,B18)</f>
        <v/>
      </c>
    </row>
    <row r="19">
      <c r="A19" s="91" t="inlineStr">
        <is>
          <t>7.13-7.19</t>
        </is>
      </c>
      <c r="B19" s="91" t="inlineStr">
        <is>
          <t>648598580775</t>
        </is>
      </c>
      <c r="C19" s="91" t="inlineStr">
        <is>
          <t>原味大包</t>
        </is>
      </c>
      <c r="D19" s="91" t="inlineStr">
        <is>
          <t>印尼进口大大包营多原味捞面5包干拌面速食超大包方便面速食宵夜</t>
        </is>
      </c>
      <c r="E19" s="94">
        <f>SUMIFS(数据源1!F:F,数据源1!A:A,A19,数据源1!C:C,B19)</f>
        <v/>
      </c>
      <c r="F19" s="94">
        <f>SUMIFS(数据源1!Y:Y,数据源1!A:A,A19,数据源1!C:C,B19)</f>
        <v/>
      </c>
      <c r="G19" s="94">
        <f>SUMIFS(数据源1!Q:Q,数据源1!A:A,A19,数据源1!C:C,B19)</f>
        <v/>
      </c>
      <c r="H19" s="95">
        <f>SUMIFS(数据源1!X:X,数据源1!A:A,A19,数据源1!C:C,B19)</f>
        <v/>
      </c>
      <c r="I19" s="94">
        <f>SUMIFS(数据源1!AC:AC,数据源1!A:A,A19,数据源1!C:C,B19)</f>
        <v/>
      </c>
    </row>
    <row r="20">
      <c r="A20" s="91" t="inlineStr">
        <is>
          <t>7.13-7.19</t>
        </is>
      </c>
      <c r="B20" s="91" t="inlineStr">
        <is>
          <t>1060999732877</t>
        </is>
      </c>
      <c r="C20" s="91" t="inlineStr">
        <is>
          <t>原味大包</t>
        </is>
      </c>
      <c r="D20" s="91" t="inlineStr">
        <is>
          <t>indomie印尼进口营多原味大大包129g捞面方便面速食食品宵夜小吃</t>
        </is>
      </c>
      <c r="E20" s="94">
        <f>SUMIFS(数据源1!F:F,数据源1!A:A,A20,数据源1!C:C,B20)</f>
        <v/>
      </c>
      <c r="F20" s="94">
        <f>SUMIFS(数据源1!Y:Y,数据源1!A:A,A20,数据源1!C:C,B20)</f>
        <v/>
      </c>
      <c r="G20" s="94">
        <f>SUMIFS(数据源1!Q:Q,数据源1!A:A,A20,数据源1!C:C,B20)</f>
        <v/>
      </c>
      <c r="H20" s="95">
        <f>SUMIFS(数据源1!X:X,数据源1!A:A,A20,数据源1!C:C,B20)</f>
        <v/>
      </c>
      <c r="I20" s="94">
        <f>SUMIFS(数据源1!AC:AC,数据源1!A:A,A20,数据源1!C:C,B20)</f>
        <v/>
      </c>
    </row>
    <row r="21">
      <c r="A21" s="91" t="inlineStr">
        <is>
          <t>7.13-7.19</t>
        </is>
      </c>
      <c r="B21" s="91" t="inlineStr">
        <is>
          <t>1059563993918</t>
        </is>
      </c>
      <c r="C21" s="91" t="inlineStr">
        <is>
          <t>原味大包</t>
        </is>
      </c>
      <c r="D21" s="91" t="inlineStr">
        <is>
          <t>indomie印尼进口营多原味大大包129g捞面方便面速食食品宵夜小吃</t>
        </is>
      </c>
      <c r="E21" s="94">
        <f>SUMIFS(数据源1!F:F,数据源1!A:A,A21,数据源1!C:C,B21)</f>
        <v/>
      </c>
      <c r="F21" s="94">
        <f>SUMIFS(数据源1!Y:Y,数据源1!A:A,A21,数据源1!C:C,B21)</f>
        <v/>
      </c>
      <c r="G21" s="94">
        <f>SUMIFS(数据源1!Q:Q,数据源1!A:A,A21,数据源1!C:C,B21)</f>
        <v/>
      </c>
      <c r="H21" s="95">
        <f>SUMIFS(数据源1!X:X,数据源1!A:A,A21,数据源1!C:C,B21)</f>
        <v/>
      </c>
      <c r="I21" s="94">
        <f>SUMIFS(数据源1!AC:AC,数据源1!A:A,A21,数据源1!C:C,B21)</f>
        <v/>
      </c>
    </row>
    <row r="22">
      <c r="A22" s="91" t="inlineStr">
        <is>
          <t>7.20-7.26</t>
        </is>
      </c>
      <c r="B22" s="91" t="inlineStr">
        <is>
          <t>649014937782</t>
        </is>
      </c>
      <c r="C22" s="91" t="inlineStr">
        <is>
          <t>原味大包</t>
        </is>
      </c>
      <c r="D22" s="91" t="inlineStr">
        <is>
          <t>indomie印尼进口营多原味大大包129g捞面方便面速食食品宵夜小吃</t>
        </is>
      </c>
      <c r="E22" s="94">
        <f>SUMIFS(数据源1!F:F,数据源1!A:A,A22,数据源1!C:C,B22)</f>
        <v/>
      </c>
      <c r="F22" s="94">
        <f>SUMIFS(数据源1!Y:Y,数据源1!A:A,A22,数据源1!C:C,B22)</f>
        <v/>
      </c>
      <c r="G22" s="94">
        <f>SUMIFS(数据源1!Q:Q,数据源1!A:A,A22,数据源1!C:C,B22)</f>
        <v/>
      </c>
      <c r="H22" s="95">
        <f>SUMIFS(数据源1!X:X,数据源1!A:A,A22,数据源1!C:C,B22)</f>
        <v/>
      </c>
      <c r="I22" s="94">
        <f>SUMIFS(数据源1!AC:AC,数据源1!A:A,A22,数据源1!C:C,B22)</f>
        <v/>
      </c>
    </row>
    <row r="23">
      <c r="A23" s="91" t="inlineStr">
        <is>
          <t>7.20-7.26</t>
        </is>
      </c>
      <c r="B23" s="91" t="inlineStr">
        <is>
          <t>648598580775</t>
        </is>
      </c>
      <c r="C23" s="91" t="inlineStr">
        <is>
          <t>原味大包</t>
        </is>
      </c>
      <c r="D23" s="91" t="inlineStr">
        <is>
          <t>印尼进口大大包营多原味捞面5包干拌面速食超大包方便面速食宵夜</t>
        </is>
      </c>
      <c r="E23" s="94">
        <f>SUMIFS(数据源1!F:F,数据源1!A:A,A23,数据源1!C:C,B23)</f>
        <v/>
      </c>
      <c r="F23" s="94">
        <f>SUMIFS(数据源1!Y:Y,数据源1!A:A,A23,数据源1!C:C,B23)</f>
        <v/>
      </c>
      <c r="G23" s="94">
        <f>SUMIFS(数据源1!Q:Q,数据源1!A:A,A23,数据源1!C:C,B23)</f>
        <v/>
      </c>
      <c r="H23" s="95">
        <f>SUMIFS(数据源1!X:X,数据源1!A:A,A23,数据源1!C:C,B23)</f>
        <v/>
      </c>
      <c r="I23" s="94">
        <f>SUMIFS(数据源1!AC:AC,数据源1!A:A,A23,数据源1!C:C,B23)</f>
        <v/>
      </c>
    </row>
    <row r="24">
      <c r="A24" s="91" t="inlineStr">
        <is>
          <t>7.20-7.26</t>
        </is>
      </c>
      <c r="B24" s="91" t="inlineStr">
        <is>
          <t>1060999732877</t>
        </is>
      </c>
      <c r="C24" s="91" t="inlineStr">
        <is>
          <t>原味大包</t>
        </is>
      </c>
      <c r="D24" s="91" t="inlineStr">
        <is>
          <t>indomie印尼进口营多原味大大包129g捞面方便面速食食品宵夜小吃</t>
        </is>
      </c>
      <c r="E24" s="94">
        <f>SUMIFS(数据源1!F:F,数据源1!A:A,A24,数据源1!C:C,B24)</f>
        <v/>
      </c>
      <c r="F24" s="94">
        <f>SUMIFS(数据源1!Y:Y,数据源1!A:A,A24,数据源1!C:C,B24)</f>
        <v/>
      </c>
      <c r="G24" s="94">
        <f>SUMIFS(数据源1!Q:Q,数据源1!A:A,A24,数据源1!C:C,B24)</f>
        <v/>
      </c>
      <c r="H24" s="95">
        <f>SUMIFS(数据源1!X:X,数据源1!A:A,A24,数据源1!C:C,B24)</f>
        <v/>
      </c>
      <c r="I24" s="94">
        <f>SUMIFS(数据源1!AC:AC,数据源1!A:A,A24,数据源1!C:C,B24)</f>
        <v/>
      </c>
    </row>
    <row r="25">
      <c r="A25" s="91" t="inlineStr">
        <is>
          <t>7.20-7.26</t>
        </is>
      </c>
      <c r="B25" s="91" t="inlineStr">
        <is>
          <t>1013887677295</t>
        </is>
      </c>
      <c r="C25" s="91" t="inlineStr">
        <is>
          <t>原味大包</t>
        </is>
      </c>
      <c r="D25" s="91" t="inlineStr">
        <is>
          <t>indomie印尼进口营多原味大大包129g捞面方便面速食食品宵夜小吃</t>
        </is>
      </c>
      <c r="E25" s="94">
        <f>SUMIFS(数据源1!F:F,数据源1!A:A,A25,数据源1!C:C,B25)</f>
        <v/>
      </c>
      <c r="F25" s="94">
        <f>SUMIFS(数据源1!Y:Y,数据源1!A:A,A25,数据源1!C:C,B25)</f>
        <v/>
      </c>
      <c r="G25" s="94">
        <f>SUMIFS(数据源1!Q:Q,数据源1!A:A,A25,数据源1!C:C,B25)</f>
        <v/>
      </c>
      <c r="H25" s="95">
        <f>SUMIFS(数据源1!X:X,数据源1!A:A,A25,数据源1!C:C,B25)</f>
        <v/>
      </c>
      <c r="I25" s="94">
        <f>SUMIFS(数据源1!AC:AC,数据源1!A:A,A25,数据源1!C:C,B25)</f>
        <v/>
      </c>
    </row>
    <row r="26">
      <c r="A26" s="91" t="inlineStr">
        <is>
          <t>7.27-8.2</t>
        </is>
      </c>
      <c r="B26" s="91" t="inlineStr">
        <is>
          <t>1058280415678</t>
        </is>
      </c>
      <c r="C26" s="91" t="inlineStr">
        <is>
          <t>原味大包</t>
        </is>
      </c>
      <c r="D26" s="91" t="inlineStr">
        <is>
          <t>印尼进口大大包营多原味捞面5包干拌面速食超大包方便面速食宵夜</t>
        </is>
      </c>
      <c r="E26" s="94">
        <f>SUMIFS(数据源1!F:F,数据源1!A:A,A26,数据源1!C:C,B26)</f>
        <v/>
      </c>
      <c r="F26" s="94">
        <f>SUMIFS(数据源1!Y:Y,数据源1!A:A,A26,数据源1!C:C,B26)</f>
        <v/>
      </c>
      <c r="G26" s="94">
        <f>SUMIFS(数据源1!Q:Q,数据源1!A:A,A26,数据源1!C:C,B26)</f>
        <v/>
      </c>
      <c r="H26" s="95">
        <f>SUMIFS(数据源1!X:X,数据源1!A:A,A26,数据源1!C:C,B26)</f>
        <v/>
      </c>
      <c r="I26" s="94">
        <f>SUMIFS(数据源1!AC:AC,数据源1!A:A,A26,数据源1!C:C,B26)</f>
        <v/>
      </c>
    </row>
    <row r="27">
      <c r="A27" s="91" t="inlineStr">
        <is>
          <t>7.27-8.2</t>
        </is>
      </c>
      <c r="B27" s="91" t="inlineStr">
        <is>
          <t>648598580775</t>
        </is>
      </c>
      <c r="C27" s="91" t="inlineStr">
        <is>
          <t>原味大包</t>
        </is>
      </c>
      <c r="D27" s="91" t="inlineStr">
        <is>
          <t>印尼进口大大包营多原味捞面5包干拌面速食超大包方便面速食宵夜</t>
        </is>
      </c>
      <c r="E27" s="94">
        <f>SUMIFS(数据源1!F:F,数据源1!A:A,A27,数据源1!C:C,B27)</f>
        <v/>
      </c>
      <c r="F27" s="94">
        <f>SUMIFS(数据源1!Y:Y,数据源1!A:A,A27,数据源1!C:C,B27)</f>
        <v/>
      </c>
      <c r="G27" s="94">
        <f>SUMIFS(数据源1!Q:Q,数据源1!A:A,A27,数据源1!C:C,B27)</f>
        <v/>
      </c>
      <c r="H27" s="95">
        <f>SUMIFS(数据源1!X:X,数据源1!A:A,A27,数据源1!C:C,B27)</f>
        <v/>
      </c>
      <c r="I27" s="94">
        <f>SUMIFS(数据源1!AC:AC,数据源1!A:A,A27,数据源1!C:C,B27)</f>
        <v/>
      </c>
    </row>
    <row r="28">
      <c r="A28" s="91" t="inlineStr">
        <is>
          <t>7.27-8.2</t>
        </is>
      </c>
      <c r="B28" s="91" t="inlineStr">
        <is>
          <t>1060999732877</t>
        </is>
      </c>
      <c r="C28" s="91" t="inlineStr">
        <is>
          <t>原味大包</t>
        </is>
      </c>
      <c r="D28" s="91" t="inlineStr">
        <is>
          <t>indomie印尼进口营多原味大大包129g捞面方便面速食食品宵夜小吃</t>
        </is>
      </c>
      <c r="E28" s="94">
        <f>SUMIFS(数据源1!F:F,数据源1!A:A,A28,数据源1!C:C,B28)</f>
        <v/>
      </c>
      <c r="F28" s="94">
        <f>SUMIFS(数据源1!Y:Y,数据源1!A:A,A28,数据源1!C:C,B28)</f>
        <v/>
      </c>
      <c r="G28" s="94">
        <f>SUMIFS(数据源1!Q:Q,数据源1!A:A,A28,数据源1!C:C,B28)</f>
        <v/>
      </c>
      <c r="H28" s="95">
        <f>SUMIFS(数据源1!X:X,数据源1!A:A,A28,数据源1!C:C,B28)</f>
        <v/>
      </c>
      <c r="I28" s="94">
        <f>SUMIFS(数据源1!AC:AC,数据源1!A:A,A28,数据源1!C:C,B28)</f>
        <v/>
      </c>
    </row>
    <row r="29">
      <c r="A29" s="91" t="inlineStr">
        <is>
          <t>7.27-8.2</t>
        </is>
      </c>
      <c r="B29" s="91" t="inlineStr">
        <is>
          <t>1013887677295</t>
        </is>
      </c>
      <c r="C29" s="91" t="inlineStr">
        <is>
          <t>原味大包</t>
        </is>
      </c>
      <c r="D29" s="91" t="inlineStr">
        <is>
          <t>indomie印尼进口营多原味大大包129g捞面方便面速食食品宵夜小吃</t>
        </is>
      </c>
      <c r="E29" s="94">
        <f>SUMIFS(数据源1!F:F,数据源1!A:A,A29,数据源1!C:C,B29)</f>
        <v/>
      </c>
      <c r="F29" s="94">
        <f>SUMIFS(数据源1!Y:Y,数据源1!A:A,A29,数据源1!C:C,B29)</f>
        <v/>
      </c>
      <c r="G29" s="94">
        <f>SUMIFS(数据源1!Q:Q,数据源1!A:A,A29,数据源1!C:C,B29)</f>
        <v/>
      </c>
      <c r="H29" s="95">
        <f>SUMIFS(数据源1!X:X,数据源1!A:A,A29,数据源1!C:C,B29)</f>
        <v/>
      </c>
      <c r="I29" s="94">
        <f>SUMIFS(数据源1!AC:AC,数据源1!A:A,A29,数据源1!C:C,B29)</f>
        <v/>
      </c>
    </row>
    <row r="30">
      <c r="A30" s="91" t="inlineStr">
        <is>
          <t>7.6-7.12</t>
        </is>
      </c>
      <c r="B30" s="91" t="inlineStr">
        <is>
          <t>1058280415678</t>
        </is>
      </c>
      <c r="C30" s="91" t="inlineStr">
        <is>
          <t>原味大包</t>
        </is>
      </c>
      <c r="D30" s="91" t="inlineStr">
        <is>
          <t>印尼进口大大包营多原味捞面5包干拌面速食超大包方便面速食宵夜</t>
        </is>
      </c>
      <c r="E30" s="94">
        <f>SUMIFS(数据源1!F:F,数据源1!A:A,A30,数据源1!C:C,B30)</f>
        <v/>
      </c>
      <c r="F30" s="94">
        <f>SUMIFS(数据源1!Y:Y,数据源1!A:A,A30,数据源1!C:C,B30)</f>
        <v/>
      </c>
      <c r="G30" s="94">
        <f>SUMIFS(数据源1!Q:Q,数据源1!A:A,A30,数据源1!C:C,B30)</f>
        <v/>
      </c>
      <c r="H30" s="95">
        <f>SUMIFS(数据源1!X:X,数据源1!A:A,A30,数据源1!C:C,B30)</f>
        <v/>
      </c>
      <c r="I30" s="94">
        <f>SUMIFS(数据源1!AC:AC,数据源1!A:A,A30,数据源1!C:C,B30)</f>
        <v/>
      </c>
    </row>
    <row r="31">
      <c r="A31" s="91" t="inlineStr">
        <is>
          <t>7.6-7.12</t>
        </is>
      </c>
      <c r="B31" s="91" t="inlineStr">
        <is>
          <t>1060999732877</t>
        </is>
      </c>
      <c r="C31" s="91" t="inlineStr">
        <is>
          <t>原味大包</t>
        </is>
      </c>
      <c r="D31" s="91" t="inlineStr">
        <is>
          <t>印尼进口大大包营多原味捞面5包干拌面速食超大包方便面速食宵夜</t>
        </is>
      </c>
      <c r="E31" s="94">
        <f>SUMIFS(数据源1!F:F,数据源1!A:A,A31,数据源1!C:C,B31)</f>
        <v/>
      </c>
      <c r="F31" s="94">
        <f>SUMIFS(数据源1!Y:Y,数据源1!A:A,A31,数据源1!C:C,B31)</f>
        <v/>
      </c>
      <c r="G31" s="94">
        <f>SUMIFS(数据源1!Q:Q,数据源1!A:A,A31,数据源1!C:C,B31)</f>
        <v/>
      </c>
      <c r="H31" s="95">
        <f>SUMIFS(数据源1!X:X,数据源1!A:A,A31,数据源1!C:C,B31)</f>
        <v/>
      </c>
      <c r="I31" s="94">
        <f>SUMIFS(数据源1!AC:AC,数据源1!A:A,A31,数据源1!C:C,B31)</f>
        <v/>
      </c>
    </row>
    <row r="32">
      <c r="A32" s="91" t="inlineStr">
        <is>
          <t>7.6-7.12</t>
        </is>
      </c>
      <c r="B32" s="91" t="inlineStr">
        <is>
          <t>648681860568</t>
        </is>
      </c>
      <c r="C32" s="91" t="inlineStr">
        <is>
          <t>原味大包</t>
        </is>
      </c>
      <c r="D32" s="91" t="inlineStr">
        <is>
          <t>indomie印尼进口营多原味大大包129g捞面方便面速食食品宵夜小吃</t>
        </is>
      </c>
      <c r="E32" s="94">
        <f>SUMIFS(数据源1!F:F,数据源1!A:A,A32,数据源1!C:C,B32)</f>
        <v/>
      </c>
      <c r="F32" s="94">
        <f>SUMIFS(数据源1!Y:Y,数据源1!A:A,A32,数据源1!C:C,B32)</f>
        <v/>
      </c>
      <c r="G32" s="94">
        <f>SUMIFS(数据源1!Q:Q,数据源1!A:A,A32,数据源1!C:C,B32)</f>
        <v/>
      </c>
      <c r="H32" s="95">
        <f>SUMIFS(数据源1!X:X,数据源1!A:A,A32,数据源1!C:C,B32)</f>
        <v/>
      </c>
      <c r="I32" s="94">
        <f>SUMIFS(数据源1!AC:AC,数据源1!A:A,A32,数据源1!C:C,B32)</f>
        <v/>
      </c>
    </row>
  </sheetData>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3"/>
  <sheetViews>
    <sheetView workbookViewId="0">
      <pane ySplit="3" topLeftCell="A4" activePane="bottomLeft" state="frozen"/>
      <selection activeCell="A1" sqref="A1"/>
      <selection pane="bottomLeft" activeCell="G8" sqref="G8"/>
    </sheetView>
  </sheetViews>
  <sheetFormatPr baseColWidth="8" defaultColWidth="9" defaultRowHeight="13.5"/>
  <cols>
    <col width="12" customWidth="1" style="69" min="1" max="1"/>
    <col width="8" customWidth="1" style="69" min="2" max="2"/>
    <col width="16" customWidth="1" style="69" min="3" max="3"/>
    <col width="12" customWidth="1" style="69" min="4" max="4"/>
    <col hidden="1" width="56" customWidth="1" style="69" min="5" max="5"/>
    <col width="16" customWidth="1" style="69" min="6" max="6"/>
    <col width="12" customWidth="1" style="69" min="7" max="7"/>
    <col width="16" customWidth="1" style="69" min="8" max="8"/>
  </cols>
  <sheetData>
    <row r="1" ht="28" customHeight="1" s="69">
      <c r="A1" s="34" t="inlineStr">
        <is>
          <t>各周亏损最大的前5个ID</t>
        </is>
      </c>
    </row>
    <row r="3" ht="15.75" customHeight="1" s="69">
      <c r="A3" s="35" t="inlineStr">
        <is>
          <t>周次</t>
        </is>
      </c>
      <c r="B3" s="35" t="inlineStr">
        <is>
          <t>排名</t>
        </is>
      </c>
      <c r="C3" s="35" t="inlineStr">
        <is>
          <t>商品ID</t>
        </is>
      </c>
      <c r="D3" s="35" t="inlineStr">
        <is>
          <t>定位</t>
        </is>
      </c>
      <c r="E3" s="35" t="inlineStr">
        <is>
          <t>商品名称</t>
        </is>
      </c>
      <c r="F3" s="35" t="inlineStr">
        <is>
          <t>净利润(推广后)</t>
        </is>
      </c>
      <c r="G3" s="35" t="inlineStr">
        <is>
          <t>成交金额</t>
        </is>
      </c>
      <c r="H3" s="35" t="inlineStr">
        <is>
          <t>占当周总净利</t>
        </is>
      </c>
    </row>
    <row r="4" ht="16.5" customHeight="1" s="69">
      <c r="A4" s="102" t="inlineStr">
        <is>
          <t>5.11-5.17</t>
        </is>
      </c>
      <c r="B4" s="37" t="n">
        <v>1</v>
      </c>
      <c r="C4" s="37" t="inlineStr">
        <is>
          <t>649361890551</t>
        </is>
      </c>
      <c r="D4" s="37" t="inlineStr">
        <is>
          <t>袋面次链接</t>
        </is>
      </c>
      <c r="E4" s="37" t="inlineStr">
        <is>
          <t>营多捞面印尼进口Indomie网红夜宵早餐方便面火鸡面泡面拌面</t>
        </is>
      </c>
      <c r="F4" s="38" t="n">
        <v>-3173</v>
      </c>
      <c r="G4" s="39" t="n">
        <v>28857</v>
      </c>
      <c r="H4" s="40" t="n">
        <v>0.503</v>
      </c>
      <c r="I4" s="103" t="n"/>
    </row>
    <row r="5" ht="16.5" customHeight="1" s="69">
      <c r="A5" s="104" t="n"/>
      <c r="B5" s="43" t="n">
        <v>2</v>
      </c>
      <c r="C5" s="43" t="inlineStr">
        <is>
          <t>668566625747</t>
        </is>
      </c>
      <c r="D5" s="43" t="inlineStr">
        <is>
          <t>袋面主链接</t>
        </is>
      </c>
      <c r="E5" s="43" t="inlineStr">
        <is>
          <t>印尼营多捞面进口网红泡面袋装方便面速食食品拉面火鸡面拌面整箱</t>
        </is>
      </c>
      <c r="F5" s="44" t="n">
        <v>-1370</v>
      </c>
      <c r="G5" s="45" t="n">
        <v>31186</v>
      </c>
      <c r="H5" s="46" t="n">
        <v>0.217</v>
      </c>
      <c r="I5" s="103" t="n"/>
    </row>
    <row r="6" ht="16.5" customHeight="1" s="69">
      <c r="A6" s="104" t="n"/>
      <c r="B6" s="43" t="n">
        <v>3</v>
      </c>
      <c r="C6" s="43" t="inlineStr">
        <is>
          <t>649735171438</t>
        </is>
      </c>
      <c r="D6" s="43" t="inlineStr">
        <is>
          <t>杯面主链接</t>
        </is>
      </c>
      <c r="E6" s="43" t="inlineStr">
        <is>
          <t>印尼进口indomie营多捞面杯面速食泡面干拌面盒桶装方便面火鸡面</t>
        </is>
      </c>
      <c r="F6" s="44" t="n">
        <v>-1160</v>
      </c>
      <c r="G6" s="45" t="n">
        <v>20500</v>
      </c>
      <c r="H6" s="46" t="n">
        <v>0.184</v>
      </c>
      <c r="I6" s="103" t="n"/>
    </row>
    <row r="7" ht="16.5" customHeight="1" s="69">
      <c r="A7" s="104" t="n"/>
      <c r="B7" s="43" t="n">
        <v>4</v>
      </c>
      <c r="C7" s="43" t="inlineStr">
        <is>
          <t>937005385662</t>
        </is>
      </c>
      <c r="D7" s="43" t="inlineStr">
        <is>
          <t>日式袋面</t>
        </is>
      </c>
      <c r="E7" s="43" t="inlineStr">
        <is>
          <t>进口营多正品捞面日式鸡肉鸡汤辛辣味袋装泡面辣味速食方便面汤面</t>
        </is>
      </c>
      <c r="F7" s="44" t="n">
        <v>-109</v>
      </c>
      <c r="G7" s="45" t="n">
        <v>425</v>
      </c>
      <c r="H7" s="46" t="n">
        <v>0.017</v>
      </c>
      <c r="I7" s="103" t="n"/>
    </row>
    <row r="8" ht="17.25" customHeight="1" s="69">
      <c r="A8" s="105" t="n"/>
      <c r="B8" s="48" t="n">
        <v>5</v>
      </c>
      <c r="C8" s="48" t="inlineStr">
        <is>
          <t>976479938842</t>
        </is>
      </c>
      <c r="D8" s="48" t="inlineStr">
        <is>
          <t>【U选】原味5</t>
        </is>
      </c>
      <c r="E8" s="48" t="inlineStr">
        <is>
          <t>【天猫U选】indomie营多大骨牛肉味捞面拌面5包</t>
        </is>
      </c>
      <c r="F8" s="49" t="n">
        <v>-93</v>
      </c>
      <c r="G8" s="50" t="n">
        <v>145</v>
      </c>
      <c r="H8" s="51" t="n">
        <v>0.015</v>
      </c>
      <c r="I8" s="103" t="n"/>
    </row>
    <row r="9" ht="16.5" customHeight="1" s="69">
      <c r="A9" s="106" t="inlineStr">
        <is>
          <t>5.25-5.31</t>
        </is>
      </c>
      <c r="B9" s="37" t="n">
        <v>1</v>
      </c>
      <c r="C9" s="37" t="inlineStr">
        <is>
          <t>649361890551</t>
        </is>
      </c>
      <c r="D9" s="37" t="inlineStr">
        <is>
          <t>袋面次链接</t>
        </is>
      </c>
      <c r="E9" s="37" t="inlineStr">
        <is>
          <t>营多捞面印尼进口Indomie网红夜宵早餐方便面火鸡面泡面拌面</t>
        </is>
      </c>
      <c r="F9" s="38" t="n">
        <v>-2546</v>
      </c>
      <c r="G9" s="39" t="n">
        <v>21166</v>
      </c>
      <c r="H9" s="40" t="n">
        <v>0.391</v>
      </c>
      <c r="I9" s="103" t="n"/>
    </row>
    <row r="10" ht="16.5" customHeight="1" s="69">
      <c r="A10" s="104" t="n"/>
      <c r="B10" s="43" t="n">
        <v>2</v>
      </c>
      <c r="C10" s="43" t="inlineStr">
        <is>
          <t>668566625747</t>
        </is>
      </c>
      <c r="D10" s="43" t="inlineStr">
        <is>
          <t>袋面主链接</t>
        </is>
      </c>
      <c r="E10" s="43" t="inlineStr">
        <is>
          <t>印尼营多捞面进口网红泡面袋装方便面速食食品拉面火鸡面拌面整箱</t>
        </is>
      </c>
      <c r="F10" s="44" t="n">
        <v>-2056</v>
      </c>
      <c r="G10" s="45" t="n">
        <v>44845</v>
      </c>
      <c r="H10" s="46" t="n">
        <v>0.315</v>
      </c>
      <c r="I10" s="103" t="n"/>
    </row>
    <row r="11" ht="16.5" customHeight="1" s="69">
      <c r="A11" s="104" t="n"/>
      <c r="B11" s="43" t="n">
        <v>3</v>
      </c>
      <c r="C11" s="43" t="inlineStr">
        <is>
          <t>649735171438</t>
        </is>
      </c>
      <c r="D11" s="43" t="inlineStr">
        <is>
          <t>杯面主链接</t>
        </is>
      </c>
      <c r="E11" s="43" t="inlineStr">
        <is>
          <t>印尼进口indomie营多捞面杯面速食泡面干拌面盒桶装方便面火鸡面</t>
        </is>
      </c>
      <c r="F11" s="44" t="n">
        <v>-1292</v>
      </c>
      <c r="G11" s="45" t="n">
        <v>20489</v>
      </c>
      <c r="H11" s="46" t="n">
        <v>0.198</v>
      </c>
      <c r="I11" s="103" t="n"/>
    </row>
    <row r="12" ht="16.5" customHeight="1" s="69">
      <c r="A12" s="104" t="n"/>
      <c r="B12" s="43" t="n">
        <v>4</v>
      </c>
      <c r="C12" s="43" t="inlineStr">
        <is>
          <t>1013887677295</t>
        </is>
      </c>
      <c r="D12" s="43" t="inlineStr">
        <is>
          <t>混搭5杯</t>
        </is>
      </c>
      <c r="E12" s="43" t="inlineStr">
        <is>
          <t>进口营多原味杯面日式杯面韩式杯面泡面方便面汤面宿舍速食夜宵</t>
        </is>
      </c>
      <c r="F12" s="44" t="n">
        <v>-148</v>
      </c>
      <c r="G12" s="45" t="n">
        <v>605</v>
      </c>
      <c r="H12" s="46" t="n">
        <v>0.023</v>
      </c>
      <c r="I12" s="103" t="n"/>
    </row>
    <row r="13" ht="17.25" customHeight="1" s="69">
      <c r="A13" s="105" t="n"/>
      <c r="B13" s="48" t="n">
        <v>5</v>
      </c>
      <c r="C13" s="48" t="inlineStr">
        <is>
          <t>649014937782</t>
        </is>
      </c>
      <c r="D13" s="48" t="inlineStr">
        <is>
          <t>24包</t>
        </is>
      </c>
      <c r="E13" s="48" t="inlineStr">
        <is>
          <t>印尼营多捞面干拌面一整箱24袋装批发泡面宿舍速食方便面火鸡面</t>
        </is>
      </c>
      <c r="F13" s="49" t="n">
        <v>-145</v>
      </c>
      <c r="G13" s="50" t="n">
        <v>7569</v>
      </c>
      <c r="H13" s="51" t="n">
        <v>0.022</v>
      </c>
      <c r="I13" s="103" t="n"/>
    </row>
    <row r="14" ht="16.5" customHeight="1" s="69">
      <c r="A14" s="106" t="inlineStr">
        <is>
          <t>6.15-6.21</t>
        </is>
      </c>
      <c r="B14" s="37" t="n">
        <v>1</v>
      </c>
      <c r="C14" s="37" t="inlineStr">
        <is>
          <t>649361890551</t>
        </is>
      </c>
      <c r="D14" s="37" t="inlineStr">
        <is>
          <t>袋面次链接</t>
        </is>
      </c>
      <c r="E14" s="37" t="inlineStr">
        <is>
          <t>营多捞面印尼进口Indomie网红夜宵早餐方便面火鸡面泡面拌面</t>
        </is>
      </c>
      <c r="F14" s="38" t="n">
        <v>-3313</v>
      </c>
      <c r="G14" s="39" t="n">
        <v>24398</v>
      </c>
      <c r="H14" s="40" t="n">
        <v>0.5</v>
      </c>
      <c r="I14" s="103" t="n"/>
    </row>
    <row r="15" ht="16.5" customHeight="1" s="69">
      <c r="A15" s="104" t="n"/>
      <c r="B15" s="43" t="n">
        <v>2</v>
      </c>
      <c r="C15" s="43" t="inlineStr">
        <is>
          <t>649735171438</t>
        </is>
      </c>
      <c r="D15" s="43" t="inlineStr">
        <is>
          <t>杯面主链接</t>
        </is>
      </c>
      <c r="E15" s="43" t="inlineStr">
        <is>
          <t>印尼进口indomie营多捞面杯面速食泡面干拌面盒桶装方便面火鸡面</t>
        </is>
      </c>
      <c r="F15" s="44" t="n">
        <v>-1523</v>
      </c>
      <c r="G15" s="45" t="n">
        <v>13688</v>
      </c>
      <c r="H15" s="46" t="n">
        <v>0.23</v>
      </c>
      <c r="I15" s="103" t="n"/>
    </row>
    <row r="16" ht="16.5" customHeight="1" s="69">
      <c r="A16" s="104" t="n"/>
      <c r="B16" s="43" t="n">
        <v>3</v>
      </c>
      <c r="C16" s="43" t="inlineStr">
        <is>
          <t>668566625747</t>
        </is>
      </c>
      <c r="D16" s="43" t="inlineStr">
        <is>
          <t>袋面主链接</t>
        </is>
      </c>
      <c r="E16" s="43" t="inlineStr">
        <is>
          <t>印尼营多捞面进口网红泡面袋装方便面速食食品拉面火鸡面拌面整箱</t>
        </is>
      </c>
      <c r="F16" s="44" t="n">
        <v>-950</v>
      </c>
      <c r="G16" s="45" t="n">
        <v>30426</v>
      </c>
      <c r="H16" s="46" t="n">
        <v>0.143</v>
      </c>
      <c r="I16" s="103" t="n"/>
    </row>
    <row r="17" ht="16.5" customHeight="1" s="69">
      <c r="A17" s="104" t="n"/>
      <c r="B17" s="43" t="n">
        <v>4</v>
      </c>
      <c r="C17" s="43" t="inlineStr">
        <is>
          <t>929504658691</t>
        </is>
      </c>
      <c r="D17" s="43" t="inlineStr">
        <is>
          <t>日式袋面</t>
        </is>
      </c>
      <c r="E17" s="43" t="inlineStr">
        <is>
          <t>营多捞面日式鸡肉汤面原味辛辣味袋装泡面方便面速食宿舍夜宵食品</t>
        </is>
      </c>
      <c r="F17" s="44" t="n">
        <v>-326</v>
      </c>
      <c r="G17" s="45" t="n">
        <v>1236</v>
      </c>
      <c r="H17" s="46" t="n">
        <v>0.049</v>
      </c>
      <c r="I17" s="103" t="n"/>
    </row>
    <row r="18" ht="17.25" customHeight="1" s="69">
      <c r="A18" s="105" t="n"/>
      <c r="B18" s="48" t="n">
        <v>5</v>
      </c>
      <c r="C18" s="48" t="inlineStr">
        <is>
          <t>648600900806</t>
        </is>
      </c>
      <c r="D18" s="48" t="inlineStr">
        <is>
          <t>30包</t>
        </is>
      </c>
      <c r="E18" s="48" t="inlineStr">
        <is>
          <t>进口营多捞面一整箱30包网红速食方便面宿舍速食泡面干拌面拉面</t>
        </is>
      </c>
      <c r="F18" s="49" t="n">
        <v>-187</v>
      </c>
      <c r="G18" s="50" t="n">
        <v>9519</v>
      </c>
      <c r="H18" s="51" t="n">
        <v>0.028</v>
      </c>
      <c r="I18" s="103" t="n"/>
    </row>
    <row r="19" ht="16.5" customHeight="1" s="69">
      <c r="A19" s="106" t="inlineStr">
        <is>
          <t>6.22-6.28</t>
        </is>
      </c>
      <c r="B19" s="37" t="n">
        <v>1</v>
      </c>
      <c r="C19" s="37" t="inlineStr">
        <is>
          <t>649361890551</t>
        </is>
      </c>
      <c r="D19" s="37" t="inlineStr">
        <is>
          <t>袋面次链接</t>
        </is>
      </c>
      <c r="E19" s="37" t="inlineStr">
        <is>
          <t>营多捞面印尼进口Indomie网红夜宵早餐方便面火鸡面泡面拌面</t>
        </is>
      </c>
      <c r="F19" s="38" t="n">
        <v>-2104</v>
      </c>
      <c r="G19" s="39" t="n">
        <v>16506</v>
      </c>
      <c r="H19" s="40" t="n">
        <v>0.332</v>
      </c>
      <c r="I19" s="103" t="n"/>
    </row>
    <row r="20" ht="16.5" customHeight="1" s="69">
      <c r="A20" s="104" t="n"/>
      <c r="B20" s="43" t="n">
        <v>2</v>
      </c>
      <c r="C20" s="43" t="inlineStr">
        <is>
          <t>649735171438</t>
        </is>
      </c>
      <c r="D20" s="43" t="inlineStr">
        <is>
          <t>杯面主链接</t>
        </is>
      </c>
      <c r="E20" s="43" t="inlineStr">
        <is>
          <t>印尼进口indomie营多捞面杯面速食泡面干拌面盒桶装方便面火鸡面</t>
        </is>
      </c>
      <c r="F20" s="44" t="n">
        <v>-1456</v>
      </c>
      <c r="G20" s="45" t="n">
        <v>14641</v>
      </c>
      <c r="H20" s="46" t="n">
        <v>0.23</v>
      </c>
      <c r="I20" s="103" t="n"/>
    </row>
    <row r="21" ht="16.5" customHeight="1" s="69">
      <c r="A21" s="104" t="n"/>
      <c r="B21" s="43" t="n">
        <v>3</v>
      </c>
      <c r="C21" s="43" t="inlineStr">
        <is>
          <t>668566625747</t>
        </is>
      </c>
      <c r="D21" s="43" t="inlineStr">
        <is>
          <t>袋面主链接</t>
        </is>
      </c>
      <c r="E21" s="43" t="inlineStr">
        <is>
          <t>印尼营多捞面进口网红泡面袋装方便面速食食品拉面火鸡面拌面整箱</t>
        </is>
      </c>
      <c r="F21" s="44" t="n">
        <v>-1396</v>
      </c>
      <c r="G21" s="45" t="n">
        <v>25765</v>
      </c>
      <c r="H21" s="46" t="n">
        <v>0.22</v>
      </c>
      <c r="I21" s="103" t="n"/>
    </row>
    <row r="22" ht="16.5" customHeight="1" s="69">
      <c r="A22" s="104" t="n"/>
      <c r="B22" s="43" t="n">
        <v>4</v>
      </c>
      <c r="C22" s="43" t="inlineStr">
        <is>
          <t>929504658691</t>
        </is>
      </c>
      <c r="D22" s="43" t="inlineStr">
        <is>
          <t>日韩袋面</t>
        </is>
      </c>
      <c r="E22" s="43" t="inlineStr">
        <is>
          <t>营多捞面日式鸡肉汤面原味辛辣味袋装泡面方便面速食宿舍夜宵食品</t>
        </is>
      </c>
      <c r="F22" s="44" t="n">
        <v>-312</v>
      </c>
      <c r="G22" s="45" t="n">
        <v>682</v>
      </c>
      <c r="H22" s="46" t="n">
        <v>0.049</v>
      </c>
      <c r="I22" s="103" t="n"/>
    </row>
    <row r="23" ht="17.25" customHeight="1" s="69">
      <c r="A23" s="105" t="n"/>
      <c r="B23" s="48" t="n">
        <v>5</v>
      </c>
      <c r="C23" s="48" t="inlineStr">
        <is>
          <t>648600900806</t>
        </is>
      </c>
      <c r="D23" s="48" t="inlineStr">
        <is>
          <t>30包</t>
        </is>
      </c>
      <c r="E23" s="48" t="inlineStr">
        <is>
          <t>进口营多捞面一整箱30包网红速食方便面宿舍速食泡面干拌面拉面</t>
        </is>
      </c>
      <c r="F23" s="49" t="n">
        <v>-257</v>
      </c>
      <c r="G23" s="50" t="n">
        <v>8217</v>
      </c>
      <c r="H23" s="51" t="n">
        <v>0.041</v>
      </c>
      <c r="I23" s="103" t="n"/>
    </row>
    <row r="24" ht="16.5" customHeight="1" s="69">
      <c r="A24" s="106" t="inlineStr">
        <is>
          <t>6.29-7.5</t>
        </is>
      </c>
      <c r="B24" s="37" t="n">
        <v>1</v>
      </c>
      <c r="C24" s="37" t="inlineStr">
        <is>
          <t>649361890551</t>
        </is>
      </c>
      <c r="D24" s="37" t="inlineStr">
        <is>
          <t>袋面次链接</t>
        </is>
      </c>
      <c r="E24" s="37" t="inlineStr">
        <is>
          <t>营多捞面印尼进口Indomie网红夜宵早餐方便面火鸡面泡面拌面</t>
        </is>
      </c>
      <c r="F24" s="38" t="n">
        <v>-1690</v>
      </c>
      <c r="G24" s="39" t="n">
        <v>18111</v>
      </c>
      <c r="H24" s="40" t="n">
        <v>0.323</v>
      </c>
      <c r="I24" s="103" t="n"/>
    </row>
    <row r="25" ht="16.5" customHeight="1" s="69">
      <c r="A25" s="104" t="n"/>
      <c r="B25" s="43" t="n">
        <v>2</v>
      </c>
      <c r="C25" s="43" t="inlineStr">
        <is>
          <t>649735171438</t>
        </is>
      </c>
      <c r="D25" s="43" t="inlineStr">
        <is>
          <t>杯面主链接</t>
        </is>
      </c>
      <c r="E25" s="43" t="inlineStr">
        <is>
          <t>印尼进口indomie营多捞面杯面速食泡面干拌面盒桶装方便面火鸡面</t>
        </is>
      </c>
      <c r="F25" s="44" t="n">
        <v>-1143</v>
      </c>
      <c r="G25" s="45" t="n">
        <v>14324</v>
      </c>
      <c r="H25" s="46" t="n">
        <v>0.219</v>
      </c>
      <c r="I25" s="103" t="n"/>
    </row>
    <row r="26" ht="16.5" customHeight="1" s="69">
      <c r="A26" s="104" t="n"/>
      <c r="B26" s="43" t="n">
        <v>3</v>
      </c>
      <c r="C26" s="43" t="inlineStr">
        <is>
          <t>668566625747</t>
        </is>
      </c>
      <c r="D26" s="43" t="inlineStr">
        <is>
          <t>袋面主链接</t>
        </is>
      </c>
      <c r="E26" s="43" t="inlineStr">
        <is>
          <t>印尼营多捞面进口网红泡面袋装方便面速食食品拉面火鸡面拌面整箱</t>
        </is>
      </c>
      <c r="F26" s="44" t="n">
        <v>-1032</v>
      </c>
      <c r="G26" s="45" t="n">
        <v>26236</v>
      </c>
      <c r="H26" s="46" t="n">
        <v>0.197</v>
      </c>
      <c r="I26" s="103" t="n"/>
    </row>
    <row r="27" ht="16.5" customHeight="1" s="69">
      <c r="A27" s="104" t="n"/>
      <c r="B27" s="43" t="n">
        <v>4</v>
      </c>
      <c r="C27" s="43" t="inlineStr">
        <is>
          <t>1057479227624</t>
        </is>
      </c>
      <c r="D27" s="43" t="inlineStr">
        <is>
          <t>巴东牛肉</t>
        </is>
      </c>
      <c r="E27" s="43" t="inlineStr">
        <is>
          <t>【新口味】印尼进口营多捞面巴东炖牛肉味泡面方便面宿舍速食宵夜</t>
        </is>
      </c>
      <c r="F27" s="44" t="n">
        <v>-469</v>
      </c>
      <c r="G27" s="45" t="n">
        <v>1951</v>
      </c>
      <c r="H27" s="46" t="n">
        <v>0.09</v>
      </c>
      <c r="I27" s="103" t="n"/>
    </row>
    <row r="28" ht="17.25" customHeight="1" s="69">
      <c r="A28" s="105" t="n"/>
      <c r="B28" s="48" t="n">
        <v>5</v>
      </c>
      <c r="C28" s="48" t="inlineStr">
        <is>
          <t>1059563993918</t>
        </is>
      </c>
      <c r="D28" s="48" t="inlineStr">
        <is>
          <t>巴东牛肉</t>
        </is>
      </c>
      <c r="E28" s="48" t="inlineStr">
        <is>
          <t>营多进口新口味巴东炖牛肉味捞面印尼料理方便面泡面捞面夜宵速食</t>
        </is>
      </c>
      <c r="F28" s="49" t="n">
        <v>-206</v>
      </c>
      <c r="G28" s="50" t="n">
        <v>621</v>
      </c>
      <c r="H28" s="51" t="n">
        <v>0.039</v>
      </c>
      <c r="I28" s="103" t="n"/>
    </row>
    <row r="29" ht="16.5" customHeight="1" s="69">
      <c r="A29" s="106" t="inlineStr">
        <is>
          <t>7.6-7.12</t>
        </is>
      </c>
      <c r="B29" s="37" t="n">
        <v>1</v>
      </c>
      <c r="C29" s="37" t="inlineStr">
        <is>
          <t>649361890551</t>
        </is>
      </c>
      <c r="D29" s="37" t="inlineStr">
        <is>
          <t>袋面次链接</t>
        </is>
      </c>
      <c r="E29" s="37" t="inlineStr">
        <is>
          <t>营多捞面印尼进口Indomie网红夜宵早餐方便面火鸡面泡面拌面</t>
        </is>
      </c>
      <c r="F29" s="38" t="n">
        <v>-1808</v>
      </c>
      <c r="G29" s="39" t="n">
        <v>19322</v>
      </c>
      <c r="H29" s="40" t="n">
        <v>0.44</v>
      </c>
      <c r="I29" s="103" t="n"/>
    </row>
    <row r="30" ht="16.5" customHeight="1" s="69">
      <c r="A30" s="104" t="n"/>
      <c r="B30" s="43" t="n">
        <v>2</v>
      </c>
      <c r="C30" s="43" t="inlineStr">
        <is>
          <t>649735171438</t>
        </is>
      </c>
      <c r="D30" s="43" t="inlineStr">
        <is>
          <t>杯面主链接</t>
        </is>
      </c>
      <c r="E30" s="43" t="inlineStr">
        <is>
          <t>印尼进口indomie营多捞面杯面速食泡面干拌面盒桶装方便面火鸡面</t>
        </is>
      </c>
      <c r="F30" s="44" t="n">
        <v>-1024</v>
      </c>
      <c r="G30" s="45" t="n">
        <v>16136</v>
      </c>
      <c r="H30" s="46" t="n">
        <v>0.249</v>
      </c>
      <c r="I30" s="103" t="n"/>
    </row>
    <row r="31" ht="16.5" customHeight="1" s="69">
      <c r="A31" s="104" t="n"/>
      <c r="B31" s="43" t="n">
        <v>3</v>
      </c>
      <c r="C31" s="43" t="inlineStr">
        <is>
          <t>668566625747</t>
        </is>
      </c>
      <c r="D31" s="43" t="inlineStr">
        <is>
          <t>袋面主链接</t>
        </is>
      </c>
      <c r="E31" s="43" t="inlineStr">
        <is>
          <t>印尼营多捞面进口网红泡面袋装方便面速食食品拉面火鸡面拌面整箱</t>
        </is>
      </c>
      <c r="F31" s="44" t="n">
        <v>-911</v>
      </c>
      <c r="G31" s="45" t="n">
        <v>40189</v>
      </c>
      <c r="H31" s="46" t="n">
        <v>0.222</v>
      </c>
      <c r="I31" s="103" t="n"/>
    </row>
    <row r="32" ht="16.5" customHeight="1" s="69">
      <c r="A32" s="104" t="n"/>
      <c r="B32" s="43" t="n">
        <v>4</v>
      </c>
      <c r="C32" s="43" t="inlineStr">
        <is>
          <t>1057479227624</t>
        </is>
      </c>
      <c r="D32" s="43" t="inlineStr">
        <is>
          <t>巴东牛肉</t>
        </is>
      </c>
      <c r="E32" s="43" t="inlineStr">
        <is>
          <t>【新口味】印尼进口营多捞面巴东炖牛肉味泡面方便面宿舍速食宵夜</t>
        </is>
      </c>
      <c r="F32" s="44" t="n">
        <v>-657</v>
      </c>
      <c r="G32" s="45" t="n">
        <v>2371</v>
      </c>
      <c r="H32" s="46" t="n">
        <v>0.16</v>
      </c>
      <c r="I32" s="103" t="n"/>
    </row>
    <row r="33" ht="17.25" customHeight="1" s="69">
      <c r="A33" s="105" t="n"/>
      <c r="B33" s="48" t="n">
        <v>5</v>
      </c>
      <c r="C33" s="48" t="inlineStr">
        <is>
          <t>648681860568</t>
        </is>
      </c>
      <c r="D33" s="48" t="inlineStr">
        <is>
          <t>原味大包</t>
        </is>
      </c>
      <c r="E33" s="48" t="inlineStr">
        <is>
          <t>indomie印尼进口营多原味大大包129g捞面方便面速食食品宵夜小吃</t>
        </is>
      </c>
      <c r="F33" s="49" t="n">
        <v>-160</v>
      </c>
      <c r="G33" s="50" t="n">
        <v>1204</v>
      </c>
      <c r="H33" s="51" t="n">
        <v>0.039</v>
      </c>
      <c r="I33" s="103" t="n"/>
    </row>
    <row r="34" ht="16.5" customHeight="1" s="69">
      <c r="A34" s="106" t="inlineStr">
        <is>
          <t>7.13-7.19</t>
        </is>
      </c>
      <c r="B34" s="37" t="n">
        <v>1</v>
      </c>
      <c r="C34" s="37" t="inlineStr">
        <is>
          <t>668566625747</t>
        </is>
      </c>
      <c r="D34" s="37" t="inlineStr">
        <is>
          <t>袋面主链接</t>
        </is>
      </c>
      <c r="E34" s="37" t="inlineStr">
        <is>
          <t>印尼营多捞面进口网红泡面袋装方便面速食食品拉面火鸡面拌面整箱</t>
        </is>
      </c>
      <c r="F34" s="38" t="n">
        <v>-1578</v>
      </c>
      <c r="G34" s="39" t="n">
        <v>36984</v>
      </c>
      <c r="H34" s="40" t="n">
        <v>0.305</v>
      </c>
      <c r="I34" s="103" t="n"/>
    </row>
    <row r="35" ht="16.5" customHeight="1" s="69">
      <c r="A35" s="104" t="n"/>
      <c r="B35" s="43" t="n">
        <v>2</v>
      </c>
      <c r="C35" s="43" t="inlineStr">
        <is>
          <t>649361890551</t>
        </is>
      </c>
      <c r="D35" s="43" t="inlineStr">
        <is>
          <t>袋面次链接</t>
        </is>
      </c>
      <c r="E35" s="43" t="inlineStr">
        <is>
          <t>营多捞面印尼进口Indomie网红夜宵早餐方便面火鸡面泡面拌面</t>
        </is>
      </c>
      <c r="F35" s="44" t="n">
        <v>-1447</v>
      </c>
      <c r="G35" s="45" t="n">
        <v>14292</v>
      </c>
      <c r="H35" s="46" t="n">
        <v>0.279</v>
      </c>
      <c r="I35" s="103" t="n"/>
    </row>
    <row r="36" ht="16.5" customHeight="1" s="69">
      <c r="A36" s="104" t="n"/>
      <c r="B36" s="43" t="n">
        <v>3</v>
      </c>
      <c r="C36" s="43" t="inlineStr">
        <is>
          <t>649735171438</t>
        </is>
      </c>
      <c r="D36" s="43" t="inlineStr">
        <is>
          <t>杯面主链接</t>
        </is>
      </c>
      <c r="E36" s="43" t="inlineStr">
        <is>
          <t>印尼进口indomie营多捞面杯面速食泡面干拌面盒桶装方便面火鸡面</t>
        </is>
      </c>
      <c r="F36" s="44" t="n">
        <v>-963</v>
      </c>
      <c r="G36" s="45" t="n">
        <v>13725</v>
      </c>
      <c r="H36" s="46" t="n">
        <v>0.186</v>
      </c>
      <c r="I36" s="103" t="n"/>
    </row>
    <row r="37" ht="16.5" customHeight="1" s="69">
      <c r="A37" s="104" t="n"/>
      <c r="B37" s="43" t="n">
        <v>4</v>
      </c>
      <c r="C37" s="43" t="inlineStr">
        <is>
          <t>1057479227624</t>
        </is>
      </c>
      <c r="D37" s="43" t="inlineStr">
        <is>
          <t>巴东牛肉</t>
        </is>
      </c>
      <c r="E37" s="43" t="inlineStr">
        <is>
          <t>【新口味】印尼进口营多捞面巴东炖牛肉味泡面方便面宿舍速食宵夜</t>
        </is>
      </c>
      <c r="F37" s="44" t="n">
        <v>-674</v>
      </c>
      <c r="G37" s="45" t="n">
        <v>2425</v>
      </c>
      <c r="H37" s="46" t="n">
        <v>0.13</v>
      </c>
      <c r="I37" s="103" t="n"/>
    </row>
    <row r="38" ht="17.25" customHeight="1" s="69">
      <c r="A38" s="105" t="n"/>
      <c r="B38" s="48" t="n">
        <v>5</v>
      </c>
      <c r="C38" s="48" t="inlineStr">
        <is>
          <t>648600900806</t>
        </is>
      </c>
      <c r="D38" s="48" t="inlineStr">
        <is>
          <t>30包</t>
        </is>
      </c>
      <c r="E38" s="48" t="inlineStr">
        <is>
          <t>进口营多捞面一整箱30包网红速食方便面宿舍速食泡面干拌面拉面</t>
        </is>
      </c>
      <c r="F38" s="49" t="n">
        <v>-202</v>
      </c>
      <c r="G38" s="50" t="n">
        <v>6834</v>
      </c>
      <c r="H38" s="51" t="n">
        <v>0.039</v>
      </c>
      <c r="I38" s="103" t="n"/>
    </row>
    <row r="39" ht="16.5" customHeight="1" s="69">
      <c r="A39" s="54" t="inlineStr">
        <is>
          <t>7.20-8.2</t>
        </is>
      </c>
      <c r="B39" s="55" t="n">
        <v>1</v>
      </c>
      <c r="C39" s="55" t="inlineStr">
        <is>
          <t>649361890551</t>
        </is>
      </c>
      <c r="D39" s="55" t="inlineStr">
        <is>
          <t>袋面次链接</t>
        </is>
      </c>
      <c r="E39" s="55" t="inlineStr">
        <is>
          <t>营多捞面印尼进口Indomie网红夜宵早餐方便面火鸡面泡面拌面</t>
        </is>
      </c>
      <c r="F39" s="56" t="n">
        <v>-1753</v>
      </c>
      <c r="G39" s="57" t="n">
        <v>15823</v>
      </c>
      <c r="H39" s="58" t="n">
        <v>0.343</v>
      </c>
      <c r="I39" s="103" t="n"/>
    </row>
    <row r="40" ht="16.5" customHeight="1" s="69">
      <c r="A40" s="104" t="n"/>
      <c r="B40" s="43" t="n">
        <v>2</v>
      </c>
      <c r="C40" s="43" t="inlineStr">
        <is>
          <t>649735171438</t>
        </is>
      </c>
      <c r="D40" s="43" t="inlineStr">
        <is>
          <t>杯面主链接</t>
        </is>
      </c>
      <c r="E40" s="43" t="inlineStr">
        <is>
          <t>印尼进口indomie营多捞面杯面速食泡面干拌面盒桶装方便面火鸡面</t>
        </is>
      </c>
      <c r="F40" s="44" t="n">
        <v>-789</v>
      </c>
      <c r="G40" s="45" t="n">
        <v>15355</v>
      </c>
      <c r="H40" s="46" t="n">
        <v>0.154</v>
      </c>
      <c r="I40" s="103" t="n"/>
    </row>
    <row r="41" ht="16.5" customHeight="1" s="69">
      <c r="A41" s="104" t="n"/>
      <c r="B41" s="43" t="n">
        <v>3</v>
      </c>
      <c r="C41" s="43" t="inlineStr">
        <is>
          <t>668566625747</t>
        </is>
      </c>
      <c r="D41" s="43" t="inlineStr">
        <is>
          <t>袋面主链接</t>
        </is>
      </c>
      <c r="E41" s="43" t="inlineStr">
        <is>
          <t>印尼营多捞面进口网红泡面袋装方便面速食食品拉面火鸡面拌面整箱</t>
        </is>
      </c>
      <c r="F41" s="44" t="n">
        <v>-629</v>
      </c>
      <c r="G41" s="45" t="n">
        <v>38360</v>
      </c>
      <c r="H41" s="46" t="n">
        <v>0.123</v>
      </c>
      <c r="I41" s="103" t="n"/>
    </row>
    <row r="42" ht="16.5" customHeight="1" s="69">
      <c r="A42" s="104" t="n"/>
      <c r="B42" s="43" t="n">
        <v>4</v>
      </c>
      <c r="C42" s="43" t="inlineStr">
        <is>
          <t>1057479227624</t>
        </is>
      </c>
      <c r="D42" s="43" t="inlineStr">
        <is>
          <t>巴东牛肉</t>
        </is>
      </c>
      <c r="E42" s="43" t="inlineStr">
        <is>
          <t>【新口味】印尼进口营多捞面巴东炖牛肉味泡面方便面宿舍速食宵夜</t>
        </is>
      </c>
      <c r="F42" s="44" t="n">
        <v>-612</v>
      </c>
      <c r="G42" s="45" t="n">
        <v>2736</v>
      </c>
      <c r="H42" s="46" t="n">
        <v>0.12</v>
      </c>
      <c r="I42" s="103" t="n"/>
    </row>
    <row r="43" ht="17.25" customHeight="1" s="69">
      <c r="A43" s="105" t="n"/>
      <c r="B43" s="48" t="n">
        <v>5</v>
      </c>
      <c r="C43" s="48" t="inlineStr">
        <is>
          <t>648600900806</t>
        </is>
      </c>
      <c r="D43" s="48" t="inlineStr">
        <is>
          <t>30包</t>
        </is>
      </c>
      <c r="E43" s="48" t="inlineStr">
        <is>
          <t>进口营多捞面一整箱30包网红速食方便面宿舍速食泡面干拌面拉面</t>
        </is>
      </c>
      <c r="F43" s="49" t="n">
        <v>-488</v>
      </c>
      <c r="G43" s="50" t="n">
        <v>10398</v>
      </c>
      <c r="H43" s="51" t="n">
        <v>0.096</v>
      </c>
      <c r="I43" s="103" t="n"/>
    </row>
  </sheetData>
  <autoFilter ref="A3:H43"/>
  <mergeCells count="9">
    <mergeCell ref="A34:A38"/>
    <mergeCell ref="A39:A43"/>
    <mergeCell ref="A29:A33"/>
    <mergeCell ref="A9:A13"/>
    <mergeCell ref="A24:A28"/>
    <mergeCell ref="A4:A8"/>
    <mergeCell ref="A19:A23"/>
    <mergeCell ref="A14:A18"/>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4"/>
  <sheetViews>
    <sheetView workbookViewId="0">
      <pane xSplit="3" ySplit="3" topLeftCell="D4" activePane="bottomRight" state="frozen"/>
      <selection activeCell="A1" sqref="A1"/>
      <selection pane="topRight" activeCell="A1" sqref="A1"/>
      <selection pane="bottomLeft" activeCell="A1" sqref="A1"/>
      <selection pane="bottomRight" activeCell="N7" sqref="N7"/>
    </sheetView>
  </sheetViews>
  <sheetFormatPr baseColWidth="8" defaultColWidth="9" defaultRowHeight="13.5"/>
  <cols>
    <col width="16" customWidth="1" style="107" min="1" max="1"/>
    <col width="16" customWidth="1" style="69" min="2" max="2"/>
    <col width="54.25" customWidth="1" style="69" min="3" max="3"/>
    <col width="11" customWidth="1" style="69" min="4" max="12"/>
    <col hidden="1" width="14" customWidth="1" style="69" min="13" max="13"/>
  </cols>
  <sheetData>
    <row r="1" ht="28" customHeight="1" s="69">
      <c r="A1" s="108" t="inlineStr">
        <is>
          <t>全量商品ID · 每周推广后净利润明细表</t>
        </is>
      </c>
    </row>
    <row r="3" ht="21" customHeight="1" s="69">
      <c r="A3" s="109" t="inlineStr">
        <is>
          <t>商品ID</t>
        </is>
      </c>
      <c r="B3" s="14" t="inlineStr">
        <is>
          <t>定位</t>
        </is>
      </c>
      <c r="C3" s="14" t="inlineStr">
        <is>
          <t>商品名称</t>
        </is>
      </c>
      <c r="D3" s="14" t="inlineStr">
        <is>
          <t>5.11-5.17</t>
        </is>
      </c>
      <c r="E3" s="14" t="inlineStr">
        <is>
          <t>5.25-5.31</t>
        </is>
      </c>
      <c r="F3" s="14" t="inlineStr">
        <is>
          <t>6.15-6.21</t>
        </is>
      </c>
      <c r="G3" s="14" t="inlineStr">
        <is>
          <t>6.22-6.28</t>
        </is>
      </c>
      <c r="H3" s="14" t="inlineStr">
        <is>
          <t>6.29-7.5</t>
        </is>
      </c>
      <c r="I3" s="14" t="inlineStr">
        <is>
          <t>7.6-7.12</t>
        </is>
      </c>
      <c r="J3" s="14" t="inlineStr">
        <is>
          <t>7.13-7.19</t>
        </is>
      </c>
      <c r="K3" s="14" t="inlineStr">
        <is>
          <t>7.20-7.26</t>
        </is>
      </c>
      <c r="L3" s="14" t="inlineStr">
        <is>
          <t>7.27-8.2</t>
        </is>
      </c>
      <c r="M3" s="14" t="inlineStr">
        <is>
          <t>7.6→7.13变化</t>
        </is>
      </c>
    </row>
    <row r="4" ht="16.5" customHeight="1" s="69">
      <c r="A4" s="110" t="n">
        <v>649361890551</v>
      </c>
      <c r="B4" s="16" t="inlineStr">
        <is>
          <t>袋面次链接</t>
        </is>
      </c>
      <c r="C4" s="16" t="inlineStr">
        <is>
          <t>营多捞面印尼进口Indomie网红夜宵早餐方便面火鸡面泡面拌面</t>
        </is>
      </c>
      <c r="D4" s="111" t="n">
        <v>-3173</v>
      </c>
      <c r="E4" s="111" t="n">
        <v>-2546</v>
      </c>
      <c r="F4" s="111" t="n">
        <v>-3313</v>
      </c>
      <c r="G4" s="111" t="n">
        <v>-2104</v>
      </c>
      <c r="H4" s="111" t="n">
        <v>-1690</v>
      </c>
      <c r="I4" s="111" t="n">
        <v>-1808</v>
      </c>
      <c r="J4" s="111" t="n">
        <v>-1447</v>
      </c>
      <c r="K4" s="111">
        <f>_xlfn.XLOOKUP(A4,'[1]7.20-7.26'!$B:$B,'[1]7.20-7.26'!$AB:$AB,NA(),0)</f>
        <v/>
      </c>
      <c r="L4" s="111" t="n">
        <v>-1753</v>
      </c>
      <c r="M4" s="18" t="n">
        <v>-667</v>
      </c>
    </row>
    <row r="5" ht="16.5" customHeight="1" s="69">
      <c r="A5" s="112" t="n">
        <v>668566625747</v>
      </c>
      <c r="B5" s="43" t="inlineStr">
        <is>
          <t>袋面主链接</t>
        </is>
      </c>
      <c r="C5" s="43" t="inlineStr">
        <is>
          <t>印尼营多捞面进口网红泡面袋装方便面速食食品拉面火鸡面拌面整箱</t>
        </is>
      </c>
      <c r="D5" s="113" t="n">
        <v>-1370</v>
      </c>
      <c r="E5" s="113" t="n">
        <v>-2056</v>
      </c>
      <c r="F5" s="113" t="n">
        <v>-950</v>
      </c>
      <c r="G5" s="113" t="n">
        <v>-1396</v>
      </c>
      <c r="H5" s="113" t="n">
        <v>-1032</v>
      </c>
      <c r="I5" s="113" t="n">
        <v>-911</v>
      </c>
      <c r="J5" s="113" t="n">
        <v>-1578</v>
      </c>
      <c r="K5" s="113">
        <f>_xlfn.XLOOKUP(A5,'[1]7.20-7.26'!$B:$B,'[1]7.20-7.26'!$AB:$AB,NA(),0)</f>
        <v/>
      </c>
      <c r="L5" s="113" t="n">
        <v>-629</v>
      </c>
      <c r="M5" s="44" t="n">
        <v>-243</v>
      </c>
    </row>
    <row r="6" ht="16.5" customHeight="1" s="69">
      <c r="A6" s="110" t="n">
        <v>649735171438</v>
      </c>
      <c r="B6" s="16" t="inlineStr">
        <is>
          <t>杯面主链接</t>
        </is>
      </c>
      <c r="C6" s="16" t="inlineStr">
        <is>
          <t>印尼进口indomie营多捞面杯面速食泡面干拌面盒桶装方便面火鸡面</t>
        </is>
      </c>
      <c r="D6" s="111" t="n">
        <v>-1160</v>
      </c>
      <c r="E6" s="111" t="n">
        <v>-1292</v>
      </c>
      <c r="F6" s="111" t="n">
        <v>-1523</v>
      </c>
      <c r="G6" s="111" t="n">
        <v>-1456</v>
      </c>
      <c r="H6" s="111" t="n">
        <v>-1143</v>
      </c>
      <c r="I6" s="111" t="n">
        <v>-1024</v>
      </c>
      <c r="J6" s="111" t="n">
        <v>-963</v>
      </c>
      <c r="K6" s="111">
        <f>_xlfn.XLOOKUP(A6,'[1]7.20-7.26'!$B:$B,'[1]7.20-7.26'!$AB:$AB,NA(),0)</f>
        <v/>
      </c>
      <c r="L6" s="111" t="n">
        <v>-789</v>
      </c>
      <c r="M6" s="23" t="n">
        <v>-210</v>
      </c>
    </row>
    <row r="7" ht="16.5" customHeight="1" s="69">
      <c r="A7" s="112" t="n">
        <v>937005385662</v>
      </c>
      <c r="B7" s="43" t="inlineStr">
        <is>
          <t>日式袋面</t>
        </is>
      </c>
      <c r="C7" s="43" t="inlineStr">
        <is>
          <t>进口营多正品捞面日式鸡肉鸡汤辛辣味袋装泡面辣味速食方便面汤面</t>
        </is>
      </c>
      <c r="D7" s="113" t="n">
        <v>-109</v>
      </c>
      <c r="E7" s="113" t="n">
        <v>-26</v>
      </c>
      <c r="F7" s="113" t="n">
        <v>-34</v>
      </c>
      <c r="G7" s="113" t="n">
        <v>15</v>
      </c>
      <c r="H7" s="113" t="n">
        <v>1</v>
      </c>
      <c r="I7" s="113" t="n">
        <v>-9</v>
      </c>
      <c r="J7" s="113" t="n">
        <v>-13</v>
      </c>
      <c r="K7" s="113">
        <f>_xlfn.XLOOKUP(A7,'[1]7.20-7.26'!$B:$B,'[1]7.20-7.26'!$AB:$AB,NA(),0)</f>
        <v/>
      </c>
      <c r="L7" s="113" t="n">
        <v>-68</v>
      </c>
      <c r="M7" s="44" t="n">
        <v>-119</v>
      </c>
    </row>
    <row r="8" ht="16.5" customHeight="1" s="69">
      <c r="A8" s="110" t="n">
        <v>976479938842</v>
      </c>
      <c r="B8" s="16" t="inlineStr">
        <is>
          <t>【U选】原味5</t>
        </is>
      </c>
      <c r="C8" s="16" t="inlineStr">
        <is>
          <t>【天猫U选】indomie营多大骨牛肉味捞面拌面5包</t>
        </is>
      </c>
      <c r="D8" s="111" t="n">
        <v>-93</v>
      </c>
      <c r="E8" s="111" t="n">
        <v>-20</v>
      </c>
      <c r="F8" s="111" t="n">
        <v>-34</v>
      </c>
      <c r="G8" s="111" t="n">
        <v>-8</v>
      </c>
      <c r="H8" s="111" t="n">
        <v>-9</v>
      </c>
      <c r="I8" s="111" t="n">
        <v>-37</v>
      </c>
      <c r="J8" s="111" t="n">
        <v>-22</v>
      </c>
      <c r="K8" s="111">
        <f>_xlfn.XLOOKUP(A8,'[1]7.20-7.26'!$B:$B,'[1]7.20-7.26'!$AB:$AB,NA(),0)</f>
        <v/>
      </c>
      <c r="L8" s="111" t="n">
        <v>-21</v>
      </c>
      <c r="M8" s="23" t="n">
        <v>-101</v>
      </c>
    </row>
    <row r="9" ht="16.5" customHeight="1" s="69">
      <c r="A9" s="112" t="n">
        <v>649014937782</v>
      </c>
      <c r="B9" s="43" t="inlineStr">
        <is>
          <t>24包</t>
        </is>
      </c>
      <c r="C9" s="43" t="inlineStr">
        <is>
          <t>印尼营多捞面干拌面一整箱24袋装批发泡面宿舍速食方便面火鸡面</t>
        </is>
      </c>
      <c r="D9" s="113" t="n">
        <v>-91</v>
      </c>
      <c r="E9" s="113" t="n">
        <v>-145</v>
      </c>
      <c r="F9" s="113" t="n">
        <v>-47</v>
      </c>
      <c r="G9" s="113" t="n">
        <v>-154</v>
      </c>
      <c r="H9" s="113" t="n">
        <v>-164</v>
      </c>
      <c r="I9" s="113" t="n">
        <v>-5</v>
      </c>
      <c r="J9" s="113" t="n">
        <v>-63</v>
      </c>
      <c r="K9" s="113">
        <f>_xlfn.XLOOKUP(A9,'[1]7.20-7.26'!$B:$B,'[1]7.20-7.26'!$AB:$AB,NA(),0)</f>
        <v/>
      </c>
      <c r="L9" s="113" t="n">
        <v>-235</v>
      </c>
      <c r="M9" s="44" t="n">
        <v>-65</v>
      </c>
    </row>
    <row r="10" ht="16.5" customHeight="1" s="69">
      <c r="A10" s="110" t="n">
        <v>648681860568</v>
      </c>
      <c r="B10" s="16" t="inlineStr">
        <is>
          <t>杯面次链接</t>
        </is>
      </c>
      <c r="C10" s="16" t="inlineStr">
        <is>
          <t>营多捞面杯装方便面泡面速食干拌面原味整箱批发印尼进口桶装拌面</t>
        </is>
      </c>
      <c r="D10" s="111" t="n">
        <v>-87</v>
      </c>
      <c r="E10" s="111" t="n">
        <v>-97</v>
      </c>
      <c r="F10" s="111" t="n">
        <v>-161</v>
      </c>
      <c r="G10" s="111" t="n">
        <v>-69</v>
      </c>
      <c r="H10" s="111" t="n">
        <v>47</v>
      </c>
      <c r="I10" s="111" t="n">
        <v>-160</v>
      </c>
      <c r="J10" s="111" t="n">
        <v>-100</v>
      </c>
      <c r="K10" s="111">
        <f>_xlfn.XLOOKUP(A10,'[1]7.20-7.26'!$B:$B,'[1]7.20-7.26'!$AB:$AB,NA(),0)</f>
        <v/>
      </c>
      <c r="L10" s="111" t="n">
        <v>-279</v>
      </c>
      <c r="M10" s="23" t="n">
        <v>-58</v>
      </c>
    </row>
    <row r="11" ht="16.5" customHeight="1" s="69">
      <c r="A11" s="112" t="n">
        <v>969433743398</v>
      </c>
      <c r="B11" s="43" t="inlineStr">
        <is>
          <t>韩蘑菇</t>
        </is>
      </c>
      <c r="C11" s="43" t="inlineStr">
        <is>
          <t>新品营多捞面韩式辣蘑菇汤面泡面方便面速食干拌面宿舍宵夜旅行</t>
        </is>
      </c>
      <c r="D11" s="113" t="n">
        <v>-81</v>
      </c>
      <c r="E11" s="113" t="n">
        <v>-82</v>
      </c>
      <c r="F11" s="113" t="n">
        <v>3</v>
      </c>
      <c r="G11" s="113" t="n">
        <v>-7</v>
      </c>
      <c r="H11" s="113" t="n">
        <v>-9</v>
      </c>
      <c r="I11" s="113" t="n">
        <v>0</v>
      </c>
      <c r="J11" s="113" t="n">
        <v>-5</v>
      </c>
      <c r="K11" s="113">
        <f>_xlfn.XLOOKUP(A11,'[1]7.20-7.26'!$B:$B,'[1]7.20-7.26'!$AB:$AB,NA(),0)</f>
        <v/>
      </c>
      <c r="L11" s="113" t="n">
        <v>7</v>
      </c>
      <c r="M11" s="44" t="n">
        <v>-46</v>
      </c>
    </row>
    <row r="12" ht="16.5" customHeight="1" s="69">
      <c r="A12" s="110" t="n">
        <v>1013887677295</v>
      </c>
      <c r="B12" s="16" t="inlineStr">
        <is>
          <t>原味大包</t>
        </is>
      </c>
      <c r="C12" s="16" t="inlineStr">
        <is>
          <t>indomie印尼进口营多原味大大包129g捞面方便面速食食品宵夜小吃</t>
        </is>
      </c>
      <c r="D12" s="111" t="n">
        <v>-65</v>
      </c>
      <c r="E12" s="111" t="n">
        <v>-148</v>
      </c>
      <c r="F12" s="111" t="n">
        <v>-137</v>
      </c>
      <c r="G12" s="111" t="n">
        <v>-135</v>
      </c>
      <c r="H12" s="111" t="n">
        <v>-107</v>
      </c>
      <c r="I12" s="111" t="n">
        <v>-128</v>
      </c>
      <c r="J12" s="111" t="n">
        <v>-174</v>
      </c>
      <c r="K12" s="111">
        <f>_xlfn.XLOOKUP(A12,'[1]7.20-7.26'!$B:$B,'[1]7.20-7.26'!$AB:$AB,NA(),0)</f>
        <v/>
      </c>
      <c r="L12" s="111" t="n">
        <v>-147</v>
      </c>
      <c r="M12" s="23" t="n">
        <v>-31</v>
      </c>
    </row>
    <row r="13" ht="16.5" customHeight="1" s="69">
      <c r="A13" s="112" t="n">
        <v>929504658691</v>
      </c>
      <c r="B13" s="43" t="inlineStr">
        <is>
          <t>巴东牛肉</t>
        </is>
      </c>
      <c r="C13" s="43" t="inlineStr">
        <is>
          <t>营多进口新口味巴东炖牛肉味捞面印尼料理方便面泡面捞面夜宵速食</t>
        </is>
      </c>
      <c r="D13" s="113" t="n">
        <v>-59</v>
      </c>
      <c r="E13" s="113" t="n">
        <v>-95</v>
      </c>
      <c r="F13" s="113" t="n">
        <v>-326</v>
      </c>
      <c r="G13" s="113" t="n">
        <v>-312</v>
      </c>
      <c r="H13" s="113" t="n">
        <v>-194</v>
      </c>
      <c r="I13" s="113" t="n">
        <v>-64</v>
      </c>
      <c r="J13" s="113" t="n">
        <v>-49</v>
      </c>
      <c r="K13" s="113">
        <f>_xlfn.XLOOKUP(A13,'[1]7.20-7.26'!$B:$B,'[1]7.20-7.26'!$AB:$AB,NA(),0)</f>
        <v/>
      </c>
      <c r="L13" s="113" t="n">
        <v>-79</v>
      </c>
      <c r="M13" s="44" t="n">
        <v>-29</v>
      </c>
    </row>
    <row r="14" ht="16.5" customHeight="1" s="69">
      <c r="A14" s="110" t="n">
        <v>898076297965</v>
      </c>
      <c r="B14" s="16" t="inlineStr">
        <is>
          <t>番茄牛肉</t>
        </is>
      </c>
      <c r="C14" s="16" t="inlineStr">
        <is>
          <t>进口正品意面风味奶香番茄牛肉味意式拌面营多捞面早餐儿童宝妈餐</t>
        </is>
      </c>
      <c r="D14" s="111" t="n">
        <v>-56</v>
      </c>
      <c r="E14" s="111" t="n">
        <v>-11</v>
      </c>
      <c r="F14" s="111" t="n">
        <v>-13</v>
      </c>
      <c r="G14" s="111" t="n">
        <v>-16</v>
      </c>
      <c r="H14" s="111" t="n">
        <v>-13</v>
      </c>
      <c r="I14" s="111" t="n">
        <v>-19</v>
      </c>
      <c r="J14" s="111" t="n">
        <v>-16</v>
      </c>
      <c r="K14" s="111">
        <f>_xlfn.XLOOKUP(A14,'[1]7.20-7.26'!$B:$B,'[1]7.20-7.26'!$AB:$AB,NA(),0)</f>
        <v/>
      </c>
      <c r="L14" s="111" t="n">
        <v>-19</v>
      </c>
      <c r="M14" s="23" t="n">
        <v>-18</v>
      </c>
    </row>
    <row r="15" ht="16.5" customHeight="1" s="69">
      <c r="A15" s="112" t="n">
        <v>949962665617</v>
      </c>
      <c r="B15" s="43" t="inlineStr">
        <is>
          <t>韩式袋面</t>
        </is>
      </c>
      <c r="C15" s="43" t="inlineStr">
        <is>
          <t>营多捞面韩式火鸡面辣蘑菇汤面袋装泡面辣味速食方便面宿舍宵夜面</t>
        </is>
      </c>
      <c r="D15" s="113" t="n">
        <v>-48</v>
      </c>
      <c r="E15" s="113" t="n">
        <v>-69</v>
      </c>
      <c r="F15" s="113" t="n">
        <v>-44</v>
      </c>
      <c r="G15" s="113" t="n"/>
      <c r="H15" s="113" t="n">
        <v>-15</v>
      </c>
      <c r="I15" s="113" t="n">
        <v>-21</v>
      </c>
      <c r="J15" s="113" t="n"/>
      <c r="K15" s="113" t="n"/>
      <c r="L15" s="113" t="n"/>
      <c r="M15" s="44" t="n">
        <v>-17</v>
      </c>
    </row>
    <row r="16" ht="16.5" customHeight="1" s="69">
      <c r="A16" s="110" t="n">
        <v>735014804839</v>
      </c>
      <c r="B16" s="16" t="inlineStr">
        <is>
          <t>24/30包</t>
        </is>
      </c>
      <c r="C16" s="16" t="inlineStr">
        <is>
          <t>进口营多捞面多口味Indomie网红方便面干拌面泡面30包整箱批发面</t>
        </is>
      </c>
      <c r="D16" s="111" t="n">
        <v>-43</v>
      </c>
      <c r="E16" s="111" t="n">
        <v>-36</v>
      </c>
      <c r="F16" s="111" t="n">
        <v>130</v>
      </c>
      <c r="G16" s="111" t="n">
        <v>-5</v>
      </c>
      <c r="H16" s="111" t="n">
        <v>25</v>
      </c>
      <c r="I16" s="111" t="n">
        <v>108</v>
      </c>
      <c r="J16" s="111" t="n">
        <v>79</v>
      </c>
      <c r="K16" s="111">
        <f>_xlfn.XLOOKUP(A16,'[1]7.20-7.26'!$B:$B,'[1]7.20-7.26'!$AB:$AB,NA(),0)</f>
        <v/>
      </c>
      <c r="L16" s="111" t="n">
        <v>-19</v>
      </c>
      <c r="M16" s="23" t="n">
        <v>-15</v>
      </c>
    </row>
    <row r="17" ht="16.5" customHeight="1" s="69">
      <c r="A17" s="112" t="n">
        <v>976466902934</v>
      </c>
      <c r="B17" s="43" t="inlineStr">
        <is>
          <t>杯面混搭</t>
        </is>
      </c>
      <c r="C17" s="43" t="inlineStr">
        <is>
          <t>营多捞面韩式甜辣炸鸡辣蘑菇杯面方便面拌面泡面宿舍速食面</t>
        </is>
      </c>
      <c r="D17" s="113" t="n">
        <v>-33</v>
      </c>
      <c r="E17" s="113" t="n">
        <v>-10</v>
      </c>
      <c r="F17" s="113" t="n">
        <v>-6</v>
      </c>
      <c r="G17" s="113" t="n">
        <v>-15</v>
      </c>
      <c r="H17" s="113" t="n">
        <v>-3</v>
      </c>
      <c r="I17" s="113" t="n">
        <v>-4</v>
      </c>
      <c r="J17" s="113" t="n">
        <v>-3</v>
      </c>
      <c r="K17" s="113">
        <f>_xlfn.XLOOKUP(A17,'[1]7.20-7.26'!$B:$B,'[1]7.20-7.26'!$AB:$AB,NA(),0)</f>
        <v/>
      </c>
      <c r="L17" s="113" t="n"/>
      <c r="M17" s="44" t="n">
        <v>-15</v>
      </c>
    </row>
    <row r="18" ht="16.5" customHeight="1" s="69">
      <c r="A18" s="110" t="n">
        <v>744317232690</v>
      </c>
      <c r="B18" s="16" t="inlineStr">
        <is>
          <t>多规格</t>
        </is>
      </c>
      <c r="C18" s="16" t="inlineStr">
        <is>
          <t>营多捞面汤面清香牛肉味方便面泡面速食食品泡面拉面整箱旅行宿舍</t>
        </is>
      </c>
      <c r="D18" s="111" t="n">
        <v>-31</v>
      </c>
      <c r="E18" s="111" t="n">
        <v>-6</v>
      </c>
      <c r="F18" s="111" t="n">
        <v>66</v>
      </c>
      <c r="G18" s="111" t="n">
        <v>-4</v>
      </c>
      <c r="H18" s="111" t="n">
        <v>-61</v>
      </c>
      <c r="I18" s="111" t="n">
        <v>8</v>
      </c>
      <c r="J18" s="111" t="n">
        <v>-10</v>
      </c>
      <c r="K18" s="111">
        <f>_xlfn.XLOOKUP(A18,'[1]7.20-7.26'!$B:$B,'[1]7.20-7.26'!$AB:$AB,NA(),0)</f>
        <v/>
      </c>
      <c r="L18" s="111" t="n">
        <v>-40</v>
      </c>
      <c r="M18" s="23" t="n">
        <v>-10</v>
      </c>
    </row>
    <row r="19" ht="16.5" customHeight="1" s="69">
      <c r="A19" s="112" t="n">
        <v>648604228786</v>
      </c>
      <c r="B19" s="43" t="inlineStr">
        <is>
          <t>杯面混搭</t>
        </is>
      </c>
      <c r="C19" s="43" t="inlineStr">
        <is>
          <t>INDOMIE营多日式杯面原味经典泡面整箱批发速食宿舍旅行宵夜宿舍</t>
        </is>
      </c>
      <c r="D19" s="113" t="n">
        <v>-24</v>
      </c>
      <c r="E19" s="113" t="n">
        <v>6</v>
      </c>
      <c r="F19" s="113" t="n">
        <v>9</v>
      </c>
      <c r="G19" s="113" t="n">
        <v>-6</v>
      </c>
      <c r="H19" s="113" t="n">
        <v>6</v>
      </c>
      <c r="I19" s="113" t="n">
        <v>16</v>
      </c>
      <c r="J19" s="113" t="n">
        <v>-15</v>
      </c>
      <c r="K19" s="113">
        <f>_xlfn.XLOOKUP(A19,'[1]7.20-7.26'!$B:$B,'[1]7.20-7.26'!$AB:$AB,NA(),0)</f>
        <v/>
      </c>
      <c r="L19" s="113" t="n">
        <v>7</v>
      </c>
      <c r="M19" s="44" t="n">
        <v>-9</v>
      </c>
    </row>
    <row r="20" ht="16.5" customHeight="1" s="69">
      <c r="A20" s="110" t="n">
        <v>773972883430</v>
      </c>
      <c r="B20" s="16" t="inlineStr">
        <is>
          <t>韩式袋面</t>
        </is>
      </c>
      <c r="C20" s="16" t="inlineStr">
        <is>
          <t>营多捞面韩式火鸡面辣蘑菇汤面袋装泡面辣味速食方便面宿舍宵夜面</t>
        </is>
      </c>
      <c r="D20" s="111" t="n">
        <v>-13</v>
      </c>
      <c r="E20" s="111" t="n">
        <v>7</v>
      </c>
      <c r="F20" s="111" t="n">
        <v>2</v>
      </c>
      <c r="G20" s="111" t="n">
        <v>5</v>
      </c>
      <c r="H20" s="111" t="n">
        <v>-1</v>
      </c>
      <c r="I20" s="111" t="n"/>
      <c r="J20" s="111" t="n"/>
      <c r="K20" s="111" t="n"/>
      <c r="L20" s="111" t="n"/>
      <c r="M20" s="23" t="n">
        <v>-8</v>
      </c>
    </row>
    <row r="21" ht="16.5" customHeight="1" s="69">
      <c r="A21" s="112" t="n">
        <v>969423151512</v>
      </c>
      <c r="B21" s="43" t="inlineStr">
        <is>
          <t>日韩混搭</t>
        </is>
      </c>
      <c r="C21" s="43" t="inlineStr">
        <is>
          <t>营多捞面甜辣炸鸡火鸡面辣蘑菇泡面方便面速食干拌面宿舍宵夜旅行</t>
        </is>
      </c>
      <c r="D21" s="113" t="n">
        <v>-12</v>
      </c>
      <c r="E21" s="113" t="n">
        <v>-12</v>
      </c>
      <c r="F21" s="113" t="n">
        <v>-32</v>
      </c>
      <c r="G21" s="113" t="n">
        <v>-41</v>
      </c>
      <c r="H21" s="113" t="n">
        <v>-83</v>
      </c>
      <c r="I21" s="113" t="n">
        <v>-16</v>
      </c>
      <c r="J21" s="113" t="n">
        <v>-26</v>
      </c>
      <c r="K21" s="113">
        <f>_xlfn.XLOOKUP(A21,'[1]7.20-7.26'!$B:$B,'[1]7.20-7.26'!$AB:$AB,NA(),0)</f>
        <v/>
      </c>
      <c r="L21" s="113" t="n">
        <v>-61</v>
      </c>
      <c r="M21" s="44" t="n">
        <v>-5</v>
      </c>
    </row>
    <row r="22" ht="16.5" customHeight="1" s="69">
      <c r="A22" s="110" t="n">
        <v>976467954327</v>
      </c>
      <c r="B22" s="16" t="inlineStr">
        <is>
          <t>日韩杯面</t>
        </is>
      </c>
      <c r="C22" s="16" t="inlineStr">
        <is>
          <t>【天猫U选】indomie营多捞面辣蘑菇味日式辣味杯面</t>
        </is>
      </c>
      <c r="D22" s="111" t="n">
        <v>-8</v>
      </c>
      <c r="E22" s="111" t="n">
        <v>-6</v>
      </c>
      <c r="F22" s="111" t="n"/>
      <c r="G22" s="111" t="n">
        <v>-3</v>
      </c>
      <c r="H22" s="111" t="n">
        <v>-6</v>
      </c>
      <c r="I22" s="111" t="n">
        <v>-3</v>
      </c>
      <c r="J22" s="111" t="n">
        <v>-3</v>
      </c>
      <c r="K22" s="111">
        <f>_xlfn.XLOOKUP(A22,'[1]7.20-7.26'!$B:$B,'[1]7.20-7.26'!$AB:$AB,NA(),0)</f>
        <v/>
      </c>
      <c r="L22" s="111" t="n">
        <v>-13</v>
      </c>
      <c r="M22" s="23" t="n">
        <v>-4</v>
      </c>
    </row>
    <row r="23" ht="16.5" customHeight="1" s="69">
      <c r="A23" s="112" t="n">
        <v>916072786304</v>
      </c>
      <c r="B23" s="43" t="inlineStr">
        <is>
          <t>小规格</t>
        </is>
      </c>
      <c r="C23" s="43" t="inlineStr">
        <is>
          <t>营多印尼进口营多捞面方便面火鸡面干拌面10包宿舍速食泡面夜宵</t>
        </is>
      </c>
      <c r="D23" s="114" t="n">
        <v>-7</v>
      </c>
      <c r="E23" s="114" t="n"/>
      <c r="F23" s="114" t="n"/>
      <c r="G23" s="114" t="n">
        <v>-3</v>
      </c>
      <c r="H23" s="114" t="n"/>
      <c r="I23" s="114" t="n">
        <v>0</v>
      </c>
      <c r="J23" s="114" t="n">
        <v>-3</v>
      </c>
      <c r="K23" s="114" t="n"/>
      <c r="L23" s="114" t="n">
        <v>-2</v>
      </c>
      <c r="M23" s="44" t="n">
        <v>-4</v>
      </c>
    </row>
    <row r="24" ht="16.5" customHeight="1" s="69">
      <c r="A24" s="110" t="n">
        <v>1040679932754</v>
      </c>
      <c r="B24" s="16" t="inlineStr">
        <is>
          <t>杯面混搭</t>
        </is>
      </c>
      <c r="C24" s="16" t="inlineStr">
        <is>
          <t>印尼进口营多捞面杯面原味甜辣蘑菇味整箱速食拌面拉面泡面方便面</t>
        </is>
      </c>
      <c r="D24" s="115" t="n">
        <v>-7</v>
      </c>
      <c r="E24" s="115" t="n"/>
      <c r="F24" s="115" t="n"/>
      <c r="G24" s="115" t="n"/>
      <c r="H24" s="115" t="n">
        <v>-2</v>
      </c>
      <c r="I24" s="115" t="n"/>
      <c r="J24" s="115" t="n"/>
      <c r="K24" s="115" t="n"/>
      <c r="L24" s="115" t="n"/>
      <c r="M24" s="23" t="n">
        <v>-3</v>
      </c>
    </row>
    <row r="25" ht="16.5" customHeight="1" s="69">
      <c r="A25" s="112" t="n">
        <v>869217868453</v>
      </c>
      <c r="B25" s="43" t="inlineStr">
        <is>
          <t>韩式杯面</t>
        </is>
      </c>
      <c r="C25" s="43" t="inlineStr">
        <is>
          <t>营多捞面韩式甜辣炸鸡辣蘑菇杯面方便面拌面泡面宿舍速食面</t>
        </is>
      </c>
      <c r="D25" s="114" t="n">
        <v>-7</v>
      </c>
      <c r="E25" s="114" t="n">
        <v>-1</v>
      </c>
      <c r="F25" s="114" t="n"/>
      <c r="G25" s="114" t="n">
        <v>2</v>
      </c>
      <c r="H25" s="114" t="n">
        <v>-8</v>
      </c>
      <c r="I25" s="114" t="n">
        <v>6</v>
      </c>
      <c r="J25" s="114" t="n"/>
      <c r="K25" s="114">
        <f>_xlfn.XLOOKUP(A25,'[1]7.20-7.26'!$B:$B,'[1]7.20-7.26'!$AB:$AB,NA(),0)</f>
        <v/>
      </c>
      <c r="L25" s="114" t="n">
        <v>-11</v>
      </c>
      <c r="M25" s="44" t="n">
        <v>-2</v>
      </c>
    </row>
    <row r="26" ht="16.5" customHeight="1" s="69">
      <c r="A26" s="110" t="n">
        <v>649729851594</v>
      </c>
      <c r="B26" s="16" t="inlineStr">
        <is>
          <t>小规格</t>
        </is>
      </c>
      <c r="C26" s="16" t="inlineStr">
        <is>
          <t>营多捞面袋装8包装泡面宿舍速食面热干面干拌面方便面火鸡面食品</t>
        </is>
      </c>
      <c r="D26" s="115" t="n">
        <v>-5</v>
      </c>
      <c r="E26" s="115" t="n">
        <v>20</v>
      </c>
      <c r="F26" s="115" t="n">
        <v>6</v>
      </c>
      <c r="G26" s="115" t="n">
        <v>-1</v>
      </c>
      <c r="H26" s="115" t="n"/>
      <c r="I26" s="115" t="n">
        <v>8</v>
      </c>
      <c r="J26" s="115" t="n">
        <v>-1</v>
      </c>
      <c r="K26" s="115" t="n"/>
      <c r="L26" s="115" t="n">
        <v>8</v>
      </c>
      <c r="M26" s="23" t="n">
        <v>-1</v>
      </c>
    </row>
    <row r="27" ht="16.5" customHeight="1" s="69">
      <c r="A27" s="112" t="n">
        <v>885645733215</v>
      </c>
      <c r="B27" s="43" t="inlineStr">
        <is>
          <t>大骨牛肉</t>
        </is>
      </c>
      <c r="C27" s="43" t="inlineStr">
        <is>
          <t>进口营多大骨番茄牛肉味营多捞面意式泡面宿舍宿舍宵夜速食方便面</t>
        </is>
      </c>
      <c r="D27" s="114" t="n">
        <v>-2</v>
      </c>
      <c r="E27" s="114" t="n">
        <v>1</v>
      </c>
      <c r="F27" s="114" t="n">
        <v>-4</v>
      </c>
      <c r="G27" s="114" t="n">
        <v>-10</v>
      </c>
      <c r="H27" s="114" t="n">
        <v>-5</v>
      </c>
      <c r="I27" s="114" t="n">
        <v>-6</v>
      </c>
      <c r="J27" s="114" t="n">
        <v>-7</v>
      </c>
      <c r="K27" s="114">
        <f>_xlfn.XLOOKUP(A27,'[1]7.20-7.26'!$B:$B,'[1]7.20-7.26'!$AB:$AB,NA(),0)</f>
        <v/>
      </c>
      <c r="L27" s="114" t="n"/>
      <c r="M27" s="44" t="n">
        <v>-1</v>
      </c>
    </row>
    <row r="28" ht="16.5" customHeight="1" s="69">
      <c r="A28" s="110" t="n">
        <v>903183018417</v>
      </c>
      <c r="B28" s="16" t="inlineStr">
        <is>
          <t>七口味混搭</t>
        </is>
      </c>
      <c r="C28" s="16" t="inlineStr">
        <is>
          <t>进口营多捞面汤面拌面七口味混合方便面速拉面宿舍拌面泡面食食品</t>
        </is>
      </c>
      <c r="D28" s="115" t="n">
        <v>-2</v>
      </c>
      <c r="E28" s="115" t="n">
        <v>-12</v>
      </c>
      <c r="F28" s="115" t="n">
        <v>9</v>
      </c>
      <c r="G28" s="115" t="n">
        <v>-1</v>
      </c>
      <c r="H28" s="115" t="n">
        <v>-4</v>
      </c>
      <c r="I28" s="115" t="n">
        <v>-16</v>
      </c>
      <c r="J28" s="115" t="n">
        <v>-9</v>
      </c>
      <c r="K28" s="115">
        <f>_xlfn.XLOOKUP(A28,'[1]7.20-7.26'!$B:$B,'[1]7.20-7.26'!$AB:$AB,NA(),0)</f>
        <v/>
      </c>
      <c r="L28" s="115" t="n">
        <v>0</v>
      </c>
      <c r="M28" s="23" t="n">
        <v>-1</v>
      </c>
    </row>
    <row r="29" ht="16.5" customHeight="1" s="69">
      <c r="A29" s="112" t="n">
        <v>1019397839311</v>
      </c>
      <c r="B29" s="43" t="inlineStr">
        <is>
          <t>多口味混搭</t>
        </is>
      </c>
      <c r="C29" s="43" t="inlineStr">
        <is>
          <t>营多捞面原味番茄牛肉袋装泡面汤面干拌面方便面宿舍速食旅行宵夜</t>
        </is>
      </c>
      <c r="D29" s="114" t="n">
        <v>-1</v>
      </c>
      <c r="E29" s="114" t="n"/>
      <c r="F29" s="114" t="n"/>
      <c r="G29" s="114" t="n"/>
      <c r="H29" s="114" t="n"/>
      <c r="I29" s="114" t="n"/>
      <c r="J29" s="114" t="n"/>
      <c r="K29" s="114" t="n"/>
      <c r="L29" s="114" t="n"/>
      <c r="M29" s="68" t="n">
        <v>0</v>
      </c>
    </row>
    <row r="30" ht="16.5" customHeight="1" s="69">
      <c r="A30" s="110" t="n">
        <v>754828376158</v>
      </c>
      <c r="B30" s="16" t="inlineStr">
        <is>
          <t>六口味混搭</t>
        </is>
      </c>
      <c r="C30" s="16" t="inlineStr">
        <is>
          <t>进口营多捞面汤面拌面六口味混合方便面速食食品泡面</t>
        </is>
      </c>
      <c r="D30" s="115" t="n">
        <v>-1</v>
      </c>
      <c r="E30" s="115" t="n"/>
      <c r="F30" s="115" t="n"/>
      <c r="G30" s="115" t="n"/>
      <c r="H30" s="115" t="n"/>
      <c r="I30" s="115" t="n"/>
      <c r="J30" s="115" t="n"/>
      <c r="K30" s="115" t="n"/>
      <c r="L30" s="115" t="n"/>
      <c r="M30" s="27" t="n">
        <v>0</v>
      </c>
    </row>
    <row r="31" ht="16.5" customHeight="1" s="69">
      <c r="A31" s="112" t="n">
        <v>947413291596</v>
      </c>
      <c r="B31" s="43" t="inlineStr">
        <is>
          <t>杯面混搭</t>
        </is>
      </c>
      <c r="C31" s="43" t="inlineStr">
        <is>
          <t>印尼进口营多捞面杯面原味甜辣蘑菇味整箱速食拌面拉面泡面方便面</t>
        </is>
      </c>
      <c r="D31" s="114" t="n">
        <v>0</v>
      </c>
      <c r="E31" s="114" t="n">
        <v>-5</v>
      </c>
      <c r="F31" s="114" t="n">
        <v>-5</v>
      </c>
      <c r="G31" s="114" t="n">
        <v>-1</v>
      </c>
      <c r="H31" s="114" t="n">
        <v>-4</v>
      </c>
      <c r="I31" s="114" t="n">
        <v>-9</v>
      </c>
      <c r="J31" s="114" t="n">
        <v>-10</v>
      </c>
      <c r="K31" s="114" t="n"/>
      <c r="L31" s="114" t="n">
        <v>0</v>
      </c>
      <c r="M31" s="45" t="n">
        <v>1</v>
      </c>
    </row>
    <row r="32" ht="16.5" customHeight="1" s="69">
      <c r="A32" s="110" t="n">
        <v>898120785283</v>
      </c>
      <c r="B32" s="16" t="inlineStr">
        <is>
          <t>番茄</t>
        </is>
      </c>
      <c r="C32" s="16" t="inlineStr">
        <is>
          <t>进口意大利面风味奶香番茄牛肉味意式营多早餐儿童宝妈家庭餐拌面</t>
        </is>
      </c>
      <c r="D32" s="115" t="n">
        <v>1</v>
      </c>
      <c r="E32" s="115" t="n">
        <v>-3</v>
      </c>
      <c r="F32" s="115" t="n">
        <v>4</v>
      </c>
      <c r="G32" s="115" t="n">
        <v>1</v>
      </c>
      <c r="H32" s="115" t="n">
        <v>-2</v>
      </c>
      <c r="I32" s="115" t="n">
        <v>-2</v>
      </c>
      <c r="J32" s="115" t="n">
        <v>-4</v>
      </c>
      <c r="K32" s="115" t="n"/>
      <c r="L32" s="115" t="n">
        <v>11</v>
      </c>
      <c r="M32" s="29" t="n">
        <v>3</v>
      </c>
    </row>
    <row r="33" ht="16.5" customHeight="1" s="69">
      <c r="A33" s="112" t="n">
        <v>886856687067</v>
      </c>
      <c r="B33" s="43" t="inlineStr">
        <is>
          <t>大骨</t>
        </is>
      </c>
      <c r="C33" s="43" t="inlineStr">
        <is>
          <t>营多捞面牛系列大骨牛肉味方便面食品泡面拉面汤面宿舍宵夜旅行</t>
        </is>
      </c>
      <c r="D33" s="114" t="n">
        <v>1</v>
      </c>
      <c r="E33" s="114" t="n">
        <v>2</v>
      </c>
      <c r="F33" s="114" t="n">
        <v>-1</v>
      </c>
      <c r="G33" s="114" t="n">
        <v>-11</v>
      </c>
      <c r="H33" s="114" t="n">
        <v>4</v>
      </c>
      <c r="I33" s="114" t="n">
        <v>8</v>
      </c>
      <c r="J33" s="114" t="n">
        <v>30</v>
      </c>
      <c r="K33" s="114">
        <f>_xlfn.XLOOKUP(A33,'[1]7.20-7.26'!$B:$B,'[1]7.20-7.26'!$AB:$AB,NA(),0)</f>
        <v/>
      </c>
      <c r="L33" s="114" t="n">
        <v>-15</v>
      </c>
      <c r="M33" s="45" t="n">
        <v>7</v>
      </c>
    </row>
    <row r="34" ht="16.5" customHeight="1" s="69">
      <c r="A34" s="110" t="n">
        <v>971242260371</v>
      </c>
      <c r="B34" s="16" t="inlineStr">
        <is>
          <t>韩式袋面</t>
        </is>
      </c>
      <c r="C34" s="16" t="inlineStr">
        <is>
          <t>新品营多捞面韩式辣蘑菇汤面泡面方便面速食干拌面宿舍宵夜旅行</t>
        </is>
      </c>
      <c r="D34" s="115" t="n">
        <v>1</v>
      </c>
      <c r="E34" s="115" t="n">
        <v>-56</v>
      </c>
      <c r="F34" s="115" t="n">
        <v>-10</v>
      </c>
      <c r="G34" s="115" t="n">
        <v>-37</v>
      </c>
      <c r="H34" s="115" t="n">
        <v>-48</v>
      </c>
      <c r="I34" s="115" t="n">
        <v>-60</v>
      </c>
      <c r="J34" s="115" t="n">
        <v>-21</v>
      </c>
      <c r="K34" s="115">
        <f>_xlfn.XLOOKUP(A34,'[1]7.20-7.26'!$B:$B,'[1]7.20-7.26'!$AB:$AB,NA(),0)</f>
        <v/>
      </c>
      <c r="L34" s="115" t="n">
        <v>-30</v>
      </c>
      <c r="M34" s="29" t="n">
        <v>15</v>
      </c>
    </row>
    <row r="35" ht="16.5" customHeight="1" s="69">
      <c r="A35" s="112" t="n">
        <v>1019572719528</v>
      </c>
      <c r="B35" s="43" t="inlineStr">
        <is>
          <t>日韩袋面</t>
        </is>
      </c>
      <c r="C35" s="43" t="inlineStr">
        <is>
          <t>新品营多捞面韩式辣蘑菇汤面泡面方便面速食干拌面宿舍宵夜旅行</t>
        </is>
      </c>
      <c r="D35" s="114" t="n">
        <v>2</v>
      </c>
      <c r="E35" s="114" t="n"/>
      <c r="F35" s="114" t="n"/>
      <c r="G35" s="114" t="n"/>
      <c r="H35" s="114" t="n">
        <v>3</v>
      </c>
      <c r="I35" s="114" t="n">
        <v>2</v>
      </c>
      <c r="J35" s="114" t="n">
        <v>2</v>
      </c>
      <c r="K35" s="114" t="n"/>
      <c r="L35" s="114" t="n"/>
      <c r="M35" s="45" t="n">
        <v>15</v>
      </c>
    </row>
    <row r="36" ht="16.5" customHeight="1" s="69">
      <c r="A36" s="110" t="n">
        <v>648600900806</v>
      </c>
      <c r="B36" s="16" t="inlineStr">
        <is>
          <t>30包</t>
        </is>
      </c>
      <c r="C36" s="16" t="inlineStr">
        <is>
          <t>进口营多捞面一整箱30包网红速食方便面宿舍速食泡面干拌面拉面</t>
        </is>
      </c>
      <c r="D36" s="115" t="n">
        <v>5</v>
      </c>
      <c r="E36" s="115" t="n">
        <v>-69</v>
      </c>
      <c r="F36" s="115" t="n">
        <v>-187</v>
      </c>
      <c r="G36" s="115" t="n">
        <v>-257</v>
      </c>
      <c r="H36" s="115" t="n">
        <v>-148</v>
      </c>
      <c r="I36" s="115" t="n">
        <v>41</v>
      </c>
      <c r="J36" s="115" t="n">
        <v>-202</v>
      </c>
      <c r="K36" s="115">
        <f>_xlfn.XLOOKUP(A36,'[1]7.20-7.26'!$B:$B,'[1]7.20-7.26'!$AB:$AB,NA(),0)</f>
        <v/>
      </c>
      <c r="L36" s="115" t="n">
        <v>-488</v>
      </c>
      <c r="M36" s="29" t="n">
        <v>22</v>
      </c>
    </row>
    <row r="37" ht="16.5" customHeight="1" s="69">
      <c r="A37" s="112" t="n">
        <v>649731447266</v>
      </c>
      <c r="B37" s="43" t="inlineStr">
        <is>
          <t>20包经典/牛系列</t>
        </is>
      </c>
      <c r="C37" s="43" t="inlineStr">
        <is>
          <t>营多印尼进口营多捞面方便面火鸡面干拌面20包宿舍速食泡面夜宵</t>
        </is>
      </c>
      <c r="D37" s="114" t="n">
        <v>12</v>
      </c>
      <c r="E37" s="114" t="n">
        <v>-5</v>
      </c>
      <c r="F37" s="114" t="n">
        <v>16</v>
      </c>
      <c r="G37" s="114" t="n">
        <v>46</v>
      </c>
      <c r="H37" s="114" t="n">
        <v>16</v>
      </c>
      <c r="I37" s="114" t="n">
        <v>36</v>
      </c>
      <c r="J37" s="114" t="n">
        <v>21</v>
      </c>
      <c r="K37" s="114">
        <f>_xlfn.XLOOKUP(A37,'[1]7.20-7.26'!$B:$B,'[1]7.20-7.26'!$AB:$AB,NA(),0)</f>
        <v/>
      </c>
      <c r="L37" s="114" t="n">
        <v>30</v>
      </c>
      <c r="M37" s="45" t="n">
        <v>23</v>
      </c>
    </row>
    <row r="38" ht="16.5" customHeight="1" s="69">
      <c r="A38" s="110" t="n">
        <v>932687928859</v>
      </c>
      <c r="B38" s="16" t="inlineStr">
        <is>
          <t>杯面混搭</t>
        </is>
      </c>
      <c r="C38" s="16" t="inlineStr">
        <is>
          <t>营多捞面韩式甜辣炸鸡辣蘑菇杯面方便面拌面泡面宿舍速食面</t>
        </is>
      </c>
      <c r="D38" s="115" t="n">
        <v>14</v>
      </c>
      <c r="E38" s="115" t="n"/>
      <c r="F38" s="115" t="n">
        <v>7</v>
      </c>
      <c r="G38" s="115" t="n">
        <v>6</v>
      </c>
      <c r="H38" s="115" t="n">
        <v>4</v>
      </c>
      <c r="I38" s="115" t="n">
        <v>13</v>
      </c>
      <c r="J38" s="115" t="n">
        <v>-2</v>
      </c>
      <c r="K38" s="115">
        <f>_xlfn.XLOOKUP(A38,'[1]7.20-7.26'!$B:$B,'[1]7.20-7.26'!$AB:$AB,NA(),0)</f>
        <v/>
      </c>
      <c r="L38" s="115" t="n">
        <v>7</v>
      </c>
      <c r="M38" s="29" t="n">
        <v>39</v>
      </c>
    </row>
    <row r="39" ht="16.5" customHeight="1" s="69">
      <c r="A39" s="112" t="n">
        <v>648598580775</v>
      </c>
      <c r="B39" s="43" t="inlineStr">
        <is>
          <t>原味大包</t>
        </is>
      </c>
      <c r="C39" s="43" t="inlineStr">
        <is>
          <t>印尼进口大大包营多原味捞面5包干拌面速食超大包方便面速食宵夜</t>
        </is>
      </c>
      <c r="D39" s="114" t="n">
        <v>25</v>
      </c>
      <c r="E39" s="114" t="n">
        <v>-66</v>
      </c>
      <c r="F39" s="114" t="n">
        <v>-70</v>
      </c>
      <c r="G39" s="114" t="n">
        <v>-116</v>
      </c>
      <c r="H39" s="114" t="n">
        <v>-117</v>
      </c>
      <c r="I39" s="114" t="n">
        <v>64</v>
      </c>
      <c r="J39" s="114" t="n">
        <v>-37</v>
      </c>
      <c r="K39" s="114">
        <f>_xlfn.XLOOKUP(A39,'[1]7.20-7.26'!$B:$B,'[1]7.20-7.26'!$AB:$AB,NA(),0)</f>
        <v/>
      </c>
      <c r="L39" s="114" t="n">
        <v>-85</v>
      </c>
      <c r="M39" s="45" t="n">
        <v>60</v>
      </c>
    </row>
    <row r="40" ht="16.5" customHeight="1" s="69">
      <c r="A40" s="110" t="n">
        <v>649369494424</v>
      </c>
      <c r="B40" s="16" t="inlineStr">
        <is>
          <t>24包经典/牛系列</t>
        </is>
      </c>
      <c r="C40" s="16" t="inlineStr">
        <is>
          <t>营多捞面干拌面一整箱24袋装批发泡面混搭宿舍速食方便面火鸡面</t>
        </is>
      </c>
      <c r="D40" s="115" t="n">
        <v>102</v>
      </c>
      <c r="E40" s="115" t="n">
        <v>90</v>
      </c>
      <c r="F40" s="115" t="n">
        <v>-77</v>
      </c>
      <c r="G40" s="115" t="n">
        <v>-107</v>
      </c>
      <c r="H40" s="115" t="n">
        <v>147</v>
      </c>
      <c r="I40" s="115" t="n">
        <v>457</v>
      </c>
      <c r="J40" s="115" t="n">
        <v>247</v>
      </c>
      <c r="K40" s="115">
        <f>_xlfn.XLOOKUP(A40,'[1]7.20-7.26'!$B:$B,'[1]7.20-7.26'!$AB:$AB,NA(),0)</f>
        <v/>
      </c>
      <c r="L40" s="115" t="n">
        <v>131</v>
      </c>
      <c r="M40" s="29" t="n">
        <v>61</v>
      </c>
    </row>
    <row r="41" ht="16.5" customHeight="1" s="69">
      <c r="A41" s="112" t="n">
        <v>766165464414</v>
      </c>
      <c r="B41" s="43" t="inlineStr">
        <is>
          <t>12包</t>
        </is>
      </c>
      <c r="C41" s="43" t="inlineStr">
        <is>
          <t>营多印尼进口营多捞面方便面火鸡面干拌面12包宿舍速食泡面夜宵</t>
        </is>
      </c>
      <c r="D41" s="114" t="n">
        <v>120</v>
      </c>
      <c r="E41" s="114" t="n">
        <v>210</v>
      </c>
      <c r="F41" s="114" t="n">
        <v>84</v>
      </c>
      <c r="G41" s="114" t="n">
        <v>55</v>
      </c>
      <c r="H41" s="114" t="n">
        <v>65</v>
      </c>
      <c r="I41" s="114" t="n">
        <v>129</v>
      </c>
      <c r="J41" s="114" t="n">
        <v>10</v>
      </c>
      <c r="K41" s="114">
        <f>_xlfn.XLOOKUP(A41,'[1]7.20-7.26'!$B:$B,'[1]7.20-7.26'!$AB:$AB,NA(),0)</f>
        <v/>
      </c>
      <c r="L41" s="114" t="n">
        <v>58</v>
      </c>
      <c r="M41" s="45" t="n">
        <v>361</v>
      </c>
    </row>
    <row r="42" ht="16.5" customHeight="1" s="69">
      <c r="A42" s="110" t="n">
        <v>1059563993918</v>
      </c>
      <c r="B42" s="16" t="inlineStr">
        <is>
          <t>巴东牛肉</t>
        </is>
      </c>
      <c r="C42" s="16" t="inlineStr">
        <is>
          <t>营多进口新口味巴东炖牛肉味捞面印尼料理方便面泡面捞面夜宵速食</t>
        </is>
      </c>
      <c r="D42" s="115" t="n"/>
      <c r="E42" s="115" t="n"/>
      <c r="F42" s="115" t="n"/>
      <c r="G42" s="115" t="n">
        <v>-107</v>
      </c>
      <c r="H42" s="115" t="n">
        <v>-206</v>
      </c>
      <c r="I42" s="115" t="n">
        <v>-50</v>
      </c>
      <c r="J42" s="115" t="n">
        <v>-115</v>
      </c>
      <c r="K42" s="115">
        <f>_xlfn.XLOOKUP(A42,'[1]7.20-7.26'!$B:$B,'[1]7.20-7.26'!$AB:$AB,NA(),0)</f>
        <v/>
      </c>
      <c r="L42" s="115" t="n">
        <v>-30</v>
      </c>
      <c r="M42" s="30" t="n"/>
    </row>
    <row r="43" ht="16.5" customHeight="1" s="69">
      <c r="A43" s="112" t="n">
        <v>1057479227624</v>
      </c>
      <c r="B43" s="43" t="inlineStr">
        <is>
          <t>巴东牛肉</t>
        </is>
      </c>
      <c r="C43" s="43" t="inlineStr">
        <is>
          <t>【新口味】印尼进口营多捞面巴东炖牛肉味泡面方便面宿舍速食宵夜</t>
        </is>
      </c>
      <c r="D43" s="114" t="n"/>
      <c r="E43" s="114" t="n"/>
      <c r="F43" s="114" t="n"/>
      <c r="G43" s="114" t="n">
        <v>-185</v>
      </c>
      <c r="H43" s="114" t="n">
        <v>-469</v>
      </c>
      <c r="I43" s="114" t="n">
        <v>-657</v>
      </c>
      <c r="J43" s="114" t="n">
        <v>-674</v>
      </c>
      <c r="K43" s="114">
        <f>_xlfn.XLOOKUP(A43,'[1]7.20-7.26'!$B:$B,'[1]7.20-7.26'!$AB:$AB,NA(),0)</f>
        <v/>
      </c>
      <c r="L43" s="114" t="n">
        <v>-612</v>
      </c>
      <c r="M43" s="67" t="n"/>
    </row>
    <row r="44" ht="16.5" customHeight="1" s="69">
      <c r="A44" s="110" t="n">
        <v>1028450344901</v>
      </c>
      <c r="B44" s="16" t="inlineStr">
        <is>
          <t>韩式火鸡</t>
        </is>
      </c>
      <c r="C44" s="16" t="inlineStr">
        <is>
          <t>营多韩式火鸡面袋装拌面干拌面泡面方便面速食面宿舍宵夜旅行</t>
        </is>
      </c>
      <c r="D44" s="115" t="n"/>
      <c r="E44" s="115" t="n">
        <v>1</v>
      </c>
      <c r="F44" s="115" t="n">
        <v>2</v>
      </c>
      <c r="G44" s="115" t="n">
        <v>-8</v>
      </c>
      <c r="H44" s="115" t="n">
        <v>-5</v>
      </c>
      <c r="I44" s="115" t="n">
        <v>0</v>
      </c>
      <c r="J44" s="115" t="n">
        <v>-8</v>
      </c>
      <c r="K44" s="115" t="n"/>
      <c r="L44" s="115" t="n">
        <v>1</v>
      </c>
      <c r="M44" s="30" t="n"/>
    </row>
    <row r="45" ht="16.5" customHeight="1" s="69">
      <c r="A45" s="112" t="n">
        <v>1060999732877</v>
      </c>
      <c r="B45" s="43" t="inlineStr">
        <is>
          <t>原味大包</t>
        </is>
      </c>
      <c r="C45" s="43" t="inlineStr">
        <is>
          <t>indomie印尼进口营多原味大大包129g捞面方便面速食食品宵夜小吃</t>
        </is>
      </c>
      <c r="D45" s="114" t="n"/>
      <c r="E45" s="114" t="n"/>
      <c r="F45" s="114" t="n"/>
      <c r="G45" s="114" t="n">
        <v>31</v>
      </c>
      <c r="H45" s="114" t="n">
        <v>-28</v>
      </c>
      <c r="I45" s="114" t="n">
        <v>-40</v>
      </c>
      <c r="J45" s="114" t="n">
        <v>-44</v>
      </c>
      <c r="K45" s="114">
        <f>_xlfn.XLOOKUP(A45,'[1]7.20-7.26'!$B:$B,'[1]7.20-7.26'!$AB:$AB,NA(),0)</f>
        <v/>
      </c>
      <c r="L45" s="114" t="n">
        <v>-51</v>
      </c>
      <c r="M45" s="67" t="n"/>
    </row>
    <row r="46" ht="16.5" customHeight="1" s="69">
      <c r="A46" s="110" t="n">
        <v>775016827115</v>
      </c>
      <c r="B46" s="16" t="inlineStr">
        <is>
          <t>杯面混搭</t>
        </is>
      </c>
      <c r="C46" s="16" t="inlineStr">
        <is>
          <t>进口营多原味杯面日式杯面韩式杯面泡面方便面汤面宿舍速食夜宵</t>
        </is>
      </c>
      <c r="D46" s="115" t="n"/>
      <c r="E46" s="115" t="n">
        <v>3</v>
      </c>
      <c r="F46" s="115" t="n">
        <v>-1</v>
      </c>
      <c r="G46" s="115" t="n"/>
      <c r="H46" s="115" t="n">
        <v>4</v>
      </c>
      <c r="I46" s="115" t="n">
        <v>4</v>
      </c>
      <c r="J46" s="115" t="n">
        <v>3</v>
      </c>
      <c r="K46" s="115" t="n"/>
      <c r="L46" s="115" t="n"/>
      <c r="M46" s="30" t="n"/>
    </row>
    <row r="47" ht="16.5" customHeight="1" s="69">
      <c r="A47" s="112" t="n">
        <v>1058280415678</v>
      </c>
      <c r="B47" s="43" t="inlineStr">
        <is>
          <t>原味大包</t>
        </is>
      </c>
      <c r="C47" s="43" t="inlineStr">
        <is>
          <t>印尼进口大大包营多原味捞面5包干拌面速食超大包方便面速食宵夜</t>
        </is>
      </c>
      <c r="D47" s="114" t="n"/>
      <c r="E47" s="116" t="n"/>
      <c r="F47" s="114" t="n"/>
      <c r="G47" s="114" t="n">
        <v>79</v>
      </c>
      <c r="H47" s="114" t="n">
        <v>18</v>
      </c>
      <c r="I47" s="114" t="n">
        <v>29</v>
      </c>
      <c r="J47" s="114" t="n">
        <v>52</v>
      </c>
      <c r="K47" s="114">
        <f>_xlfn.XLOOKUP(A47,'[1]7.20-7.26'!$B:$B,'[1]7.20-7.26'!$AB:$AB,NA(),0)</f>
        <v/>
      </c>
      <c r="L47" s="114" t="n">
        <v>108</v>
      </c>
      <c r="M47" s="67" t="n"/>
    </row>
    <row r="48" ht="16.5" customHeight="1" s="69">
      <c r="A48" s="110" t="n">
        <v>1014512281808</v>
      </c>
      <c r="B48" s="16" t="inlineStr">
        <is>
          <t>杯面混搭</t>
        </is>
      </c>
      <c r="C48" s="16" t="inlineStr">
        <is>
          <t>营多捞面韩式甜辣炸鸡辣蘑菇杯面方便面拌面泡面宿舍速食面</t>
        </is>
      </c>
      <c r="D48" s="115" t="n"/>
      <c r="E48" s="115" t="n"/>
      <c r="F48" s="115" t="n"/>
      <c r="G48" s="115" t="n"/>
      <c r="H48" s="115" t="n"/>
      <c r="I48" s="115" t="n">
        <v>9</v>
      </c>
      <c r="J48" s="115" t="n"/>
      <c r="K48" s="115" t="n"/>
      <c r="L48" s="115" t="n"/>
      <c r="M48" s="30" t="n"/>
    </row>
    <row r="49" ht="16.5" customHeight="1" s="69">
      <c r="A49" s="112" t="n">
        <v>1056927747753</v>
      </c>
      <c r="B49" s="43" t="inlineStr">
        <is>
          <t>巴东</t>
        </is>
      </c>
      <c r="C49" s="43" t="inlineStr">
        <is>
          <t>【新口味】印尼进口营多捞面巴东炖牛肉味泡面方便面宿舍速食宵夜</t>
        </is>
      </c>
      <c r="D49" s="114" t="n"/>
      <c r="E49" s="114" t="n"/>
      <c r="F49" s="114" t="n">
        <v>-2</v>
      </c>
      <c r="G49" s="114" t="n"/>
      <c r="H49" s="114" t="n"/>
      <c r="I49" s="114" t="n"/>
      <c r="J49" s="114" t="n"/>
      <c r="K49" s="114" t="n"/>
      <c r="L49" s="114" t="n"/>
      <c r="M49" s="67" t="n"/>
    </row>
    <row r="50" ht="16.5" customHeight="1" s="69">
      <c r="A50" s="110" t="n">
        <v>1067957289054</v>
      </c>
      <c r="B50" s="16" t="inlineStr">
        <is>
          <t>巴东牛肉</t>
        </is>
      </c>
      <c r="C50" s="16" t="inlineStr">
        <is>
          <t>【新口味】印尼进口营多捞面巴东炖牛肉味泡面方便面宿舍速食宵夜</t>
        </is>
      </c>
      <c r="D50" s="115" t="n"/>
      <c r="E50" s="115" t="n"/>
      <c r="F50" s="115" t="n"/>
      <c r="G50" s="115" t="n"/>
      <c r="H50" s="115" t="n"/>
      <c r="I50" s="115" t="n"/>
      <c r="J50" s="115" t="n"/>
      <c r="K50" s="115">
        <f>_xlfn.XLOOKUP(A50,'[1]7.20-7.26'!$B:$B,'[1]7.20-7.26'!$AB:$AB,NA(),0)</f>
        <v/>
      </c>
      <c r="L50" s="115" t="n">
        <v>-11</v>
      </c>
      <c r="M50" s="30" t="n"/>
    </row>
    <row r="51" ht="16.5" customHeight="1" s="69">
      <c r="A51" s="112" t="n">
        <v>965545088099</v>
      </c>
      <c r="B51" s="43" t="inlineStr">
        <is>
          <t>十口味混搭</t>
        </is>
      </c>
      <c r="C51" s="43" t="inlineStr">
        <is>
          <t>营多捞面多口味袋装泡面拌面速食面干拌面方便面速食宵夜宿舍旅行</t>
        </is>
      </c>
      <c r="D51" s="114" t="n"/>
      <c r="E51" s="114" t="n">
        <v>14</v>
      </c>
      <c r="F51" s="114" t="n"/>
      <c r="G51" s="114" t="n"/>
      <c r="H51" s="114" t="n">
        <v>7</v>
      </c>
      <c r="I51" s="114" t="n"/>
      <c r="J51" s="114" t="n"/>
      <c r="K51" s="114" t="n"/>
      <c r="L51" s="114" t="n">
        <v>10</v>
      </c>
      <c r="M51" s="67" t="n"/>
    </row>
    <row r="52" ht="16.5" customHeight="1" s="69">
      <c r="A52" s="110" t="n">
        <v>975092562679</v>
      </c>
      <c r="B52" s="16" t="inlineStr">
        <is>
          <t>韩式杯面</t>
        </is>
      </c>
      <c r="C52" s="16" t="inlineStr">
        <is>
          <t>营多韩式甜辣炸鸡火鸡面辣蘑菇杯面拌面泡面方便面速食宵夜旅行</t>
        </is>
      </c>
      <c r="D52" s="115" t="n"/>
      <c r="E52" s="115" t="n">
        <v>2</v>
      </c>
      <c r="F52" s="115" t="n">
        <v>11</v>
      </c>
      <c r="G52" s="115" t="n">
        <v>0</v>
      </c>
      <c r="H52" s="115" t="n"/>
      <c r="I52" s="115" t="n"/>
      <c r="J52" s="115" t="n"/>
      <c r="K52" s="115">
        <f>_xlfn.XLOOKUP(A52,'[1]7.20-7.26'!$B:$B,'[1]7.20-7.26'!$AB:$AB,NA(),0)</f>
        <v/>
      </c>
      <c r="L52" s="115" t="n"/>
      <c r="M52" s="30" t="n"/>
    </row>
    <row r="53">
      <c r="K53" s="117" t="n"/>
    </row>
    <row r="54">
      <c r="K54" s="117" t="n"/>
    </row>
  </sheetData>
  <mergeCells count="1">
    <mergeCell ref="A1:M1"/>
  </mergeCells>
  <conditionalFormatting sqref="M4:M52">
    <cfRule type="colorScale" priority="1">
      <colorScale>
        <cfvo type="min"/>
        <cfvo type="num" val="0"/>
        <cfvo type="max"/>
        <color rgb="FFC00000"/>
        <color rgb="FFFFFFFF"/>
        <color rgb="FF548235"/>
      </colorScale>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周次</t>
        </is>
      </c>
      <c r="B1" t="inlineStr">
        <is>
          <t>周报其他费用</t>
        </is>
      </c>
    </row>
    <row r="2">
      <c r="A2" t="inlineStr">
        <is>
          <t>5.11-5.17</t>
        </is>
      </c>
      <c r="B2" t="n">
        <v>1911</v>
      </c>
    </row>
    <row r="3">
      <c r="A3" t="inlineStr">
        <is>
          <t>5.25-5.31</t>
        </is>
      </c>
      <c r="B3" t="n">
        <v>1911</v>
      </c>
    </row>
    <row r="4">
      <c r="A4" t="inlineStr">
        <is>
          <t>6.15-6.21</t>
        </is>
      </c>
      <c r="B4" t="n">
        <v>3605</v>
      </c>
    </row>
    <row r="5">
      <c r="A5" t="inlineStr">
        <is>
          <t>6.22-6.28</t>
        </is>
      </c>
      <c r="B5" t="n">
        <v>3605</v>
      </c>
    </row>
    <row r="6">
      <c r="A6" t="inlineStr">
        <is>
          <t>6.29-7.5</t>
        </is>
      </c>
      <c r="B6" t="n">
        <v>1951</v>
      </c>
    </row>
    <row r="7">
      <c r="A7" t="inlineStr">
        <is>
          <t>7.6-7.12</t>
        </is>
      </c>
      <c r="B7" t="n">
        <v>2054</v>
      </c>
    </row>
    <row r="8">
      <c r="A8" t="inlineStr">
        <is>
          <t>7.13-7.19</t>
        </is>
      </c>
      <c r="B8" t="n">
        <v>2405</v>
      </c>
    </row>
    <row r="9">
      <c r="A9" t="inlineStr">
        <is>
          <t>7.20-7.26</t>
        </is>
      </c>
      <c r="B9" t="n">
        <v>2097</v>
      </c>
    </row>
    <row r="10">
      <c r="A10" t="inlineStr">
        <is>
          <t>7.27-8.2</t>
        </is>
      </c>
      <c r="B10" t="n">
        <v>2127</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D346"/>
  <sheetViews>
    <sheetView workbookViewId="0">
      <selection activeCell="AD330" sqref="AD330"/>
    </sheetView>
  </sheetViews>
  <sheetFormatPr baseColWidth="8" defaultColWidth="9" defaultRowHeight="13.5"/>
  <cols>
    <col width="8.875" customWidth="1" style="69" min="1" max="1"/>
    <col width="14.875" customWidth="1" style="69" min="2" max="2"/>
    <col width="25.25" customWidth="1" style="69" min="3" max="3"/>
    <col width="16" customWidth="1" style="69" min="4" max="4"/>
    <col width="9.125" customWidth="1" style="69" min="5" max="6"/>
    <col width="8.125" customWidth="1" style="69" min="7" max="8"/>
    <col width="9.25" customWidth="1" style="69" min="9" max="9"/>
    <col width="10" customWidth="1" style="69" min="10" max="11"/>
    <col width="10.375" customWidth="1" style="69" min="12" max="12"/>
    <col width="10.875" customWidth="1" style="69" min="13" max="14"/>
    <col width="10.375" customWidth="1" style="69" min="15" max="15"/>
    <col width="10.875" customWidth="1" style="69" min="16" max="17"/>
    <col width="10.375" customWidth="1" style="69" min="18" max="18"/>
    <col width="10.875" customWidth="1" style="69" min="19" max="20"/>
    <col width="9.125" customWidth="1" style="69" min="21" max="21"/>
    <col width="12.875" customWidth="1" style="69" min="22" max="22"/>
    <col width="8.875" customWidth="1" style="69" min="23" max="23"/>
    <col width="14.625" customWidth="1" style="69" min="24" max="29"/>
    <col width="13.25" customWidth="1" style="69" min="30" max="30"/>
  </cols>
  <sheetData>
    <row r="1" ht="21" customHeight="1" s="69">
      <c r="A1" s="1" t="inlineStr">
        <is>
          <t>全部周合并明细</t>
        </is>
      </c>
    </row>
    <row r="2" ht="33" customHeight="1" s="69">
      <c r="A2" s="3" t="inlineStr">
        <is>
          <t>周次</t>
        </is>
      </c>
      <c r="B2" s="3" t="inlineStr">
        <is>
          <t>日期</t>
        </is>
      </c>
      <c r="C2" s="118" t="inlineStr">
        <is>
          <t>商品ID</t>
        </is>
      </c>
      <c r="D2" s="3" t="inlineStr">
        <is>
          <t>定位</t>
        </is>
      </c>
      <c r="E2" s="3" t="inlineStr">
        <is>
          <t>商品名称</t>
        </is>
      </c>
      <c r="F2" s="3" t="inlineStr">
        <is>
          <t>成交金额</t>
        </is>
      </c>
      <c r="G2" s="3" t="inlineStr">
        <is>
          <t>去税金额</t>
        </is>
      </c>
      <c r="H2" s="3" t="inlineStr">
        <is>
          <t>成交件数</t>
        </is>
      </c>
      <c r="I2" s="3" t="inlineStr">
        <is>
          <t>件数占比</t>
        </is>
      </c>
      <c r="J2" s="3" t="inlineStr">
        <is>
          <t>件单价</t>
        </is>
      </c>
      <c r="K2" s="3" t="inlineStr">
        <is>
          <t>万相台花费</t>
        </is>
      </c>
      <c r="L2" s="3" t="inlineStr">
        <is>
          <t>万相台成交</t>
        </is>
      </c>
      <c r="M2" s="3" t="inlineStr">
        <is>
          <t>万相台ROI</t>
        </is>
      </c>
      <c r="N2" s="3" t="inlineStr">
        <is>
          <t>品销宝花费</t>
        </is>
      </c>
      <c r="O2" s="3" t="inlineStr">
        <is>
          <t>品销宝成交</t>
        </is>
      </c>
      <c r="P2" s="3" t="inlineStr">
        <is>
          <t>品销宝ROI</t>
        </is>
      </c>
      <c r="Q2" s="3" t="inlineStr">
        <is>
          <t>推广总花费</t>
        </is>
      </c>
      <c r="R2" s="3" t="inlineStr">
        <is>
          <t>推广总成交</t>
        </is>
      </c>
      <c r="S2" s="3" t="inlineStr">
        <is>
          <t>推广总ROI</t>
        </is>
      </c>
      <c r="T2" s="3" t="inlineStr">
        <is>
          <t>推广费占比</t>
        </is>
      </c>
      <c r="U2" s="3" t="inlineStr">
        <is>
          <t>推广总费率</t>
        </is>
      </c>
      <c r="V2" s="3" t="inlineStr">
        <is>
          <t>日销成交</t>
        </is>
      </c>
      <c r="W2" s="3" t="inlineStr">
        <is>
          <t>日销成交占比</t>
        </is>
      </c>
      <c r="X2" s="3" t="inlineStr">
        <is>
          <t>其他费用</t>
        </is>
      </c>
      <c r="Y2" s="3" t="inlineStr">
        <is>
          <t>净利润(推广前)</t>
        </is>
      </c>
      <c r="Z2" s="3" t="inlineStr">
        <is>
          <t>净利率(推广前)</t>
        </is>
      </c>
      <c r="AA2" s="3" t="inlineStr">
        <is>
          <t>净利润(万相台)</t>
        </is>
      </c>
      <c r="AB2" s="3" t="inlineStr">
        <is>
          <t>净利率(万相台)</t>
        </is>
      </c>
      <c r="AC2" s="3" t="inlineStr">
        <is>
          <t>净利润(推广后)</t>
        </is>
      </c>
      <c r="AD2" s="3" t="inlineStr">
        <is>
          <t>净利率(推广后)</t>
        </is>
      </c>
    </row>
    <row r="3" ht="14.25" customHeight="1" s="69">
      <c r="A3" s="5" t="inlineStr">
        <is>
          <t>5.11-5.17</t>
        </is>
      </c>
      <c r="B3" s="5" t="inlineStr">
        <is>
          <t>5.11-5.17</t>
        </is>
      </c>
      <c r="C3" s="119" t="n">
        <v>668566625747</v>
      </c>
      <c r="D3" s="5" t="inlineStr">
        <is>
          <t>袋面主链接</t>
        </is>
      </c>
      <c r="E3" s="5" t="inlineStr">
        <is>
          <t>印尼营多捞面进口网红泡面袋装方便面速食食品拉面火鸡面拌面整箱</t>
        </is>
      </c>
      <c r="F3" s="7" t="n">
        <v>31185.6300000005</v>
      </c>
      <c r="G3" s="7">
        <f>IFERROR(F3/1.13,0)</f>
        <v/>
      </c>
      <c r="H3" s="5" t="n">
        <v>1220</v>
      </c>
      <c r="I3" s="8">
        <f>IFERROR(H3/SUMIF($A:$A,A3,$H:$H),0)</f>
        <v/>
      </c>
      <c r="J3" s="9">
        <f>IFERROR(F3/H3,0)</f>
        <v/>
      </c>
      <c r="K3" s="7" t="n">
        <v>5079.87248544559</v>
      </c>
      <c r="L3" s="7" t="n">
        <v>23465.1999014778</v>
      </c>
      <c r="M3" s="9">
        <f>IFERROR(L3/K3,0)</f>
        <v/>
      </c>
      <c r="N3" s="7" t="n">
        <v>554.763994626064</v>
      </c>
      <c r="O3" s="7" t="n">
        <v>1481.50779220779</v>
      </c>
      <c r="P3" s="9">
        <f>IFERROR(O3/N3,0)</f>
        <v/>
      </c>
      <c r="Q3" s="7">
        <f>K3+N3</f>
        <v/>
      </c>
      <c r="R3" s="7">
        <f>L3+O3</f>
        <v/>
      </c>
      <c r="S3" s="9">
        <f>IFERROR(R3/Q3,0)</f>
        <v/>
      </c>
      <c r="T3" s="8">
        <f>IFERROR(Q3/SUMIF($A:$A,A3,$Q:$Q),0)</f>
        <v/>
      </c>
      <c r="U3" s="8">
        <f>IFERROR(Q3/F3,0)</f>
        <v/>
      </c>
      <c r="V3" s="7">
        <f>F3-R3</f>
        <v/>
      </c>
      <c r="W3" s="8">
        <f>IFERROR(V3/F3,0)</f>
        <v/>
      </c>
      <c r="X3" s="7">
        <f>IFERROR(VLOOKUP(A3,周报其他费用!$A:$B,2,FALSE)*I3,0)</f>
        <v/>
      </c>
      <c r="Y3" s="7" t="n">
        <v>4205.25900000004</v>
      </c>
      <c r="Z3" s="8">
        <f>IFERROR(Y3/G3,0)</f>
        <v/>
      </c>
      <c r="AA3" s="7">
        <f>Y3-K3/1.06</f>
        <v/>
      </c>
      <c r="AB3" s="8">
        <f>IFERROR(AA3/G3,0)</f>
        <v/>
      </c>
      <c r="AC3" s="7">
        <f>Y3-(Q3+X3)/1.06</f>
        <v/>
      </c>
      <c r="AD3" s="8">
        <f>IFERROR(AC3/G3,0)</f>
        <v/>
      </c>
    </row>
    <row r="4" ht="14.25" customHeight="1" s="69">
      <c r="A4" s="5" t="inlineStr">
        <is>
          <t>5.11-5.17</t>
        </is>
      </c>
      <c r="B4" s="5" t="inlineStr">
        <is>
          <t>5.11-5.17</t>
        </is>
      </c>
      <c r="C4" s="119" t="n">
        <v>649361890551</v>
      </c>
      <c r="D4" s="5" t="inlineStr">
        <is>
          <t>袋面次链接</t>
        </is>
      </c>
      <c r="E4" s="5" t="inlineStr">
        <is>
          <t>营多捞面印尼进口Indomie网红夜宵早餐方便面火鸡面泡面拌面</t>
        </is>
      </c>
      <c r="F4" s="7" t="n">
        <v>28857.2400000006</v>
      </c>
      <c r="G4" s="7">
        <f>IFERROR(F4/1.13,0)</f>
        <v/>
      </c>
      <c r="H4" s="5" t="n">
        <v>1529</v>
      </c>
      <c r="I4" s="8">
        <f>IFERROR(H4/SUMIF($A:$A,A4,$H:$H),0)</f>
        <v/>
      </c>
      <c r="J4" s="9">
        <f>IFERROR(F4/H4,0)</f>
        <v/>
      </c>
      <c r="K4" s="7" t="n">
        <v>5008.24012315271</v>
      </c>
      <c r="L4" s="7" t="n">
        <v>25554.889679803</v>
      </c>
      <c r="M4" s="9">
        <f>IFERROR(L4/K4,0)</f>
        <v/>
      </c>
      <c r="N4" s="7" t="n">
        <v>695.273891625616</v>
      </c>
      <c r="O4" s="7" t="n">
        <v>1856.74214285714</v>
      </c>
      <c r="P4" s="9">
        <f>IFERROR(O4/N4,0)</f>
        <v/>
      </c>
      <c r="Q4" s="7">
        <f>K4+N4</f>
        <v/>
      </c>
      <c r="R4" s="7">
        <f>L4+O4</f>
        <v/>
      </c>
      <c r="S4" s="9">
        <f>IFERROR(R4/Q4,0)</f>
        <v/>
      </c>
      <c r="T4" s="8">
        <f>IFERROR(Q4/SUMIF($A:$A,A4,$Q:$Q),0)</f>
        <v/>
      </c>
      <c r="U4" s="8">
        <f>IFERROR(Q4/F4,0)</f>
        <v/>
      </c>
      <c r="V4" s="7">
        <f>F4-R4</f>
        <v/>
      </c>
      <c r="W4" s="8">
        <f>IFERROR(V4/F4,0)</f>
        <v/>
      </c>
      <c r="X4" s="7">
        <f>IFERROR(VLOOKUP(A4,周报其他费用!$A:$B,2,FALSE)*I4,0)</f>
        <v/>
      </c>
      <c r="Y4" s="7" t="n">
        <v>2532.806</v>
      </c>
      <c r="Z4" s="8">
        <f>IFERROR(Y4/G4,0)</f>
        <v/>
      </c>
      <c r="AA4" s="7">
        <f>Y4-K4/1.06</f>
        <v/>
      </c>
      <c r="AB4" s="8">
        <f>IFERROR(AA4/G4,0)</f>
        <v/>
      </c>
      <c r="AC4" s="7">
        <f>Y4-(Q4+X4)/1.06</f>
        <v/>
      </c>
      <c r="AD4" s="8">
        <f>IFERROR(AC4/G4,0)</f>
        <v/>
      </c>
    </row>
    <row r="5" ht="14.25" customHeight="1" s="69">
      <c r="A5" s="5" t="inlineStr">
        <is>
          <t>5.11-5.17</t>
        </is>
      </c>
      <c r="B5" s="5" t="inlineStr">
        <is>
          <t>5.11-5.17</t>
        </is>
      </c>
      <c r="C5" s="119" t="n">
        <v>649735171438</v>
      </c>
      <c r="D5" s="5" t="inlineStr">
        <is>
          <t>杯面主链接</t>
        </is>
      </c>
      <c r="E5" s="5" t="inlineStr">
        <is>
          <t>印尼进口indomie营多捞面杯面速食泡面干拌面盒桶装方便面火鸡面</t>
        </is>
      </c>
      <c r="F5" s="7" t="n">
        <v>20499.86</v>
      </c>
      <c r="G5" s="7">
        <f>IFERROR(F5/1.13,0)</f>
        <v/>
      </c>
      <c r="H5" s="5" t="n">
        <v>803</v>
      </c>
      <c r="I5" s="8">
        <f>IFERROR(H5/SUMIF($A:$A,A5,$H:$H),0)</f>
        <v/>
      </c>
      <c r="J5" s="9">
        <f>IFERROR(F5/H5,0)</f>
        <v/>
      </c>
      <c r="K5" s="7" t="n">
        <v>3146.96790640394</v>
      </c>
      <c r="L5" s="7" t="n">
        <v>13817.9254433498</v>
      </c>
      <c r="M5" s="9">
        <f>IFERROR(L5/K5,0)</f>
        <v/>
      </c>
      <c r="N5" s="7" t="n">
        <v>365.143842364532</v>
      </c>
      <c r="O5" s="7" t="n">
        <v>975.123571428571</v>
      </c>
      <c r="P5" s="9">
        <f>IFERROR(O5/N5,0)</f>
        <v/>
      </c>
      <c r="Q5" s="7">
        <f>K5+N5</f>
        <v/>
      </c>
      <c r="R5" s="7">
        <f>L5+O5</f>
        <v/>
      </c>
      <c r="S5" s="9">
        <f>IFERROR(R5/Q5,0)</f>
        <v/>
      </c>
      <c r="T5" s="8">
        <f>IFERROR(Q5/SUMIF($A:$A,A5,$Q:$Q),0)</f>
        <v/>
      </c>
      <c r="U5" s="8">
        <f>IFERROR(Q5/F5,0)</f>
        <v/>
      </c>
      <c r="V5" s="7">
        <f>F5-R5</f>
        <v/>
      </c>
      <c r="W5" s="8">
        <f>IFERROR(V5/F5,0)</f>
        <v/>
      </c>
      <c r="X5" s="7">
        <f>IFERROR(VLOOKUP(A5,周报其他费用!$A:$B,2,FALSE)*I5,0)</f>
        <v/>
      </c>
      <c r="Y5" s="7" t="n">
        <v>2323.975</v>
      </c>
      <c r="Z5" s="8">
        <f>IFERROR(Y5/G5,0)</f>
        <v/>
      </c>
      <c r="AA5" s="7">
        <f>Y5-K5/1.06</f>
        <v/>
      </c>
      <c r="AB5" s="8">
        <f>IFERROR(AA5/G5,0)</f>
        <v/>
      </c>
      <c r="AC5" s="7">
        <f>Y5-(Q5+X5)/1.06</f>
        <v/>
      </c>
      <c r="AD5" s="8">
        <f>IFERROR(AC5/G5,0)</f>
        <v/>
      </c>
    </row>
    <row r="6" ht="14.25" customHeight="1" s="69">
      <c r="A6" s="5" t="inlineStr">
        <is>
          <t>5.11-5.17</t>
        </is>
      </c>
      <c r="B6" s="5" t="inlineStr">
        <is>
          <t>5.11-5.17</t>
        </is>
      </c>
      <c r="C6" s="119" t="n">
        <v>648600900806</v>
      </c>
      <c r="D6" s="5" t="inlineStr">
        <is>
          <t>30包</t>
        </is>
      </c>
      <c r="E6" s="5" t="inlineStr">
        <is>
          <t>进口营多捞面一整箱30包网红速食方便面宿舍速食泡面干拌面拉面</t>
        </is>
      </c>
      <c r="F6" s="7" t="n">
        <v>10599.77</v>
      </c>
      <c r="G6" s="7">
        <f>IFERROR(F6/1.13,0)</f>
        <v/>
      </c>
      <c r="H6" s="5" t="n">
        <v>154</v>
      </c>
      <c r="I6" s="8">
        <f>IFERROR(H6/SUMIF($A:$A,A6,$H:$H),0)</f>
        <v/>
      </c>
      <c r="J6" s="9">
        <f>IFERROR(F6/H6,0)</f>
        <v/>
      </c>
      <c r="K6" s="7" t="n">
        <v>2033.34137931035</v>
      </c>
      <c r="L6" s="7" t="n">
        <v>10437.7624137931</v>
      </c>
      <c r="M6" s="9">
        <f>IFERROR(L6/K6,0)</f>
        <v/>
      </c>
      <c r="N6" s="7" t="n">
        <v>70.0275862068965</v>
      </c>
      <c r="O6" s="7" t="n">
        <v>187.01</v>
      </c>
      <c r="P6" s="9">
        <f>IFERROR(O6/N6,0)</f>
        <v/>
      </c>
      <c r="Q6" s="7">
        <f>K6+N6</f>
        <v/>
      </c>
      <c r="R6" s="7">
        <f>L6+O6</f>
        <v/>
      </c>
      <c r="S6" s="9">
        <f>IFERROR(R6/Q6,0)</f>
        <v/>
      </c>
      <c r="T6" s="8">
        <f>IFERROR(Q6/SUMIF($A:$A,A6,$Q:$Q),0)</f>
        <v/>
      </c>
      <c r="U6" s="8">
        <f>IFERROR(Q6/F6,0)</f>
        <v/>
      </c>
      <c r="V6" s="7">
        <f>F6-R6</f>
        <v/>
      </c>
      <c r="W6" s="8">
        <f>IFERROR(V6/F6,0)</f>
        <v/>
      </c>
      <c r="X6" s="7">
        <f>IFERROR(VLOOKUP(A6,周报其他费用!$A:$B,2,FALSE)*I6,0)</f>
        <v/>
      </c>
      <c r="Y6" s="7" t="n">
        <v>2022.481</v>
      </c>
      <c r="Z6" s="8">
        <f>IFERROR(Y6/G6,0)</f>
        <v/>
      </c>
      <c r="AA6" s="7">
        <f>Y6-K6/1.06</f>
        <v/>
      </c>
      <c r="AB6" s="8">
        <f>IFERROR(AA6/G6,0)</f>
        <v/>
      </c>
      <c r="AC6" s="7">
        <f>Y6-(Q6+X6)/1.06</f>
        <v/>
      </c>
      <c r="AD6" s="8">
        <f>IFERROR(AC6/G6,0)</f>
        <v/>
      </c>
    </row>
    <row r="7" ht="14.25" customHeight="1" s="69">
      <c r="A7" s="5" t="inlineStr">
        <is>
          <t>5.11-5.17</t>
        </is>
      </c>
      <c r="B7" s="5" t="inlineStr">
        <is>
          <t>5.11-5.17</t>
        </is>
      </c>
      <c r="C7" s="119" t="n">
        <v>649014937782</v>
      </c>
      <c r="D7" s="5" t="inlineStr">
        <is>
          <t>24包</t>
        </is>
      </c>
      <c r="E7" s="5" t="inlineStr">
        <is>
          <t>印尼营多捞面干拌面一整箱24袋装批发泡面宿舍速食方便面火鸡面</t>
        </is>
      </c>
      <c r="F7" s="7" t="n">
        <v>7533.85</v>
      </c>
      <c r="G7" s="7">
        <f>IFERROR(F7/1.13,0)</f>
        <v/>
      </c>
      <c r="H7" s="5" t="n">
        <v>133</v>
      </c>
      <c r="I7" s="8">
        <f>IFERROR(H7/SUMIF($A:$A,A7,$H:$H),0)</f>
        <v/>
      </c>
      <c r="J7" s="9">
        <f>IFERROR(F7/H7,0)</f>
        <v/>
      </c>
      <c r="K7" s="7" t="n">
        <v>1581.3889184953</v>
      </c>
      <c r="L7" s="7" t="n">
        <v>7074.84844827586</v>
      </c>
      <c r="M7" s="9">
        <f>IFERROR(L7/K7,0)</f>
        <v/>
      </c>
      <c r="N7" s="7" t="n">
        <v>60.4783699059561</v>
      </c>
      <c r="O7" s="7" t="n">
        <v>161.508636363636</v>
      </c>
      <c r="P7" s="9">
        <f>IFERROR(O7/N7,0)</f>
        <v/>
      </c>
      <c r="Q7" s="7">
        <f>K7+N7</f>
        <v/>
      </c>
      <c r="R7" s="7">
        <f>L7+O7</f>
        <v/>
      </c>
      <c r="S7" s="9">
        <f>IFERROR(R7/Q7,0)</f>
        <v/>
      </c>
      <c r="T7" s="8">
        <f>IFERROR(Q7/SUMIF($A:$A,A7,$Q:$Q),0)</f>
        <v/>
      </c>
      <c r="U7" s="8">
        <f>IFERROR(Q7/F7,0)</f>
        <v/>
      </c>
      <c r="V7" s="7">
        <f>F7-R7</f>
        <v/>
      </c>
      <c r="W7" s="8">
        <f>IFERROR(V7/F7,0)</f>
        <v/>
      </c>
      <c r="X7" s="7">
        <f>IFERROR(VLOOKUP(A7,周报其他费用!$A:$B,2,FALSE)*I7,0)</f>
        <v/>
      </c>
      <c r="Y7" s="7" t="n">
        <v>1486.131</v>
      </c>
      <c r="Z7" s="8">
        <f>IFERROR(Y7/G7,0)</f>
        <v/>
      </c>
      <c r="AA7" s="7">
        <f>Y7-K7/1.06</f>
        <v/>
      </c>
      <c r="AB7" s="8">
        <f>IFERROR(AA7/G7,0)</f>
        <v/>
      </c>
      <c r="AC7" s="7">
        <f>Y7-(Q7+X7)/1.06</f>
        <v/>
      </c>
      <c r="AD7" s="8">
        <f>IFERROR(AC7/G7,0)</f>
        <v/>
      </c>
    </row>
    <row r="8" ht="14.25" customHeight="1" s="69">
      <c r="A8" s="5" t="inlineStr">
        <is>
          <t>5.11-5.17</t>
        </is>
      </c>
      <c r="B8" s="5" t="inlineStr">
        <is>
          <t>5.11-5.17</t>
        </is>
      </c>
      <c r="C8" s="119" t="n">
        <v>648598580775</v>
      </c>
      <c r="D8" s="5" t="inlineStr">
        <is>
          <t>15包</t>
        </is>
      </c>
      <c r="E8" s="5" t="inlineStr">
        <is>
          <t>进口营多捞面15包Indomie方便面干拌面夜宵方便速食五连包85g*5</t>
        </is>
      </c>
      <c r="F8" s="7" t="n">
        <v>6101.89999999999</v>
      </c>
      <c r="G8" s="7">
        <f>IFERROR(F8/1.13,0)</f>
        <v/>
      </c>
      <c r="H8" s="5" t="n">
        <v>165</v>
      </c>
      <c r="I8" s="8">
        <f>IFERROR(H8/SUMIF($A:$A,A8,$H:$H),0)</f>
        <v/>
      </c>
      <c r="J8" s="9">
        <f>IFERROR(F8/H8,0)</f>
        <v/>
      </c>
      <c r="K8" s="7" t="n">
        <v>1044.73504926108</v>
      </c>
      <c r="L8" s="7" t="n">
        <v>4769.42687192118</v>
      </c>
      <c r="M8" s="9">
        <f>IFERROR(L8/K8,0)</f>
        <v/>
      </c>
      <c r="N8" s="7" t="n">
        <v>75.02955665024631</v>
      </c>
      <c r="O8" s="7" t="n">
        <v>200.367857142857</v>
      </c>
      <c r="P8" s="9">
        <f>IFERROR(O8/N8,0)</f>
        <v/>
      </c>
      <c r="Q8" s="7">
        <f>K8+N8</f>
        <v/>
      </c>
      <c r="R8" s="7">
        <f>L8+O8</f>
        <v/>
      </c>
      <c r="S8" s="9">
        <f>IFERROR(R8/Q8,0)</f>
        <v/>
      </c>
      <c r="T8" s="8">
        <f>IFERROR(Q8/SUMIF($A:$A,A8,$Q:$Q),0)</f>
        <v/>
      </c>
      <c r="U8" s="8">
        <f>IFERROR(Q8/F8,0)</f>
        <v/>
      </c>
      <c r="V8" s="7">
        <f>F8-R8</f>
        <v/>
      </c>
      <c r="W8" s="8">
        <f>IFERROR(V8/F8,0)</f>
        <v/>
      </c>
      <c r="X8" s="7">
        <f>IFERROR(VLOOKUP(A8,周报其他费用!$A:$B,2,FALSE)*I8,0)</f>
        <v/>
      </c>
      <c r="Y8" s="7" t="n">
        <v>1116.138</v>
      </c>
      <c r="Z8" s="8">
        <f>IFERROR(Y8/G8,0)</f>
        <v/>
      </c>
      <c r="AA8" s="7">
        <f>Y8-K8/1.06</f>
        <v/>
      </c>
      <c r="AB8" s="8">
        <f>IFERROR(AA8/G8,0)</f>
        <v/>
      </c>
      <c r="AC8" s="7">
        <f>Y8-(Q8+X8)/1.06</f>
        <v/>
      </c>
      <c r="AD8" s="8">
        <f>IFERROR(AC8/G8,0)</f>
        <v/>
      </c>
    </row>
    <row r="9" ht="14.25" customHeight="1" s="69">
      <c r="A9" s="5" t="inlineStr">
        <is>
          <t>5.11-5.17</t>
        </is>
      </c>
      <c r="B9" s="5" t="inlineStr">
        <is>
          <t>5.11-5.17</t>
        </is>
      </c>
      <c r="C9" s="119" t="n">
        <v>766165464414</v>
      </c>
      <c r="D9" s="5" t="inlineStr">
        <is>
          <t>12包</t>
        </is>
      </c>
      <c r="E9" s="5" t="inlineStr">
        <is>
          <t>营多印尼进口营多捞面方便面火鸡面干拌面12包宿舍速食泡面夜宵</t>
        </is>
      </c>
      <c r="F9" s="7" t="n">
        <v>4330.8</v>
      </c>
      <c r="G9" s="7">
        <f>IFERROR(F9/1.13,0)</f>
        <v/>
      </c>
      <c r="H9" s="5" t="n">
        <v>146</v>
      </c>
      <c r="I9" s="8">
        <f>IFERROR(H9/SUMIF($A:$A,A9,$H:$H),0)</f>
        <v/>
      </c>
      <c r="J9" s="9">
        <f>IFERROR(F9/H9,0)</f>
        <v/>
      </c>
      <c r="K9" s="7" t="n">
        <v>459.942346618898</v>
      </c>
      <c r="L9" s="7" t="n">
        <v>2383.22280788177</v>
      </c>
      <c r="M9" s="9">
        <f>IFERROR(L9/K9,0)</f>
        <v/>
      </c>
      <c r="N9" s="7" t="n">
        <v>66.389789520824</v>
      </c>
      <c r="O9" s="7" t="n">
        <v>177.295194805195</v>
      </c>
      <c r="P9" s="9">
        <f>IFERROR(O9/N9,0)</f>
        <v/>
      </c>
      <c r="Q9" s="7">
        <f>K9+N9</f>
        <v/>
      </c>
      <c r="R9" s="7">
        <f>L9+O9</f>
        <v/>
      </c>
      <c r="S9" s="9">
        <f>IFERROR(R9/Q9,0)</f>
        <v/>
      </c>
      <c r="T9" s="8">
        <f>IFERROR(Q9/SUMIF($A:$A,A9,$Q:$Q),0)</f>
        <v/>
      </c>
      <c r="U9" s="8">
        <f>IFERROR(Q9/F9,0)</f>
        <v/>
      </c>
      <c r="V9" s="7">
        <f>F9-R9</f>
        <v/>
      </c>
      <c r="W9" s="8">
        <f>IFERROR(V9/F9,0)</f>
        <v/>
      </c>
      <c r="X9" s="7">
        <f>IFERROR(VLOOKUP(A9,周报其他费用!$A:$B,2,FALSE)*I9,0)</f>
        <v/>
      </c>
      <c r="Y9" s="7" t="n">
        <v>647.268</v>
      </c>
      <c r="Z9" s="8">
        <f>IFERROR(Y9/G9,0)</f>
        <v/>
      </c>
      <c r="AA9" s="7">
        <f>Y9-K9/1.06</f>
        <v/>
      </c>
      <c r="AB9" s="8">
        <f>IFERROR(AA9/G9,0)</f>
        <v/>
      </c>
      <c r="AC9" s="7">
        <f>Y9-(Q9+X9)/1.06</f>
        <v/>
      </c>
      <c r="AD9" s="8">
        <f>IFERROR(AC9/G9,0)</f>
        <v/>
      </c>
    </row>
    <row r="10" ht="14.25" customHeight="1" s="69">
      <c r="A10" s="5" t="inlineStr">
        <is>
          <t>5.11-5.17</t>
        </is>
      </c>
      <c r="B10" s="5" t="inlineStr">
        <is>
          <t>5.11-5.17</t>
        </is>
      </c>
      <c r="C10" s="119" t="n">
        <v>735014804839</v>
      </c>
      <c r="D10" s="5" t="inlineStr">
        <is>
          <t>24/30包</t>
        </is>
      </c>
      <c r="E10" s="5" t="inlineStr">
        <is>
          <t>进口营多捞面多口味Indomie网红方便面干拌面泡面30包整箱批发面</t>
        </is>
      </c>
      <c r="F10" s="7" t="n">
        <v>2118.55</v>
      </c>
      <c r="G10" s="7">
        <f>IFERROR(F10/1.13,0)</f>
        <v/>
      </c>
      <c r="H10" s="5" t="n">
        <v>31</v>
      </c>
      <c r="I10" s="8">
        <f>IFERROR(H10/SUMIF($A:$A,A10,$H:$H),0)</f>
        <v/>
      </c>
      <c r="J10" s="9">
        <f>IFERROR(F10/H10,0)</f>
        <v/>
      </c>
      <c r="K10" s="7" t="n">
        <v>471.451251679355</v>
      </c>
      <c r="L10" s="7" t="n">
        <v>1689.0334729064</v>
      </c>
      <c r="M10" s="9">
        <f>IFERROR(L10/K10,0)</f>
        <v/>
      </c>
      <c r="N10" s="7" t="n">
        <v>14.0964621585311</v>
      </c>
      <c r="O10" s="7" t="n">
        <v>37.6448701298701</v>
      </c>
      <c r="P10" s="9">
        <f>IFERROR(O10/N10,0)</f>
        <v/>
      </c>
      <c r="Q10" s="7">
        <f>K10+N10</f>
        <v/>
      </c>
      <c r="R10" s="7">
        <f>L10+O10</f>
        <v/>
      </c>
      <c r="S10" s="9">
        <f>IFERROR(R10/Q10,0)</f>
        <v/>
      </c>
      <c r="T10" s="8">
        <f>IFERROR(Q10/SUMIF($A:$A,A10,$Q:$Q),0)</f>
        <v/>
      </c>
      <c r="U10" s="8">
        <f>IFERROR(Q10/F10,0)</f>
        <v/>
      </c>
      <c r="V10" s="7">
        <f>F10-R10</f>
        <v/>
      </c>
      <c r="W10" s="8">
        <f>IFERROR(V10/F10,0)</f>
        <v/>
      </c>
      <c r="X10" s="7">
        <f>IFERROR(VLOOKUP(A10,周报其他费用!$A:$B,2,FALSE)*I10,0)</f>
        <v/>
      </c>
      <c r="Y10" s="7" t="n">
        <v>422.008</v>
      </c>
      <c r="Z10" s="8">
        <f>IFERROR(Y10/G10,0)</f>
        <v/>
      </c>
      <c r="AA10" s="7">
        <f>Y10-K10/1.06</f>
        <v/>
      </c>
      <c r="AB10" s="8">
        <f>IFERROR(AA10/G10,0)</f>
        <v/>
      </c>
      <c r="AC10" s="7">
        <f>Y10-(Q10+X10)/1.06</f>
        <v/>
      </c>
      <c r="AD10" s="8">
        <f>IFERROR(AC10/G10,0)</f>
        <v/>
      </c>
    </row>
    <row r="11" ht="14.25" customHeight="1" s="69">
      <c r="A11" s="5" t="inlineStr">
        <is>
          <t>5.11-5.17</t>
        </is>
      </c>
      <c r="B11" s="5" t="inlineStr">
        <is>
          <t>5.11-5.17</t>
        </is>
      </c>
      <c r="C11" s="119" t="n">
        <v>649369494424</v>
      </c>
      <c r="D11" s="5" t="inlineStr">
        <is>
          <t>24包经典/牛系列</t>
        </is>
      </c>
      <c r="E11" s="5" t="inlineStr">
        <is>
          <t>营多捞面干拌面一整箱24袋装批发泡面混搭宿舍速食方便面火鸡面</t>
        </is>
      </c>
      <c r="F11" s="7" t="n">
        <v>1718.31</v>
      </c>
      <c r="G11" s="7">
        <f>IFERROR(F11/1.13,0)</f>
        <v/>
      </c>
      <c r="H11" s="5" t="n">
        <v>31</v>
      </c>
      <c r="I11" s="8">
        <f>IFERROR(H11/SUMIF($A:$A,A11,$H:$H),0)</f>
        <v/>
      </c>
      <c r="J11" s="9">
        <f>IFERROR(F11/H11,0)</f>
        <v/>
      </c>
      <c r="K11" s="7" t="n">
        <v>214.931251679355</v>
      </c>
      <c r="L11" s="7" t="n">
        <v>812.643472906404</v>
      </c>
      <c r="M11" s="9">
        <f>IFERROR(L11/K11,0)</f>
        <v/>
      </c>
      <c r="N11" s="7" t="n">
        <v>14.0964621585311</v>
      </c>
      <c r="O11" s="7" t="n">
        <v>37.6448701298701</v>
      </c>
      <c r="P11" s="9">
        <f>IFERROR(O11/N11,0)</f>
        <v/>
      </c>
      <c r="Q11" s="7">
        <f>K11+N11</f>
        <v/>
      </c>
      <c r="R11" s="7">
        <f>L11+O11</f>
        <v/>
      </c>
      <c r="S11" s="9">
        <f>IFERROR(R11/Q11,0)</f>
        <v/>
      </c>
      <c r="T11" s="8">
        <f>IFERROR(Q11/SUMIF($A:$A,A11,$Q:$Q),0)</f>
        <v/>
      </c>
      <c r="U11" s="8">
        <f>IFERROR(Q11/F11,0)</f>
        <v/>
      </c>
      <c r="V11" s="7">
        <f>F11-R11</f>
        <v/>
      </c>
      <c r="W11" s="8">
        <f>IFERROR(V11/F11,0)</f>
        <v/>
      </c>
      <c r="X11" s="7">
        <f>IFERROR(VLOOKUP(A11,周报其他费用!$A:$B,2,FALSE)*I11,0)</f>
        <v/>
      </c>
      <c r="Y11" s="7" t="n">
        <v>325.027</v>
      </c>
      <c r="Z11" s="8">
        <f>IFERROR(Y11/G11,0)</f>
        <v/>
      </c>
      <c r="AA11" s="7">
        <f>Y11-K11/1.06</f>
        <v/>
      </c>
      <c r="AB11" s="8">
        <f>IFERROR(AA11/G11,0)</f>
        <v/>
      </c>
      <c r="AC11" s="7">
        <f>Y11-(Q11+X11)/1.06</f>
        <v/>
      </c>
      <c r="AD11" s="8">
        <f>IFERROR(AC11/G11,0)</f>
        <v/>
      </c>
    </row>
    <row r="12" ht="14.25" customHeight="1" s="69">
      <c r="A12" s="5" t="inlineStr">
        <is>
          <t>5.11-5.17</t>
        </is>
      </c>
      <c r="B12" s="5" t="inlineStr">
        <is>
          <t>5.11-5.17</t>
        </is>
      </c>
      <c r="C12" s="119" t="n">
        <v>929504658691</v>
      </c>
      <c r="D12" s="5" t="inlineStr">
        <is>
          <t>日式袋面</t>
        </is>
      </c>
      <c r="E12" s="5" t="inlineStr">
        <is>
          <t>营多捞面日式鸡肉汤面原味辛辣味袋装泡面方便面速食宿舍夜宵食品</t>
        </is>
      </c>
      <c r="F12" s="7" t="n">
        <v>626.3200000000001</v>
      </c>
      <c r="G12" s="7">
        <f>IFERROR(F12/1.13,0)</f>
        <v/>
      </c>
      <c r="H12" s="5" t="n">
        <v>24</v>
      </c>
      <c r="I12" s="8">
        <f>IFERROR(H12/SUMIF($A:$A,A12,$H:$H),0)</f>
        <v/>
      </c>
      <c r="J12" s="9">
        <f>IFERROR(F12/H12,0)</f>
        <v/>
      </c>
      <c r="K12" s="7" t="n">
        <v>163.457098074339</v>
      </c>
      <c r="L12" s="7" t="n">
        <v>502.40881773399</v>
      </c>
      <c r="M12" s="9">
        <f>IFERROR(L12/K12,0)</f>
        <v/>
      </c>
      <c r="N12" s="7" t="n">
        <v>10.9133900582176</v>
      </c>
      <c r="O12" s="7" t="n">
        <v>29.1444155844156</v>
      </c>
      <c r="P12" s="9">
        <f>IFERROR(O12/N12,0)</f>
        <v/>
      </c>
      <c r="Q12" s="7">
        <f>K12+N12</f>
        <v/>
      </c>
      <c r="R12" s="7">
        <f>L12+O12</f>
        <v/>
      </c>
      <c r="S12" s="9">
        <f>IFERROR(R12/Q12,0)</f>
        <v/>
      </c>
      <c r="T12" s="8">
        <f>IFERROR(Q12/SUMIF($A:$A,A12,$Q:$Q),0)</f>
        <v/>
      </c>
      <c r="U12" s="8">
        <f>IFERROR(Q12/F12,0)</f>
        <v/>
      </c>
      <c r="V12" s="7">
        <f>F12-R12</f>
        <v/>
      </c>
      <c r="W12" s="8">
        <f>IFERROR(V12/F12,0)</f>
        <v/>
      </c>
      <c r="X12" s="7">
        <f>IFERROR(VLOOKUP(A12,周报其他费用!$A:$B,2,FALSE)*I12,0)</f>
        <v/>
      </c>
      <c r="Y12" s="7" t="n">
        <v>110.142</v>
      </c>
      <c r="Z12" s="8">
        <f>IFERROR(Y12/G12,0)</f>
        <v/>
      </c>
      <c r="AA12" s="7">
        <f>Y12-K12/1.06</f>
        <v/>
      </c>
      <c r="AB12" s="8">
        <f>IFERROR(AA12/G12,0)</f>
        <v/>
      </c>
      <c r="AC12" s="7">
        <f>Y12-(Q12+X12)/1.06</f>
        <v/>
      </c>
      <c r="AD12" s="8">
        <f>IFERROR(AC12/G12,0)</f>
        <v/>
      </c>
    </row>
    <row r="13" ht="14.25" customHeight="1" s="69">
      <c r="A13" s="5" t="inlineStr">
        <is>
          <t>5.11-5.17</t>
        </is>
      </c>
      <c r="B13" s="5" t="inlineStr">
        <is>
          <t>5.11-5.17</t>
        </is>
      </c>
      <c r="C13" s="119" t="n">
        <v>648681860568</v>
      </c>
      <c r="D13" s="5" t="inlineStr">
        <is>
          <t>杯面次链接</t>
        </is>
      </c>
      <c r="E13" s="5" t="inlineStr">
        <is>
          <t>营多捞面杯装方便面泡面速食干拌面原味整箱批发印尼进口桶装拌面</t>
        </is>
      </c>
      <c r="F13" s="7" t="n">
        <v>1000.29</v>
      </c>
      <c r="G13" s="7">
        <f>IFERROR(F13/1.13,0)</f>
        <v/>
      </c>
      <c r="H13" s="5" t="n">
        <v>41</v>
      </c>
      <c r="I13" s="8">
        <f>IFERROR(H13/SUMIF($A:$A,A13,$H:$H),0)</f>
        <v/>
      </c>
      <c r="J13" s="9">
        <f>IFERROR(F13/H13,0)</f>
        <v/>
      </c>
      <c r="K13" s="7" t="n">
        <v>171.610042543663</v>
      </c>
      <c r="L13" s="7" t="n">
        <v>836.272980295567</v>
      </c>
      <c r="M13" s="9">
        <f>IFERROR(L13/K13,0)</f>
        <v/>
      </c>
      <c r="N13" s="7" t="n">
        <v>18.6437080161218</v>
      </c>
      <c r="O13" s="7" t="n">
        <v>49.7883766233766</v>
      </c>
      <c r="P13" s="9">
        <f>IFERROR(O13/N13,0)</f>
        <v/>
      </c>
      <c r="Q13" s="7">
        <f>K13+N13</f>
        <v/>
      </c>
      <c r="R13" s="7">
        <f>L13+O13</f>
        <v/>
      </c>
      <c r="S13" s="9">
        <f>IFERROR(R13/Q13,0)</f>
        <v/>
      </c>
      <c r="T13" s="8">
        <f>IFERROR(Q13/SUMIF($A:$A,A13,$Q:$Q),0)</f>
        <v/>
      </c>
      <c r="U13" s="8">
        <f>IFERROR(Q13/F13,0)</f>
        <v/>
      </c>
      <c r="V13" s="7">
        <f>F13-R13</f>
        <v/>
      </c>
      <c r="W13" s="8">
        <f>IFERROR(V13/F13,0)</f>
        <v/>
      </c>
      <c r="X13" s="7">
        <f>IFERROR(VLOOKUP(A13,周报其他费用!$A:$B,2,FALSE)*I13,0)</f>
        <v/>
      </c>
      <c r="Y13" s="7" t="n">
        <v>101.013</v>
      </c>
      <c r="Z13" s="8">
        <f>IFERROR(Y13/G13,0)</f>
        <v/>
      </c>
      <c r="AA13" s="7">
        <f>Y13-K13/1.06</f>
        <v/>
      </c>
      <c r="AB13" s="8">
        <f>IFERROR(AA13/G13,0)</f>
        <v/>
      </c>
      <c r="AC13" s="7">
        <f>Y13-(Q13+X13)/1.06</f>
        <v/>
      </c>
      <c r="AD13" s="8">
        <f>IFERROR(AC13/G13,0)</f>
        <v/>
      </c>
    </row>
    <row r="14" ht="14.25" customHeight="1" s="69">
      <c r="A14" s="5" t="inlineStr">
        <is>
          <t>5.11-5.17</t>
        </is>
      </c>
      <c r="B14" s="5" t="inlineStr">
        <is>
          <t>5.11-5.17</t>
        </is>
      </c>
      <c r="C14" s="119" t="n">
        <v>937005385662</v>
      </c>
      <c r="D14" s="5" t="inlineStr">
        <is>
          <t>日式袋面</t>
        </is>
      </c>
      <c r="E14" s="5" t="inlineStr">
        <is>
          <t>进口营多正品捞面日式鸡肉鸡汤辛辣味袋装泡面辣味速食方便面汤面</t>
        </is>
      </c>
      <c r="F14" s="7" t="n">
        <v>425.12</v>
      </c>
      <c r="G14" s="7">
        <f>IFERROR(F14/1.13,0)</f>
        <v/>
      </c>
      <c r="H14" s="5" t="n">
        <v>19</v>
      </c>
      <c r="I14" s="8">
        <f>IFERROR(H14/SUMIF($A:$A,A14,$H:$H),0)</f>
        <v/>
      </c>
      <c r="J14" s="9">
        <f>IFERROR(F14/H14,0)</f>
        <v/>
      </c>
      <c r="K14" s="7" t="n">
        <v>181.772702642185</v>
      </c>
      <c r="L14" s="7" t="n">
        <v>397.104064039409</v>
      </c>
      <c r="M14" s="9">
        <f>IFERROR(L14/K14,0)</f>
        <v/>
      </c>
      <c r="N14" s="7" t="n">
        <v>8.6397671294223</v>
      </c>
      <c r="O14" s="7" t="n">
        <v>23.0726623376623</v>
      </c>
      <c r="P14" s="9">
        <f>IFERROR(O14/N14,0)</f>
        <v/>
      </c>
      <c r="Q14" s="7">
        <f>K14+N14</f>
        <v/>
      </c>
      <c r="R14" s="7">
        <f>L14+O14</f>
        <v/>
      </c>
      <c r="S14" s="9">
        <f>IFERROR(R14/Q14,0)</f>
        <v/>
      </c>
      <c r="T14" s="8">
        <f>IFERROR(Q14/SUMIF($A:$A,A14,$Q:$Q),0)</f>
        <v/>
      </c>
      <c r="U14" s="8">
        <f>IFERROR(Q14/F14,0)</f>
        <v/>
      </c>
      <c r="V14" s="7">
        <f>F14-R14</f>
        <v/>
      </c>
      <c r="W14" s="8">
        <f>IFERROR(V14/F14,0)</f>
        <v/>
      </c>
      <c r="X14" s="7">
        <f>IFERROR(VLOOKUP(A14,周报其他费用!$A:$B,2,FALSE)*I14,0)</f>
        <v/>
      </c>
      <c r="Y14" s="7" t="n">
        <v>75.032</v>
      </c>
      <c r="Z14" s="8">
        <f>IFERROR(Y14/G14,0)</f>
        <v/>
      </c>
      <c r="AA14" s="7">
        <f>Y14-K14/1.06</f>
        <v/>
      </c>
      <c r="AB14" s="8">
        <f>IFERROR(AA14/G14,0)</f>
        <v/>
      </c>
      <c r="AC14" s="7">
        <f>Y14-(Q14+X14)/1.06</f>
        <v/>
      </c>
      <c r="AD14" s="8">
        <f>IFERROR(AC14/G14,0)</f>
        <v/>
      </c>
    </row>
    <row r="15" ht="14.25" customHeight="1" s="69">
      <c r="A15" s="5" t="inlineStr">
        <is>
          <t>5.11-5.17</t>
        </is>
      </c>
      <c r="B15" s="5" t="inlineStr">
        <is>
          <t>5.11-5.17</t>
        </is>
      </c>
      <c r="C15" s="119" t="n">
        <v>969433743398</v>
      </c>
      <c r="D15" s="5" t="inlineStr">
        <is>
          <t>韩蘑菇</t>
        </is>
      </c>
      <c r="E15" s="5" t="inlineStr">
        <is>
          <t>新品营多捞面韩式辣蘑菇汤面泡面方便面速食干拌面宿舍宵夜旅行</t>
        </is>
      </c>
      <c r="F15" s="7" t="n">
        <v>495.56</v>
      </c>
      <c r="G15" s="7">
        <f>IFERROR(F15/1.13,0)</f>
        <v/>
      </c>
      <c r="H15" s="5" t="n">
        <v>23</v>
      </c>
      <c r="I15" s="8">
        <f>IFERROR(H15/SUMIF($A:$A,A15,$H:$H),0)</f>
        <v/>
      </c>
      <c r="J15" s="9">
        <f>IFERROR(F15/H15,0)</f>
        <v/>
      </c>
      <c r="K15" s="7" t="n">
        <v>141.192218987909</v>
      </c>
      <c r="L15" s="7" t="n">
        <v>387.793866995074</v>
      </c>
      <c r="M15" s="9">
        <f>IFERROR(L15/K15,0)</f>
        <v/>
      </c>
      <c r="N15" s="7" t="n">
        <v>10.4586654724586</v>
      </c>
      <c r="O15" s="7" t="n">
        <v>27.9300649350649</v>
      </c>
      <c r="P15" s="9">
        <f>IFERROR(O15/N15,0)</f>
        <v/>
      </c>
      <c r="Q15" s="7">
        <f>K15+N15</f>
        <v/>
      </c>
      <c r="R15" s="7">
        <f>L15+O15</f>
        <v/>
      </c>
      <c r="S15" s="9">
        <f>IFERROR(R15/Q15,0)</f>
        <v/>
      </c>
      <c r="T15" s="8">
        <f>IFERROR(Q15/SUMIF($A:$A,A15,$Q:$Q),0)</f>
        <v/>
      </c>
      <c r="U15" s="8">
        <f>IFERROR(Q15/F15,0)</f>
        <v/>
      </c>
      <c r="V15" s="7">
        <f>F15-R15</f>
        <v/>
      </c>
      <c r="W15" s="8">
        <f>IFERROR(V15/F15,0)</f>
        <v/>
      </c>
      <c r="X15" s="7">
        <f>IFERROR(VLOOKUP(A15,周报其他费用!$A:$B,2,FALSE)*I15,0)</f>
        <v/>
      </c>
      <c r="Y15" s="7" t="n">
        <v>67.205</v>
      </c>
      <c r="Z15" s="8">
        <f>IFERROR(Y15/G15,0)</f>
        <v/>
      </c>
      <c r="AA15" s="7">
        <f>Y15-K15/1.06</f>
        <v/>
      </c>
      <c r="AB15" s="8">
        <f>IFERROR(AA15/G15,0)</f>
        <v/>
      </c>
      <c r="AC15" s="7">
        <f>Y15-(Q15+X15)/1.06</f>
        <v/>
      </c>
      <c r="AD15" s="8">
        <f>IFERROR(AC15/G15,0)</f>
        <v/>
      </c>
    </row>
    <row r="16" ht="14.25" customHeight="1" s="69">
      <c r="A16" s="5" t="inlineStr">
        <is>
          <t>5.11-5.17</t>
        </is>
      </c>
      <c r="B16" s="5" t="inlineStr">
        <is>
          <t>5.11-5.17</t>
        </is>
      </c>
      <c r="C16" s="119" t="n">
        <v>1013887677295</v>
      </c>
      <c r="D16" s="5" t="inlineStr">
        <is>
          <t>混搭5杯</t>
        </is>
      </c>
      <c r="E16" s="5" t="inlineStr">
        <is>
          <t>进口营多原味杯面日式杯面韩式杯面泡面方便面汤面宿舍速食夜宵</t>
        </is>
      </c>
      <c r="F16" s="7" t="n">
        <v>574.12</v>
      </c>
      <c r="G16" s="7">
        <f>IFERROR(F16/1.13,0)</f>
        <v/>
      </c>
      <c r="H16" s="5" t="n">
        <v>23</v>
      </c>
      <c r="I16" s="8">
        <f>IFERROR(H16/SUMIF($A:$A,A16,$H:$H),0)</f>
        <v/>
      </c>
      <c r="J16" s="9">
        <f>IFERROR(F16/H16,0)</f>
        <v/>
      </c>
      <c r="K16" s="7" t="n">
        <v>115.042218987909</v>
      </c>
      <c r="L16" s="7" t="n">
        <v>632.203866995074</v>
      </c>
      <c r="M16" s="9">
        <f>IFERROR(L16/K16,0)</f>
        <v/>
      </c>
      <c r="N16" s="7" t="n">
        <v>10.4586654724586</v>
      </c>
      <c r="O16" s="7" t="n">
        <v>27.9300649350649</v>
      </c>
      <c r="P16" s="9">
        <f>IFERROR(O16/N16,0)</f>
        <v/>
      </c>
      <c r="Q16" s="7">
        <f>K16+N16</f>
        <v/>
      </c>
      <c r="R16" s="7">
        <f>L16+O16</f>
        <v/>
      </c>
      <c r="S16" s="9">
        <f>IFERROR(R16/Q16,0)</f>
        <v/>
      </c>
      <c r="T16" s="8">
        <f>IFERROR(Q16/SUMIF($A:$A,A16,$Q:$Q),0)</f>
        <v/>
      </c>
      <c r="U16" s="8">
        <f>IFERROR(Q16/F16,0)</f>
        <v/>
      </c>
      <c r="V16" s="7">
        <f>F16-R16</f>
        <v/>
      </c>
      <c r="W16" s="8">
        <f>IFERROR(V16/F16,0)</f>
        <v/>
      </c>
      <c r="X16" s="7">
        <f>IFERROR(VLOOKUP(A16,周报其他费用!$A:$B,2,FALSE)*I16,0)</f>
        <v/>
      </c>
      <c r="Y16" s="7" t="n">
        <v>58.235</v>
      </c>
      <c r="Z16" s="8">
        <f>IFERROR(Y16/G16,0)</f>
        <v/>
      </c>
      <c r="AA16" s="7">
        <f>Y16-K16/1.06</f>
        <v/>
      </c>
      <c r="AB16" s="8">
        <f>IFERROR(AA16/G16,0)</f>
        <v/>
      </c>
      <c r="AC16" s="7">
        <f>Y16-(Q16+X16)/1.06</f>
        <v/>
      </c>
      <c r="AD16" s="8">
        <f>IFERROR(AC16/G16,0)</f>
        <v/>
      </c>
    </row>
    <row r="17" ht="14.25" customHeight="1" s="69">
      <c r="A17" s="5" t="inlineStr">
        <is>
          <t>5.11-5.17</t>
        </is>
      </c>
      <c r="B17" s="5" t="inlineStr">
        <is>
          <t>5.11-5.17</t>
        </is>
      </c>
      <c r="C17" s="119" t="n">
        <v>744317232690</v>
      </c>
      <c r="D17" s="5" t="inlineStr">
        <is>
          <t>多规格</t>
        </is>
      </c>
      <c r="E17" s="5" t="inlineStr">
        <is>
          <t>营多捞面汤面清香牛肉味方便面泡面速食食品泡面拉面整箱旅行宿舍</t>
        </is>
      </c>
      <c r="F17" s="7" t="n">
        <v>371.41</v>
      </c>
      <c r="G17" s="7">
        <f>IFERROR(F17/1.13,0)</f>
        <v/>
      </c>
      <c r="H17" s="5" t="n">
        <v>20</v>
      </c>
      <c r="I17" s="8">
        <f>IFERROR(H17/SUMIF($A:$A,A17,$H:$H),0)</f>
        <v/>
      </c>
      <c r="J17" s="9">
        <f>IFERROR(F17/H17,0)</f>
        <v/>
      </c>
      <c r="K17" s="7" t="n">
        <v>51.6975817286162</v>
      </c>
      <c r="L17" s="7" t="n">
        <v>257.259014778325</v>
      </c>
      <c r="M17" s="9">
        <f>IFERROR(L17/K17,0)</f>
        <v/>
      </c>
      <c r="N17" s="7" t="n">
        <v>9.09449171518137</v>
      </c>
      <c r="O17" s="7" t="n">
        <v>24.287012987013</v>
      </c>
      <c r="P17" s="9">
        <f>IFERROR(O17/N17,0)</f>
        <v/>
      </c>
      <c r="Q17" s="7">
        <f>K17+N17</f>
        <v/>
      </c>
      <c r="R17" s="7">
        <f>L17+O17</f>
        <v/>
      </c>
      <c r="S17" s="9">
        <f>IFERROR(R17/Q17,0)</f>
        <v/>
      </c>
      <c r="T17" s="8">
        <f>IFERROR(Q17/SUMIF($A:$A,A17,$Q:$Q),0)</f>
        <v/>
      </c>
      <c r="U17" s="8">
        <f>IFERROR(Q17/F17,0)</f>
        <v/>
      </c>
      <c r="V17" s="7">
        <f>F17-R17</f>
        <v/>
      </c>
      <c r="W17" s="8">
        <f>IFERROR(V17/F17,0)</f>
        <v/>
      </c>
      <c r="X17" s="7">
        <f>IFERROR(VLOOKUP(A17,周报其他费用!$A:$B,2,FALSE)*I17,0)</f>
        <v/>
      </c>
      <c r="Y17" s="7" t="n">
        <v>30.124</v>
      </c>
      <c r="Z17" s="8">
        <f>IFERROR(Y17/G17,0)</f>
        <v/>
      </c>
      <c r="AA17" s="7">
        <f>Y17-K17/1.06</f>
        <v/>
      </c>
      <c r="AB17" s="8">
        <f>IFERROR(AA17/G17,0)</f>
        <v/>
      </c>
      <c r="AC17" s="7">
        <f>Y17-(Q17+X17)/1.06</f>
        <v/>
      </c>
      <c r="AD17" s="8">
        <f>IFERROR(AC17/G17,0)</f>
        <v/>
      </c>
    </row>
    <row r="18" ht="14.25" customHeight="1" s="69">
      <c r="A18" s="5" t="inlineStr">
        <is>
          <t>5.11-5.17</t>
        </is>
      </c>
      <c r="B18" s="5" t="inlineStr">
        <is>
          <t>5.11-5.17</t>
        </is>
      </c>
      <c r="C18" s="119" t="n">
        <v>649729851594</v>
      </c>
      <c r="D18" s="5" t="inlineStr">
        <is>
          <t>小规格</t>
        </is>
      </c>
      <c r="E18" s="5" t="inlineStr">
        <is>
          <t>营多捞面袋装8包装泡面宿舍速食面热干面干拌面方便面火鸡面食品</t>
        </is>
      </c>
      <c r="F18" s="7" t="n">
        <v>177.42</v>
      </c>
      <c r="G18" s="7">
        <f>IFERROR(F18/1.13,0)</f>
        <v/>
      </c>
      <c r="H18" s="5" t="n">
        <v>8</v>
      </c>
      <c r="I18" s="8">
        <f>IFERROR(H18/SUMIF($A:$A,A18,$H:$H),0)</f>
        <v/>
      </c>
      <c r="J18" s="9">
        <f>IFERROR(F18/H18,0)</f>
        <v/>
      </c>
      <c r="K18" s="7" t="n">
        <v>29.1290326914465</v>
      </c>
      <c r="L18" s="7" t="n">
        <v>43.9796059113301</v>
      </c>
      <c r="M18" s="9">
        <f>IFERROR(L18/K18,0)</f>
        <v/>
      </c>
      <c r="N18" s="7" t="n">
        <v>3.63779668607255</v>
      </c>
      <c r="O18" s="7" t="n">
        <v>9.714805194805191</v>
      </c>
      <c r="P18" s="9">
        <f>IFERROR(O18/N18,0)</f>
        <v/>
      </c>
      <c r="Q18" s="7">
        <f>K18+N18</f>
        <v/>
      </c>
      <c r="R18" s="7">
        <f>L18+O18</f>
        <v/>
      </c>
      <c r="S18" s="9">
        <f>IFERROR(R18/Q18,0)</f>
        <v/>
      </c>
      <c r="T18" s="8">
        <f>IFERROR(Q18/SUMIF($A:$A,A18,$Q:$Q),0)</f>
        <v/>
      </c>
      <c r="U18" s="8">
        <f>IFERROR(Q18/F18,0)</f>
        <v/>
      </c>
      <c r="V18" s="7">
        <f>F18-R18</f>
        <v/>
      </c>
      <c r="W18" s="8">
        <f>IFERROR(V18/F18,0)</f>
        <v/>
      </c>
      <c r="X18" s="7">
        <f>IFERROR(VLOOKUP(A18,周报其他费用!$A:$B,2,FALSE)*I18,0)</f>
        <v/>
      </c>
      <c r="Y18" s="7" t="n">
        <v>27.291</v>
      </c>
      <c r="Z18" s="8">
        <f>IFERROR(Y18/G18,0)</f>
        <v/>
      </c>
      <c r="AA18" s="7">
        <f>Y18-K18/1.06</f>
        <v/>
      </c>
      <c r="AB18" s="8">
        <f>IFERROR(AA18/G18,0)</f>
        <v/>
      </c>
      <c r="AC18" s="7">
        <f>Y18-(Q18+X18)/1.06</f>
        <v/>
      </c>
      <c r="AD18" s="8">
        <f>IFERROR(AC18/G18,0)</f>
        <v/>
      </c>
    </row>
    <row r="19" ht="14.25" customHeight="1" s="69">
      <c r="A19" s="5" t="inlineStr">
        <is>
          <t>5.11-5.17</t>
        </is>
      </c>
      <c r="B19" s="5" t="inlineStr">
        <is>
          <t>5.11-5.17</t>
        </is>
      </c>
      <c r="C19" s="119" t="n">
        <v>648604228786</v>
      </c>
      <c r="D19" s="5" t="inlineStr">
        <is>
          <t>杯面混搭</t>
        </is>
      </c>
      <c r="E19" s="5" t="inlineStr">
        <is>
          <t>INDOMIE营多日式杯面原味经典泡面整箱批发速食宿舍旅行宵夜宿舍</t>
        </is>
      </c>
      <c r="F19" s="7" t="n">
        <v>239.95</v>
      </c>
      <c r="G19" s="7">
        <f>IFERROR(F19/1.13,0)</f>
        <v/>
      </c>
      <c r="H19" s="5" t="n">
        <v>9</v>
      </c>
      <c r="I19" s="8">
        <f>IFERROR(H19/SUMIF($A:$A,A19,$H:$H),0)</f>
        <v/>
      </c>
      <c r="J19" s="9">
        <f>IFERROR(F19/H19,0)</f>
        <v/>
      </c>
      <c r="K19" s="7" t="n">
        <v>44.7139117778773</v>
      </c>
      <c r="L19" s="7" t="n">
        <v>63.8345566502464</v>
      </c>
      <c r="M19" s="9">
        <f>IFERROR(L19/K19,0)</f>
        <v/>
      </c>
      <c r="N19" s="7" t="n">
        <v>4.09252127183162</v>
      </c>
      <c r="O19" s="7" t="n">
        <v>10.9291558441558</v>
      </c>
      <c r="P19" s="9">
        <f>IFERROR(O19/N19,0)</f>
        <v/>
      </c>
      <c r="Q19" s="7">
        <f>K19+N19</f>
        <v/>
      </c>
      <c r="R19" s="7">
        <f>L19+O19</f>
        <v/>
      </c>
      <c r="S19" s="9">
        <f>IFERROR(R19/Q19,0)</f>
        <v/>
      </c>
      <c r="T19" s="8">
        <f>IFERROR(Q19/SUMIF($A:$A,A19,$Q:$Q),0)</f>
        <v/>
      </c>
      <c r="U19" s="8">
        <f>IFERROR(Q19/F19,0)</f>
        <v/>
      </c>
      <c r="V19" s="7">
        <f>F19-R19</f>
        <v/>
      </c>
      <c r="W19" s="8">
        <f>IFERROR(V19/F19,0)</f>
        <v/>
      </c>
      <c r="X19" s="7">
        <f>IFERROR(VLOOKUP(A19,周报其他费用!$A:$B,2,FALSE)*I19,0)</f>
        <v/>
      </c>
      <c r="Y19" s="7" t="n">
        <v>23.72</v>
      </c>
      <c r="Z19" s="8">
        <f>IFERROR(Y19/G19,0)</f>
        <v/>
      </c>
      <c r="AA19" s="7">
        <f>Y19-K19/1.06</f>
        <v/>
      </c>
      <c r="AB19" s="8">
        <f>IFERROR(AA19/G19,0)</f>
        <v/>
      </c>
      <c r="AC19" s="7">
        <f>Y19-(Q19+X19)/1.06</f>
        <v/>
      </c>
      <c r="AD19" s="8">
        <f>IFERROR(AC19/G19,0)</f>
        <v/>
      </c>
    </row>
    <row r="20" ht="14.25" customHeight="1" s="69">
      <c r="A20" s="5" t="inlineStr">
        <is>
          <t>5.11-5.17</t>
        </is>
      </c>
      <c r="B20" s="5" t="inlineStr">
        <is>
          <t>5.11-5.17</t>
        </is>
      </c>
      <c r="C20" s="119" t="n">
        <v>969423151512</v>
      </c>
      <c r="D20" s="5" t="inlineStr">
        <is>
          <t>日韩混搭</t>
        </is>
      </c>
      <c r="E20" s="5" t="inlineStr">
        <is>
          <t>营多捞面甜辣炸鸡火鸡面辣蘑菇泡面方便面速食干拌面宿舍宵夜旅行</t>
        </is>
      </c>
      <c r="F20" s="7" t="n">
        <v>173.78</v>
      </c>
      <c r="G20" s="7">
        <f>IFERROR(F20/1.13,0)</f>
        <v/>
      </c>
      <c r="H20" s="5" t="n">
        <v>9</v>
      </c>
      <c r="I20" s="8">
        <f>IFERROR(H20/SUMIF($A:$A,A20,$H:$H),0)</f>
        <v/>
      </c>
      <c r="J20" s="9">
        <f>IFERROR(F20/H20,0)</f>
        <v/>
      </c>
      <c r="K20" s="7" t="n">
        <v>28.1439117778773</v>
      </c>
      <c r="L20" s="7" t="n">
        <v>107.304556650246</v>
      </c>
      <c r="M20" s="9">
        <f>IFERROR(L20/K20,0)</f>
        <v/>
      </c>
      <c r="N20" s="7" t="n">
        <v>4.09252127183162</v>
      </c>
      <c r="O20" s="7" t="n">
        <v>10.9291558441558</v>
      </c>
      <c r="P20" s="9">
        <f>IFERROR(O20/N20,0)</f>
        <v/>
      </c>
      <c r="Q20" s="7">
        <f>K20+N20</f>
        <v/>
      </c>
      <c r="R20" s="7">
        <f>L20+O20</f>
        <v/>
      </c>
      <c r="S20" s="9">
        <f>IFERROR(R20/Q20,0)</f>
        <v/>
      </c>
      <c r="T20" s="8">
        <f>IFERROR(Q20/SUMIF($A:$A,A20,$Q:$Q),0)</f>
        <v/>
      </c>
      <c r="U20" s="8">
        <f>IFERROR(Q20/F20,0)</f>
        <v/>
      </c>
      <c r="V20" s="7">
        <f>F20-R20</f>
        <v/>
      </c>
      <c r="W20" s="8">
        <f>IFERROR(V20/F20,0)</f>
        <v/>
      </c>
      <c r="X20" s="7">
        <f>IFERROR(VLOOKUP(A20,周报其他费用!$A:$B,2,FALSE)*I20,0)</f>
        <v/>
      </c>
      <c r="Y20" s="7" t="n">
        <v>20.193</v>
      </c>
      <c r="Z20" s="8">
        <f>IFERROR(Y20/G20,0)</f>
        <v/>
      </c>
      <c r="AA20" s="7">
        <f>Y20-K20/1.06</f>
        <v/>
      </c>
      <c r="AB20" s="8">
        <f>IFERROR(AA20/G20,0)</f>
        <v/>
      </c>
      <c r="AC20" s="7">
        <f>Y20-(Q20+X20)/1.06</f>
        <v/>
      </c>
      <c r="AD20" s="8">
        <f>IFERROR(AC20/G20,0)</f>
        <v/>
      </c>
    </row>
    <row r="21" ht="14.25" customHeight="1" s="69">
      <c r="A21" s="5" t="inlineStr">
        <is>
          <t>5.11-5.17</t>
        </is>
      </c>
      <c r="B21" s="5" t="inlineStr">
        <is>
          <t>5.11-5.17</t>
        </is>
      </c>
      <c r="C21" s="119" t="n">
        <v>649731447266</v>
      </c>
      <c r="D21" s="5" t="inlineStr">
        <is>
          <t>20包经典/牛系列</t>
        </is>
      </c>
      <c r="E21" s="5" t="inlineStr">
        <is>
          <t>营多印尼进口营多捞面方便面火鸡面干拌面20包宿舍速食泡面夜宵</t>
        </is>
      </c>
      <c r="F21" s="7" t="n">
        <v>96.65000000000001</v>
      </c>
      <c r="G21" s="7">
        <f>IFERROR(F21/1.13,0)</f>
        <v/>
      </c>
      <c r="H21" s="5" t="n">
        <v>2</v>
      </c>
      <c r="I21" s="8">
        <f>IFERROR(H21/SUMIF($A:$A,A21,$H:$H),0)</f>
        <v/>
      </c>
      <c r="J21" s="9">
        <f>IFERROR(F21/H21,0)</f>
        <v/>
      </c>
      <c r="K21" s="7" t="n">
        <v>6.31975817286162</v>
      </c>
      <c r="L21" s="7" t="n">
        <v>73.7299014778325</v>
      </c>
      <c r="M21" s="9">
        <f>IFERROR(L21/K21,0)</f>
        <v/>
      </c>
      <c r="N21" s="7" t="n">
        <v>0.909449171518137</v>
      </c>
      <c r="O21" s="7" t="n">
        <v>2.4287012987013</v>
      </c>
      <c r="P21" s="9">
        <f>IFERROR(O21/N21,0)</f>
        <v/>
      </c>
      <c r="Q21" s="7">
        <f>K21+N21</f>
        <v/>
      </c>
      <c r="R21" s="7">
        <f>L21+O21</f>
        <v/>
      </c>
      <c r="S21" s="9">
        <f>IFERROR(R21/Q21,0)</f>
        <v/>
      </c>
      <c r="T21" s="8">
        <f>IFERROR(Q21/SUMIF($A:$A,A21,$Q:$Q),0)</f>
        <v/>
      </c>
      <c r="U21" s="8">
        <f>IFERROR(Q21/F21,0)</f>
        <v/>
      </c>
      <c r="V21" s="7">
        <f>F21-R21</f>
        <v/>
      </c>
      <c r="W21" s="8">
        <f>IFERROR(V21/F21,0)</f>
        <v/>
      </c>
      <c r="X21" s="7">
        <f>IFERROR(VLOOKUP(A21,周报其他费用!$A:$B,2,FALSE)*I21,0)</f>
        <v/>
      </c>
      <c r="Y21" s="7" t="n">
        <v>19.508</v>
      </c>
      <c r="Z21" s="8">
        <f>IFERROR(Y21/G21,0)</f>
        <v/>
      </c>
      <c r="AA21" s="7">
        <f>Y21-K21/1.06</f>
        <v/>
      </c>
      <c r="AB21" s="8">
        <f>IFERROR(AA21/G21,0)</f>
        <v/>
      </c>
      <c r="AC21" s="7">
        <f>Y21-(Q21+X21)/1.06</f>
        <v/>
      </c>
      <c r="AD21" s="8">
        <f>IFERROR(AC21/G21,0)</f>
        <v/>
      </c>
    </row>
    <row r="22" ht="14.25" customHeight="1" s="69">
      <c r="A22" s="5" t="inlineStr">
        <is>
          <t>5.11-5.17</t>
        </is>
      </c>
      <c r="B22" s="5" t="inlineStr">
        <is>
          <t>5.11-5.17</t>
        </is>
      </c>
      <c r="C22" s="119" t="n">
        <v>932687928859</v>
      </c>
      <c r="D22" s="5" t="inlineStr">
        <is>
          <t>8包组合</t>
        </is>
      </c>
      <c r="E22" s="5" t="inlineStr">
        <is>
          <t>营多捞面八口味袋装泡面拌面速食面干拌面方便面宿舍宵夜速食家用</t>
        </is>
      </c>
      <c r="F22" s="7" t="n">
        <v>60.35</v>
      </c>
      <c r="G22" s="7">
        <f>IFERROR(F22/1.13,0)</f>
        <v/>
      </c>
      <c r="H22" s="5" t="n">
        <v>2</v>
      </c>
      <c r="I22" s="8">
        <f>IFERROR(H22/SUMIF($A:$A,A22,$H:$H),0)</f>
        <v/>
      </c>
      <c r="J22" s="9">
        <f>IFERROR(F22/H22,0)</f>
        <v/>
      </c>
      <c r="K22" s="7" t="n">
        <v>1.58975817286162</v>
      </c>
      <c r="L22" s="7" t="n">
        <v>1.92990147783253</v>
      </c>
      <c r="M22" s="9">
        <f>IFERROR(L22/K22,0)</f>
        <v/>
      </c>
      <c r="N22" s="7" t="n">
        <v>0.909449171518137</v>
      </c>
      <c r="O22" s="7" t="n">
        <v>2.4287012987013</v>
      </c>
      <c r="P22" s="9">
        <f>IFERROR(O22/N22,0)</f>
        <v/>
      </c>
      <c r="Q22" s="7">
        <f>K22+N22</f>
        <v/>
      </c>
      <c r="R22" s="7">
        <f>L22+O22</f>
        <v/>
      </c>
      <c r="S22" s="9">
        <f>IFERROR(R22/Q22,0)</f>
        <v/>
      </c>
      <c r="T22" s="8">
        <f>IFERROR(Q22/SUMIF($A:$A,A22,$Q:$Q),0)</f>
        <v/>
      </c>
      <c r="U22" s="8">
        <f>IFERROR(Q22/F22,0)</f>
        <v/>
      </c>
      <c r="V22" s="7">
        <f>F22-R22</f>
        <v/>
      </c>
      <c r="W22" s="8">
        <f>IFERROR(V22/F22,0)</f>
        <v/>
      </c>
      <c r="X22" s="7">
        <f>IFERROR(VLOOKUP(A22,周报其他费用!$A:$B,2,FALSE)*I22,0)</f>
        <v/>
      </c>
      <c r="Y22" s="7" t="n">
        <v>16.971</v>
      </c>
      <c r="Z22" s="8">
        <f>IFERROR(Y22/G22,0)</f>
        <v/>
      </c>
      <c r="AA22" s="7">
        <f>Y22-K22/1.06</f>
        <v/>
      </c>
      <c r="AB22" s="8">
        <f>IFERROR(AA22/G22,0)</f>
        <v/>
      </c>
      <c r="AC22" s="7">
        <f>Y22-(Q22+X22)/1.06</f>
        <v/>
      </c>
      <c r="AD22" s="8">
        <f>IFERROR(AC22/G22,0)</f>
        <v/>
      </c>
    </row>
    <row r="23" ht="14.25" customHeight="1" s="69">
      <c r="A23" s="5" t="inlineStr">
        <is>
          <t>5.11-5.17</t>
        </is>
      </c>
      <c r="B23" s="5" t="inlineStr">
        <is>
          <t>5.11-5.17</t>
        </is>
      </c>
      <c r="C23" s="119" t="n">
        <v>886856687067</v>
      </c>
      <c r="D23" s="5" t="inlineStr">
        <is>
          <t>大骨</t>
        </is>
      </c>
      <c r="E23" s="5" t="inlineStr">
        <is>
          <t>营多捞面牛系列大骨牛肉味方便面食品泡面拉面汤面宿舍宵夜旅行</t>
        </is>
      </c>
      <c r="F23" s="7" t="n">
        <v>169.96</v>
      </c>
      <c r="G23" s="7">
        <f>IFERROR(F23/1.13,0)</f>
        <v/>
      </c>
      <c r="H23" s="5" t="n">
        <v>9</v>
      </c>
      <c r="I23" s="8">
        <f>IFERROR(H23/SUMIF($A:$A,A23,$H:$H),0)</f>
        <v/>
      </c>
      <c r="J23" s="9">
        <f>IFERROR(F23/H23,0)</f>
        <v/>
      </c>
      <c r="K23" s="7" t="n">
        <v>8.0239117778773</v>
      </c>
      <c r="L23" s="7" t="n">
        <v>22.5845566502464</v>
      </c>
      <c r="M23" s="9">
        <f>IFERROR(L23/K23,0)</f>
        <v/>
      </c>
      <c r="N23" s="7" t="n">
        <v>4.09252127183162</v>
      </c>
      <c r="O23" s="7" t="n">
        <v>10.9291558441558</v>
      </c>
      <c r="P23" s="9">
        <f>IFERROR(O23/N23,0)</f>
        <v/>
      </c>
      <c r="Q23" s="7">
        <f>K23+N23</f>
        <v/>
      </c>
      <c r="R23" s="7">
        <f>L23+O23</f>
        <v/>
      </c>
      <c r="S23" s="9">
        <f>IFERROR(R23/Q23,0)</f>
        <v/>
      </c>
      <c r="T23" s="8">
        <f>IFERROR(Q23/SUMIF($A:$A,A23,$Q:$Q),0)</f>
        <v/>
      </c>
      <c r="U23" s="8">
        <f>IFERROR(Q23/F23,0)</f>
        <v/>
      </c>
      <c r="V23" s="7">
        <f>F23-R23</f>
        <v/>
      </c>
      <c r="W23" s="8">
        <f>IFERROR(V23/F23,0)</f>
        <v/>
      </c>
      <c r="X23" s="7">
        <f>IFERROR(VLOOKUP(A23,周报其他费用!$A:$B,2,FALSE)*I23,0)</f>
        <v/>
      </c>
      <c r="Y23" s="7" t="n">
        <v>14.642</v>
      </c>
      <c r="Z23" s="8">
        <f>IFERROR(Y23/G23,0)</f>
        <v/>
      </c>
      <c r="AA23" s="7">
        <f>Y23-K23/1.06</f>
        <v/>
      </c>
      <c r="AB23" s="8">
        <f>IFERROR(AA23/G23,0)</f>
        <v/>
      </c>
      <c r="AC23" s="7">
        <f>Y23-(Q23+X23)/1.06</f>
        <v/>
      </c>
      <c r="AD23" s="8">
        <f>IFERROR(AC23/G23,0)</f>
        <v/>
      </c>
    </row>
    <row r="24" ht="14.25" customHeight="1" s="69">
      <c r="A24" s="5" t="inlineStr">
        <is>
          <t>5.11-5.17</t>
        </is>
      </c>
      <c r="B24" s="5" t="inlineStr">
        <is>
          <t>5.11-5.17</t>
        </is>
      </c>
      <c r="C24" s="119" t="n">
        <v>949962665617</v>
      </c>
      <c r="D24" s="5" t="inlineStr">
        <is>
          <t>组合</t>
        </is>
      </c>
      <c r="E24" s="5" t="inlineStr">
        <is>
          <t>营多捞面多口味袋装泡面拌面速食面干拌面方便面宿舍宵夜速食旅行</t>
        </is>
      </c>
      <c r="F24" s="7" t="n">
        <v>142.91</v>
      </c>
      <c r="G24" s="7">
        <f>IFERROR(F24/1.13,0)</f>
        <v/>
      </c>
      <c r="H24" s="5" t="n">
        <v>6</v>
      </c>
      <c r="I24" s="8">
        <f>IFERROR(H24/SUMIF($A:$A,A24,$H:$H),0)</f>
        <v/>
      </c>
      <c r="J24" s="9">
        <f>IFERROR(F24/H24,0)</f>
        <v/>
      </c>
      <c r="K24" s="7" t="n">
        <v>61.5492745185849</v>
      </c>
      <c r="L24" s="7" t="n">
        <v>262.769704433498</v>
      </c>
      <c r="M24" s="9">
        <f>IFERROR(L24/K24,0)</f>
        <v/>
      </c>
      <c r="N24" s="7" t="n">
        <v>2.72834751455441</v>
      </c>
      <c r="O24" s="7" t="n">
        <v>7.2861038961039</v>
      </c>
      <c r="P24" s="9">
        <f>IFERROR(O24/N24,0)</f>
        <v/>
      </c>
      <c r="Q24" s="7">
        <f>K24+N24</f>
        <v/>
      </c>
      <c r="R24" s="7">
        <f>L24+O24</f>
        <v/>
      </c>
      <c r="S24" s="9">
        <f>IFERROR(R24/Q24,0)</f>
        <v/>
      </c>
      <c r="T24" s="8">
        <f>IFERROR(Q24/SUMIF($A:$A,A24,$Q:$Q),0)</f>
        <v/>
      </c>
      <c r="U24" s="8">
        <f>IFERROR(Q24/F24,0)</f>
        <v/>
      </c>
      <c r="V24" s="7">
        <f>F24-R24</f>
        <v/>
      </c>
      <c r="W24" s="8">
        <f>IFERROR(V24/F24,0)</f>
        <v/>
      </c>
      <c r="X24" s="7">
        <f>IFERROR(VLOOKUP(A24,周报其他费用!$A:$B,2,FALSE)*I24,0)</f>
        <v/>
      </c>
      <c r="Y24" s="7" t="n">
        <v>14.182</v>
      </c>
      <c r="Z24" s="8">
        <f>IFERROR(Y24/G24,0)</f>
        <v/>
      </c>
      <c r="AA24" s="7">
        <f>Y24-K24/1.06</f>
        <v/>
      </c>
      <c r="AB24" s="8">
        <f>IFERROR(AA24/G24,0)</f>
        <v/>
      </c>
      <c r="AC24" s="7">
        <f>Y24-(Q24+X24)/1.06</f>
        <v/>
      </c>
      <c r="AD24" s="8">
        <f>IFERROR(AC24/G24,0)</f>
        <v/>
      </c>
    </row>
    <row r="25" ht="14.25" customHeight="1" s="69">
      <c r="A25" s="5" t="inlineStr">
        <is>
          <t>5.11-5.17</t>
        </is>
      </c>
      <c r="B25" s="5" t="inlineStr">
        <is>
          <t>5.11-5.17</t>
        </is>
      </c>
      <c r="C25" s="119" t="n">
        <v>971242260371</v>
      </c>
      <c r="D25" s="5" t="inlineStr">
        <is>
          <t>韩式袋面</t>
        </is>
      </c>
      <c r="E25" s="5" t="inlineStr">
        <is>
          <t>新品营多捞面韩式辣蘑菇汤面泡面方便面速食干拌面宿舍宵夜旅行</t>
        </is>
      </c>
      <c r="F25" s="7" t="n">
        <v>52.03</v>
      </c>
      <c r="G25" s="7">
        <f>IFERROR(F25/1.13,0)</f>
        <v/>
      </c>
      <c r="H25" s="5" t="n">
        <v>2</v>
      </c>
      <c r="I25" s="8">
        <f>IFERROR(H25/SUMIF($A:$A,A25,$H:$H),0)</f>
        <v/>
      </c>
      <c r="J25" s="9">
        <f>IFERROR(F25/H25,0)</f>
        <v/>
      </c>
      <c r="K25" s="7" t="n">
        <v>5.71975817286162</v>
      </c>
      <c r="L25" s="7" t="n">
        <v>37.8299014778325</v>
      </c>
      <c r="M25" s="9">
        <f>IFERROR(L25/K25,0)</f>
        <v/>
      </c>
      <c r="N25" s="7" t="n">
        <v>0.909449171518137</v>
      </c>
      <c r="O25" s="7" t="n">
        <v>2.4287012987013</v>
      </c>
      <c r="P25" s="9">
        <f>IFERROR(O25/N25,0)</f>
        <v/>
      </c>
      <c r="Q25" s="7">
        <f>K25+N25</f>
        <v/>
      </c>
      <c r="R25" s="7">
        <f>L25+O25</f>
        <v/>
      </c>
      <c r="S25" s="9">
        <f>IFERROR(R25/Q25,0)</f>
        <v/>
      </c>
      <c r="T25" s="8">
        <f>IFERROR(Q25/SUMIF($A:$A,A25,$Q:$Q),0)</f>
        <v/>
      </c>
      <c r="U25" s="8">
        <f>IFERROR(Q25/F25,0)</f>
        <v/>
      </c>
      <c r="V25" s="7">
        <f>F25-R25</f>
        <v/>
      </c>
      <c r="W25" s="8">
        <f>IFERROR(V25/F25,0)</f>
        <v/>
      </c>
      <c r="X25" s="7">
        <f>IFERROR(VLOOKUP(A25,周报其他费用!$A:$B,2,FALSE)*I25,0)</f>
        <v/>
      </c>
      <c r="Y25" s="7" t="n">
        <v>7.659</v>
      </c>
      <c r="Z25" s="8">
        <f>IFERROR(Y25/G25,0)</f>
        <v/>
      </c>
      <c r="AA25" s="7">
        <f>Y25-K25/1.06</f>
        <v/>
      </c>
      <c r="AB25" s="8">
        <f>IFERROR(AA25/G25,0)</f>
        <v/>
      </c>
      <c r="AC25" s="7">
        <f>Y25-(Q25+X25)/1.06</f>
        <v/>
      </c>
      <c r="AD25" s="8">
        <f>IFERROR(AC25/G25,0)</f>
        <v/>
      </c>
    </row>
    <row r="26" ht="14.25" customHeight="1" s="69">
      <c r="A26" s="5" t="inlineStr">
        <is>
          <t>5.11-5.17</t>
        </is>
      </c>
      <c r="B26" s="5" t="inlineStr">
        <is>
          <t>5.11-5.17</t>
        </is>
      </c>
      <c r="C26" s="119" t="n">
        <v>947413291596</v>
      </c>
      <c r="D26" s="5" t="inlineStr">
        <is>
          <t>杯面</t>
        </is>
      </c>
      <c r="E26" s="5" t="inlineStr">
        <is>
          <t>营多捞面杯装方便面泡面速食干拌面原味整箱批发印尼进口桶装拌面</t>
        </is>
      </c>
      <c r="F26" s="7" t="n">
        <v>55.15</v>
      </c>
      <c r="G26" s="7">
        <f>IFERROR(F26/1.13,0)</f>
        <v/>
      </c>
      <c r="H26" s="5" t="n">
        <v>2</v>
      </c>
      <c r="I26" s="8">
        <f>IFERROR(H26/SUMIF($A:$A,A26,$H:$H),0)</f>
        <v/>
      </c>
      <c r="J26" s="9">
        <f>IFERROR(F26/H26,0)</f>
        <v/>
      </c>
      <c r="K26" s="7" t="n">
        <v>5.43975817286162</v>
      </c>
      <c r="L26" s="7" t="n">
        <v>1.92990147783253</v>
      </c>
      <c r="M26" s="9">
        <f>IFERROR(L26/K26,0)</f>
        <v/>
      </c>
      <c r="N26" s="7" t="n">
        <v>0.909449171518137</v>
      </c>
      <c r="O26" s="7" t="n">
        <v>2.4287012987013</v>
      </c>
      <c r="P26" s="9">
        <f>IFERROR(O26/N26,0)</f>
        <v/>
      </c>
      <c r="Q26" s="7">
        <f>K26+N26</f>
        <v/>
      </c>
      <c r="R26" s="7">
        <f>L26+O26</f>
        <v/>
      </c>
      <c r="S26" s="9">
        <f>IFERROR(R26/Q26,0)</f>
        <v/>
      </c>
      <c r="T26" s="8">
        <f>IFERROR(Q26/SUMIF($A:$A,A26,$Q:$Q),0)</f>
        <v/>
      </c>
      <c r="U26" s="8">
        <f>IFERROR(Q26/F26,0)</f>
        <v/>
      </c>
      <c r="V26" s="7">
        <f>F26-R26</f>
        <v/>
      </c>
      <c r="W26" s="8">
        <f>IFERROR(V26/F26,0)</f>
        <v/>
      </c>
      <c r="X26" s="7">
        <f>IFERROR(VLOOKUP(A26,周报其他费用!$A:$B,2,FALSE)*I26,0)</f>
        <v/>
      </c>
      <c r="Y26" s="7" t="n">
        <v>6.768</v>
      </c>
      <c r="Z26" s="8">
        <f>IFERROR(Y26/G26,0)</f>
        <v/>
      </c>
      <c r="AA26" s="7">
        <f>Y26-K26/1.06</f>
        <v/>
      </c>
      <c r="AB26" s="8">
        <f>IFERROR(AA26/G26,0)</f>
        <v/>
      </c>
      <c r="AC26" s="7">
        <f>Y26-(Q26+X26)/1.06</f>
        <v/>
      </c>
      <c r="AD26" s="8">
        <f>IFERROR(AC26/G26,0)</f>
        <v/>
      </c>
    </row>
    <row r="27" ht="14.25" customHeight="1" s="69">
      <c r="A27" s="5" t="inlineStr">
        <is>
          <t>5.11-5.17</t>
        </is>
      </c>
      <c r="B27" s="5" t="inlineStr">
        <is>
          <t>5.11-5.17</t>
        </is>
      </c>
      <c r="C27" s="119" t="n">
        <v>898120785283</v>
      </c>
      <c r="D27" s="5" t="inlineStr">
        <is>
          <t>番茄</t>
        </is>
      </c>
      <c r="E27" s="5" t="inlineStr">
        <is>
          <t>进口意大利面风味奶香番茄牛肉味意式营多早餐儿童宝妈家庭餐拌面</t>
        </is>
      </c>
      <c r="F27" s="7" t="n">
        <v>25.9</v>
      </c>
      <c r="G27" s="7">
        <f>IFERROR(F27/1.13,0)</f>
        <v/>
      </c>
      <c r="H27" s="5" t="n">
        <v>1</v>
      </c>
      <c r="I27" s="8">
        <f>IFERROR(H27/SUMIF($A:$A,A27,$H:$H),0)</f>
        <v/>
      </c>
      <c r="J27" s="9">
        <f>IFERROR(F27/H27,0)</f>
        <v/>
      </c>
      <c r="K27" s="7" t="n">
        <v>2.77487908643081</v>
      </c>
      <c r="L27" s="7" t="n">
        <v>0.964950738916263</v>
      </c>
      <c r="M27" s="9">
        <f>IFERROR(L27/K27,0)</f>
        <v/>
      </c>
      <c r="N27" s="7" t="n">
        <v>0.454724585759068</v>
      </c>
      <c r="O27" s="7" t="n">
        <v>1.21435064935065</v>
      </c>
      <c r="P27" s="9">
        <f>IFERROR(O27/N27,0)</f>
        <v/>
      </c>
      <c r="Q27" s="7">
        <f>K27+N27</f>
        <v/>
      </c>
      <c r="R27" s="7">
        <f>L27+O27</f>
        <v/>
      </c>
      <c r="S27" s="9">
        <f>IFERROR(R27/Q27,0)</f>
        <v/>
      </c>
      <c r="T27" s="8">
        <f>IFERROR(Q27/SUMIF($A:$A,A27,$Q:$Q),0)</f>
        <v/>
      </c>
      <c r="U27" s="8">
        <f>IFERROR(Q27/F27,0)</f>
        <v/>
      </c>
      <c r="V27" s="7">
        <f>F27-R27</f>
        <v/>
      </c>
      <c r="W27" s="8">
        <f>IFERROR(V27/F27,0)</f>
        <v/>
      </c>
      <c r="X27" s="7">
        <f>IFERROR(VLOOKUP(A27,周报其他费用!$A:$B,2,FALSE)*I27,0)</f>
        <v/>
      </c>
      <c r="Y27" s="7" t="n">
        <v>4.059</v>
      </c>
      <c r="Z27" s="8">
        <f>IFERROR(Y27/G27,0)</f>
        <v/>
      </c>
      <c r="AA27" s="7">
        <f>Y27-K27/1.06</f>
        <v/>
      </c>
      <c r="AB27" s="8">
        <f>IFERROR(AA27/G27,0)</f>
        <v/>
      </c>
      <c r="AC27" s="7">
        <f>Y27-(Q27+X27)/1.06</f>
        <v/>
      </c>
      <c r="AD27" s="8">
        <f>IFERROR(AC27/G27,0)</f>
        <v/>
      </c>
    </row>
    <row r="28" ht="14.25" customHeight="1" s="69">
      <c r="A28" s="5" t="inlineStr">
        <is>
          <t>5.11-5.17</t>
        </is>
      </c>
      <c r="B28" s="5" t="inlineStr">
        <is>
          <t>5.11-5.17</t>
        </is>
      </c>
      <c r="C28" s="119" t="n">
        <v>1040679932754</v>
      </c>
      <c r="D28" s="5" t="inlineStr">
        <is>
          <t>韩式杯面</t>
        </is>
      </c>
      <c r="E28" s="5" t="inlineStr">
        <is>
          <t>印尼进口营多捞面杯面原味甜辣蘑菇味整箱速食拌面拉面泡面方便面</t>
        </is>
      </c>
      <c r="F28" s="7" t="n">
        <v>39.33</v>
      </c>
      <c r="G28" s="7">
        <f>IFERROR(F28/1.13,0)</f>
        <v/>
      </c>
      <c r="H28" s="5" t="n">
        <v>2</v>
      </c>
      <c r="I28" s="8">
        <f>IFERROR(H28/SUMIF($A:$A,A28,$H:$H),0)</f>
        <v/>
      </c>
      <c r="J28" s="9">
        <f>IFERROR(F28/H28,0)</f>
        <v/>
      </c>
      <c r="K28" s="7" t="n">
        <v>10.2797581728616</v>
      </c>
      <c r="L28" s="7" t="n">
        <v>1.92990147783253</v>
      </c>
      <c r="M28" s="9">
        <f>IFERROR(L28/K28,0)</f>
        <v/>
      </c>
      <c r="N28" s="7" t="n">
        <v>0.909449171518137</v>
      </c>
      <c r="O28" s="7" t="n">
        <v>2.4287012987013</v>
      </c>
      <c r="P28" s="9">
        <f>IFERROR(O28/N28,0)</f>
        <v/>
      </c>
      <c r="Q28" s="7">
        <f>K28+N28</f>
        <v/>
      </c>
      <c r="R28" s="7">
        <f>L28+O28</f>
        <v/>
      </c>
      <c r="S28" s="9">
        <f>IFERROR(R28/Q28,0)</f>
        <v/>
      </c>
      <c r="T28" s="8">
        <f>IFERROR(Q28/SUMIF($A:$A,A28,$Q:$Q),0)</f>
        <v/>
      </c>
      <c r="U28" s="8">
        <f>IFERROR(Q28/F28,0)</f>
        <v/>
      </c>
      <c r="V28" s="7">
        <f>F28-R28</f>
        <v/>
      </c>
      <c r="W28" s="8">
        <f>IFERROR(V28/F28,0)</f>
        <v/>
      </c>
      <c r="X28" s="7">
        <f>IFERROR(VLOOKUP(A28,周报其他费用!$A:$B,2,FALSE)*I28,0)</f>
        <v/>
      </c>
      <c r="Y28" s="7" t="n">
        <v>3.684</v>
      </c>
      <c r="Z28" s="8">
        <f>IFERROR(Y28/G28,0)</f>
        <v/>
      </c>
      <c r="AA28" s="7">
        <f>Y28-K28/1.06</f>
        <v/>
      </c>
      <c r="AB28" s="8">
        <f>IFERROR(AA28/G28,0)</f>
        <v/>
      </c>
      <c r="AC28" s="7">
        <f>Y28-(Q28+X28)/1.06</f>
        <v/>
      </c>
      <c r="AD28" s="8">
        <f>IFERROR(AC28/G28,0)</f>
        <v/>
      </c>
    </row>
    <row r="29" ht="14.25" customHeight="1" s="69">
      <c r="A29" s="5" t="inlineStr">
        <is>
          <t>5.11-5.17</t>
        </is>
      </c>
      <c r="B29" s="5" t="inlineStr">
        <is>
          <t>5.11-5.17</t>
        </is>
      </c>
      <c r="C29" s="119" t="n">
        <v>885645733215</v>
      </c>
      <c r="D29" s="5" t="inlineStr">
        <is>
          <t>大骨牛肉</t>
        </is>
      </c>
      <c r="E29" s="5" t="inlineStr">
        <is>
          <t>进口营多大骨番茄牛肉味营多捞面意式泡面宿舍宿舍宵夜速食方便面</t>
        </is>
      </c>
      <c r="F29" s="7" t="n">
        <v>19.2</v>
      </c>
      <c r="G29" s="7">
        <f>IFERROR(F29/1.13,0)</f>
        <v/>
      </c>
      <c r="H29" s="5" t="n">
        <v>1</v>
      </c>
      <c r="I29" s="8">
        <f>IFERROR(H29/SUMIF($A:$A,A29,$H:$H),0)</f>
        <v/>
      </c>
      <c r="J29" s="9">
        <f>IFERROR(F29/H29,0)</f>
        <v/>
      </c>
      <c r="K29" s="7" t="n">
        <v>5.06487908643081</v>
      </c>
      <c r="L29" s="7" t="n">
        <v>14.5449507389163</v>
      </c>
      <c r="M29" s="9">
        <f>IFERROR(L29/K29,0)</f>
        <v/>
      </c>
      <c r="N29" s="7" t="n">
        <v>0.454724585759068</v>
      </c>
      <c r="O29" s="7" t="n">
        <v>1.21435064935065</v>
      </c>
      <c r="P29" s="9">
        <f>IFERROR(O29/N29,0)</f>
        <v/>
      </c>
      <c r="Q29" s="7">
        <f>K29+N29</f>
        <v/>
      </c>
      <c r="R29" s="7">
        <f>L29+O29</f>
        <v/>
      </c>
      <c r="S29" s="9">
        <f>IFERROR(R29/Q29,0)</f>
        <v/>
      </c>
      <c r="T29" s="8">
        <f>IFERROR(Q29/SUMIF($A:$A,A29,$Q:$Q),0)</f>
        <v/>
      </c>
      <c r="U29" s="8">
        <f>IFERROR(Q29/F29,0)</f>
        <v/>
      </c>
      <c r="V29" s="7">
        <f>F29-R29</f>
        <v/>
      </c>
      <c r="W29" s="8">
        <f>IFERROR(V29/F29,0)</f>
        <v/>
      </c>
      <c r="X29" s="7">
        <f>IFERROR(VLOOKUP(A29,周报其他费用!$A:$B,2,FALSE)*I29,0)</f>
        <v/>
      </c>
      <c r="Y29" s="7" t="n">
        <v>3.373</v>
      </c>
      <c r="Z29" s="8">
        <f>IFERROR(Y29/G29,0)</f>
        <v/>
      </c>
      <c r="AA29" s="7">
        <f>Y29-K29/1.06</f>
        <v/>
      </c>
      <c r="AB29" s="8">
        <f>IFERROR(AA29/G29,0)</f>
        <v/>
      </c>
      <c r="AC29" s="7">
        <f>Y29-(Q29+X29)/1.06</f>
        <v/>
      </c>
      <c r="AD29" s="8">
        <f>IFERROR(AC29/G29,0)</f>
        <v/>
      </c>
    </row>
    <row r="30" ht="14.25" customHeight="1" s="69">
      <c r="A30" s="5" t="inlineStr">
        <is>
          <t>5.11-5.17</t>
        </is>
      </c>
      <c r="B30" s="5" t="inlineStr">
        <is>
          <t>5.11-5.17</t>
        </is>
      </c>
      <c r="C30" s="119" t="n">
        <v>1019572719528</v>
      </c>
      <c r="D30" s="5" t="inlineStr">
        <is>
          <t>日韩袋面</t>
        </is>
      </c>
      <c r="E30" s="5" t="inlineStr">
        <is>
          <t>新品营多捞面韩式辣蘑菇汤面泡面方便面速食干拌面宿舍宵夜旅行</t>
        </is>
      </c>
      <c r="F30" s="7" t="n">
        <v>17.9</v>
      </c>
      <c r="G30" s="7">
        <f>IFERROR(F30/1.13,0)</f>
        <v/>
      </c>
      <c r="H30" s="5" t="n">
        <v>1</v>
      </c>
      <c r="I30" s="8">
        <f>IFERROR(H30/SUMIF($A:$A,A30,$H:$H),0)</f>
        <v/>
      </c>
      <c r="J30" s="9">
        <f>IFERROR(F30/H30,0)</f>
        <v/>
      </c>
      <c r="K30" s="7" t="n">
        <v>0.824879086430811</v>
      </c>
      <c r="L30" s="7" t="n">
        <v>0.964950738916263</v>
      </c>
      <c r="M30" s="9">
        <f>IFERROR(L30/K30,0)</f>
        <v/>
      </c>
      <c r="N30" s="7" t="n">
        <v>0.454724585759068</v>
      </c>
      <c r="O30" s="7" t="n">
        <v>1.21435064935065</v>
      </c>
      <c r="P30" s="9">
        <f>IFERROR(O30/N30,0)</f>
        <v/>
      </c>
      <c r="Q30" s="7">
        <f>K30+N30</f>
        <v/>
      </c>
      <c r="R30" s="7">
        <f>L30+O30</f>
        <v/>
      </c>
      <c r="S30" s="9">
        <f>IFERROR(R30/Q30,0)</f>
        <v/>
      </c>
      <c r="T30" s="8">
        <f>IFERROR(Q30/SUMIF($A:$A,A30,$Q:$Q),0)</f>
        <v/>
      </c>
      <c r="U30" s="8">
        <f>IFERROR(Q30/F30,0)</f>
        <v/>
      </c>
      <c r="V30" s="7">
        <f>F30-R30</f>
        <v/>
      </c>
      <c r="W30" s="8">
        <f>IFERROR(V30/F30,0)</f>
        <v/>
      </c>
      <c r="X30" s="7">
        <f>IFERROR(VLOOKUP(A30,周报其他费用!$A:$B,2,FALSE)*I30,0)</f>
        <v/>
      </c>
      <c r="Y30" s="7" t="n">
        <v>3.149</v>
      </c>
      <c r="Z30" s="8">
        <f>IFERROR(Y30/G30,0)</f>
        <v/>
      </c>
      <c r="AA30" s="7">
        <f>Y30-K30/1.06</f>
        <v/>
      </c>
      <c r="AB30" s="8">
        <f>IFERROR(AA30/G30,0)</f>
        <v/>
      </c>
      <c r="AC30" s="7">
        <f>Y30-(Q30+X30)/1.06</f>
        <v/>
      </c>
      <c r="AD30" s="8">
        <f>IFERROR(AC30/G30,0)</f>
        <v/>
      </c>
    </row>
    <row r="31" ht="14.25" customHeight="1" s="69">
      <c r="A31" s="5" t="inlineStr">
        <is>
          <t>5.11-5.17</t>
        </is>
      </c>
      <c r="B31" s="5" t="inlineStr">
        <is>
          <t>5.11-5.17</t>
        </is>
      </c>
      <c r="C31" s="119" t="n">
        <v>773972883430</v>
      </c>
      <c r="D31" s="5" t="inlineStr">
        <is>
          <t>日式袋面</t>
        </is>
      </c>
      <c r="E31" s="5" t="inlineStr">
        <is>
          <t>营多捞面韩式火鸡面辣蘑菇汤面袋装泡面辣味速食方便面宿舍宵夜面</t>
        </is>
      </c>
      <c r="F31" s="7" t="n">
        <v>18.9</v>
      </c>
      <c r="G31" s="7">
        <f>IFERROR(F31/1.13,0)</f>
        <v/>
      </c>
      <c r="H31" s="5" t="n">
        <v>1</v>
      </c>
      <c r="I31" s="8">
        <f>IFERROR(H31/SUMIF($A:$A,A31,$H:$H),0)</f>
        <v/>
      </c>
      <c r="J31" s="9">
        <f>IFERROR(F31/H31,0)</f>
        <v/>
      </c>
      <c r="K31" s="7" t="n">
        <v>15.6048790864308</v>
      </c>
      <c r="L31" s="7" t="n">
        <v>0.964950738916263</v>
      </c>
      <c r="M31" s="9">
        <f>IFERROR(L31/K31,0)</f>
        <v/>
      </c>
      <c r="N31" s="7" t="n">
        <v>0.454724585759068</v>
      </c>
      <c r="O31" s="7" t="n">
        <v>1.21435064935065</v>
      </c>
      <c r="P31" s="9">
        <f>IFERROR(O31/N31,0)</f>
        <v/>
      </c>
      <c r="Q31" s="7">
        <f>K31+N31</f>
        <v/>
      </c>
      <c r="R31" s="7">
        <f>L31+O31</f>
        <v/>
      </c>
      <c r="S31" s="9">
        <f>IFERROR(R31/Q31,0)</f>
        <v/>
      </c>
      <c r="T31" s="8">
        <f>IFERROR(Q31/SUMIF($A:$A,A31,$Q:$Q),0)</f>
        <v/>
      </c>
      <c r="U31" s="8">
        <f>IFERROR(Q31/F31,0)</f>
        <v/>
      </c>
      <c r="V31" s="7">
        <f>F31-R31</f>
        <v/>
      </c>
      <c r="W31" s="8">
        <f>IFERROR(V31/F31,0)</f>
        <v/>
      </c>
      <c r="X31" s="7">
        <f>IFERROR(VLOOKUP(A31,周报其他费用!$A:$B,2,FALSE)*I31,0)</f>
        <v/>
      </c>
      <c r="Y31" s="7" t="n">
        <v>2.317</v>
      </c>
      <c r="Z31" s="8">
        <f>IFERROR(Y31/G31,0)</f>
        <v/>
      </c>
      <c r="AA31" s="7">
        <f>Y31-K31/1.06</f>
        <v/>
      </c>
      <c r="AB31" s="8">
        <f>IFERROR(AA31/G31,0)</f>
        <v/>
      </c>
      <c r="AC31" s="7">
        <f>Y31-(Q31+X31)/1.06</f>
        <v/>
      </c>
      <c r="AD31" s="8">
        <f>IFERROR(AC31/G31,0)</f>
        <v/>
      </c>
    </row>
    <row r="32" ht="14.25" customHeight="1" s="69">
      <c r="A32" s="5" t="inlineStr">
        <is>
          <t>5.11-5.17</t>
        </is>
      </c>
      <c r="B32" s="5" t="inlineStr">
        <is>
          <t>5.11-5.17</t>
        </is>
      </c>
      <c r="C32" s="119" t="n">
        <v>898076297965</v>
      </c>
      <c r="D32" s="5" t="inlineStr">
        <is>
          <t>番茄牛肉</t>
        </is>
      </c>
      <c r="E32" s="5" t="inlineStr">
        <is>
          <t>进口正品意面风味奶香番茄牛肉味意式拌面营多捞面早餐儿童宝妈餐</t>
        </is>
      </c>
      <c r="F32" s="7" t="n">
        <v>190.49</v>
      </c>
      <c r="G32" s="7">
        <f>IFERROR(F32/1.13,0)</f>
        <v/>
      </c>
      <c r="H32" s="5" t="n">
        <v>13</v>
      </c>
      <c r="I32" s="8">
        <f>IFERROR(H32/SUMIF($A:$A,A32,$H:$H),0)</f>
        <v/>
      </c>
      <c r="J32" s="9">
        <f>IFERROR(F32/H32,0)</f>
        <v/>
      </c>
      <c r="K32" s="7" t="n">
        <v>52.5634281236005</v>
      </c>
      <c r="L32" s="7" t="n">
        <v>133.044359605911</v>
      </c>
      <c r="M32" s="9">
        <f>IFERROR(L32/K32,0)</f>
        <v/>
      </c>
      <c r="N32" s="7" t="n">
        <v>5.91141961486789</v>
      </c>
      <c r="O32" s="7" t="n">
        <v>15.7865584415584</v>
      </c>
      <c r="P32" s="9">
        <f>IFERROR(O32/N32,0)</f>
        <v/>
      </c>
      <c r="Q32" s="7">
        <f>K32+N32</f>
        <v/>
      </c>
      <c r="R32" s="7">
        <f>L32+O32</f>
        <v/>
      </c>
      <c r="S32" s="9">
        <f>IFERROR(R32/Q32,0)</f>
        <v/>
      </c>
      <c r="T32" s="8">
        <f>IFERROR(Q32/SUMIF($A:$A,A32,$Q:$Q),0)</f>
        <v/>
      </c>
      <c r="U32" s="8">
        <f>IFERROR(Q32/F32,0)</f>
        <v/>
      </c>
      <c r="V32" s="7">
        <f>F32-R32</f>
        <v/>
      </c>
      <c r="W32" s="8">
        <f>IFERROR(V32/F32,0)</f>
        <v/>
      </c>
      <c r="X32" s="7">
        <f>IFERROR(VLOOKUP(A32,周报其他费用!$A:$B,2,FALSE)*I32,0)</f>
        <v/>
      </c>
      <c r="Y32" s="7" t="n">
        <v>1.53</v>
      </c>
      <c r="Z32" s="8">
        <f>IFERROR(Y32/G32,0)</f>
        <v/>
      </c>
      <c r="AA32" s="7">
        <f>Y32-K32/1.06</f>
        <v/>
      </c>
      <c r="AB32" s="8">
        <f>IFERROR(AA32/G32,0)</f>
        <v/>
      </c>
      <c r="AC32" s="7">
        <f>Y32-(Q32+X32)/1.06</f>
        <v/>
      </c>
      <c r="AD32" s="8">
        <f>IFERROR(AC32/G32,0)</f>
        <v/>
      </c>
    </row>
    <row r="33" ht="14.25" customHeight="1" s="69">
      <c r="A33" s="5" t="inlineStr">
        <is>
          <t>5.11-5.17</t>
        </is>
      </c>
      <c r="B33" s="5" t="inlineStr">
        <is>
          <t>5.11-5.17</t>
        </is>
      </c>
      <c r="C33" s="119" t="n">
        <v>754828376158</v>
      </c>
      <c r="D33" s="5" t="inlineStr">
        <is>
          <t>六口味混搭</t>
        </is>
      </c>
      <c r="E33" s="5" t="inlineStr">
        <is>
          <t>进口营多捞面汤面拌面六口味混合方便面速食食品泡面</t>
        </is>
      </c>
      <c r="F33" s="7" t="n">
        <v>16.51</v>
      </c>
      <c r="G33" s="7">
        <f>IFERROR(F33/1.13,0)</f>
        <v/>
      </c>
      <c r="H33" s="5" t="n">
        <v>1</v>
      </c>
      <c r="I33" s="8">
        <f>IFERROR(H33/SUMIF($A:$A,A33,$H:$H),0)</f>
        <v/>
      </c>
      <c r="J33" s="9">
        <f>IFERROR(F33/H33,0)</f>
        <v/>
      </c>
      <c r="K33" s="7" t="n">
        <v>1.96487908643081</v>
      </c>
      <c r="L33" s="7" t="n">
        <v>17.4749507389163</v>
      </c>
      <c r="M33" s="9">
        <f>IFERROR(L33/K33,0)</f>
        <v/>
      </c>
      <c r="N33" s="7" t="n">
        <v>0.454724585759068</v>
      </c>
      <c r="O33" s="7" t="n">
        <v>1.21435064935065</v>
      </c>
      <c r="P33" s="9">
        <f>IFERROR(O33/N33,0)</f>
        <v/>
      </c>
      <c r="Q33" s="7">
        <f>K33+N33</f>
        <v/>
      </c>
      <c r="R33" s="7">
        <f>L33+O33</f>
        <v/>
      </c>
      <c r="S33" s="9">
        <f>IFERROR(R33/Q33,0)</f>
        <v/>
      </c>
      <c r="T33" s="8">
        <f>IFERROR(Q33/SUMIF($A:$A,A33,$Q:$Q),0)</f>
        <v/>
      </c>
      <c r="U33" s="8">
        <f>IFERROR(Q33/F33,0)</f>
        <v/>
      </c>
      <c r="V33" s="7">
        <f>F33-R33</f>
        <v/>
      </c>
      <c r="W33" s="8">
        <f>IFERROR(V33/F33,0)</f>
        <v/>
      </c>
      <c r="X33" s="7">
        <f>IFERROR(VLOOKUP(A33,周报其他费用!$A:$B,2,FALSE)*I33,0)</f>
        <v/>
      </c>
      <c r="Y33" s="7" t="n">
        <v>1.17</v>
      </c>
      <c r="Z33" s="8">
        <f>IFERROR(Y33/G33,0)</f>
        <v/>
      </c>
      <c r="AA33" s="7">
        <f>Y33-K33/1.06</f>
        <v/>
      </c>
      <c r="AB33" s="8">
        <f>IFERROR(AA33/G33,0)</f>
        <v/>
      </c>
      <c r="AC33" s="7">
        <f>Y33-(Q33+X33)/1.06</f>
        <v/>
      </c>
      <c r="AD33" s="8">
        <f>IFERROR(AC33/G33,0)</f>
        <v/>
      </c>
    </row>
    <row r="34" ht="14.25" customHeight="1" s="69">
      <c r="A34" s="5" t="inlineStr">
        <is>
          <t>5.11-5.17</t>
        </is>
      </c>
      <c r="B34" s="5" t="inlineStr">
        <is>
          <t>5.11-5.17</t>
        </is>
      </c>
      <c r="C34" s="119" t="n">
        <v>903183018417</v>
      </c>
      <c r="D34" s="5" t="inlineStr">
        <is>
          <t>七口味混搭</t>
        </is>
      </c>
      <c r="E34" s="5" t="inlineStr">
        <is>
          <t>进口营多捞面汤面拌面七口味混合方便面速拉面宿舍拌面泡面食食品</t>
        </is>
      </c>
      <c r="F34" s="7" t="n">
        <v>18.46</v>
      </c>
      <c r="G34" s="7">
        <f>IFERROR(F34/1.13,0)</f>
        <v/>
      </c>
      <c r="H34" s="5" t="n">
        <v>1</v>
      </c>
      <c r="I34" s="8">
        <f>IFERROR(H34/SUMIF($A:$A,A34,$H:$H),0)</f>
        <v/>
      </c>
      <c r="J34" s="9">
        <f>IFERROR(F34/H34,0)</f>
        <v/>
      </c>
      <c r="K34" s="7" t="n">
        <v>2.67487908643081</v>
      </c>
      <c r="L34" s="7" t="n">
        <v>0.964950738916263</v>
      </c>
      <c r="M34" s="9">
        <f>IFERROR(L34/K34,0)</f>
        <v/>
      </c>
      <c r="N34" s="7" t="n">
        <v>0.454724585759068</v>
      </c>
      <c r="O34" s="7" t="n">
        <v>1.21435064935065</v>
      </c>
      <c r="P34" s="9">
        <f>IFERROR(O34/N34,0)</f>
        <v/>
      </c>
      <c r="Q34" s="7">
        <f>K34+N34</f>
        <v/>
      </c>
      <c r="R34" s="7">
        <f>L34+O34</f>
        <v/>
      </c>
      <c r="S34" s="9">
        <f>IFERROR(R34/Q34,0)</f>
        <v/>
      </c>
      <c r="T34" s="8">
        <f>IFERROR(Q34/SUMIF($A:$A,A34,$Q:$Q),0)</f>
        <v/>
      </c>
      <c r="U34" s="8">
        <f>IFERROR(Q34/F34,0)</f>
        <v/>
      </c>
      <c r="V34" s="7">
        <f>F34-R34</f>
        <v/>
      </c>
      <c r="W34" s="8">
        <f>IFERROR(V34/F34,0)</f>
        <v/>
      </c>
      <c r="X34" s="7">
        <f>IFERROR(VLOOKUP(A34,周报其他费用!$A:$B,2,FALSE)*I34,0)</f>
        <v/>
      </c>
      <c r="Y34" s="7" t="n">
        <v>0.977</v>
      </c>
      <c r="Z34" s="8">
        <f>IFERROR(Y34/G34,0)</f>
        <v/>
      </c>
      <c r="AA34" s="7">
        <f>Y34-K34/1.06</f>
        <v/>
      </c>
      <c r="AB34" s="8">
        <f>IFERROR(AA34/G34,0)</f>
        <v/>
      </c>
      <c r="AC34" s="7">
        <f>Y34-(Q34+X34)/1.06</f>
        <v/>
      </c>
      <c r="AD34" s="8">
        <f>IFERROR(AC34/G34,0)</f>
        <v/>
      </c>
    </row>
    <row r="35" ht="14.25" customHeight="1" s="69">
      <c r="A35" s="5" t="inlineStr">
        <is>
          <t>5.11-5.17</t>
        </is>
      </c>
      <c r="B35" s="5" t="inlineStr">
        <is>
          <t>5.11-5.17</t>
        </is>
      </c>
      <c r="C35" s="119" t="n">
        <v>869217868453</v>
      </c>
      <c r="D35" s="5" t="inlineStr">
        <is>
          <t>韩式杯面</t>
        </is>
      </c>
      <c r="E35" s="5" t="inlineStr">
        <is>
          <t>营多捞面韩式甜辣炸鸡辣蘑菇杯面方便面拌面泡面宿舍速食面</t>
        </is>
      </c>
      <c r="F35" s="7" t="n">
        <v>15.53</v>
      </c>
      <c r="G35" s="7">
        <f>IFERROR(F35/1.13,0)</f>
        <v/>
      </c>
      <c r="H35" s="5" t="n">
        <v>1</v>
      </c>
      <c r="I35" s="8">
        <f>IFERROR(H35/SUMIF($A:$A,A35,$H:$H),0)</f>
        <v/>
      </c>
      <c r="J35" s="9">
        <f>IFERROR(F35/H35,0)</f>
        <v/>
      </c>
      <c r="K35" s="7" t="n">
        <v>8.024879086430809</v>
      </c>
      <c r="L35" s="7" t="n">
        <v>0.964950738916263</v>
      </c>
      <c r="M35" s="9">
        <f>IFERROR(L35/K35,0)</f>
        <v/>
      </c>
      <c r="N35" s="7" t="n">
        <v>0.454724585759068</v>
      </c>
      <c r="O35" s="7" t="n">
        <v>1.21435064935065</v>
      </c>
      <c r="P35" s="9">
        <f>IFERROR(O35/N35,0)</f>
        <v/>
      </c>
      <c r="Q35" s="7">
        <f>K35+N35</f>
        <v/>
      </c>
      <c r="R35" s="7">
        <f>L35+O35</f>
        <v/>
      </c>
      <c r="S35" s="9">
        <f>IFERROR(R35/Q35,0)</f>
        <v/>
      </c>
      <c r="T35" s="8">
        <f>IFERROR(Q35/SUMIF($A:$A,A35,$Q:$Q),0)</f>
        <v/>
      </c>
      <c r="U35" s="8">
        <f>IFERROR(Q35/F35,0)</f>
        <v/>
      </c>
      <c r="V35" s="7">
        <f>F35-R35</f>
        <v/>
      </c>
      <c r="W35" s="8">
        <f>IFERROR(V35/F35,0)</f>
        <v/>
      </c>
      <c r="X35" s="7">
        <f>IFERROR(VLOOKUP(A35,周报其他费用!$A:$B,2,FALSE)*I35,0)</f>
        <v/>
      </c>
      <c r="Y35" s="7" t="n">
        <v>0.788</v>
      </c>
      <c r="Z35" s="8">
        <f>IFERROR(Y35/G35,0)</f>
        <v/>
      </c>
      <c r="AA35" s="7">
        <f>Y35-K35/1.06</f>
        <v/>
      </c>
      <c r="AB35" s="8">
        <f>IFERROR(AA35/G35,0)</f>
        <v/>
      </c>
      <c r="AC35" s="7">
        <f>Y35-(Q35+X35)/1.06</f>
        <v/>
      </c>
      <c r="AD35" s="8">
        <f>IFERROR(AC35/G35,0)</f>
        <v/>
      </c>
    </row>
    <row r="36" ht="14.25" customHeight="1" s="69">
      <c r="A36" s="5" t="inlineStr">
        <is>
          <t>5.11-5.17</t>
        </is>
      </c>
      <c r="B36" s="5" t="inlineStr">
        <is>
          <t>5.11-5.17</t>
        </is>
      </c>
      <c r="C36" s="119" t="n">
        <v>1019397839311</v>
      </c>
      <c r="D36" s="5" t="inlineStr">
        <is>
          <t>多口味混搭</t>
        </is>
      </c>
      <c r="E36" s="5" t="inlineStr">
        <is>
          <t>营多捞面原味番茄牛肉袋装泡面汤面干拌面方便面宿舍速食旅行宵夜</t>
        </is>
      </c>
      <c r="F36" s="7" t="n">
        <v>13.41</v>
      </c>
      <c r="G36" s="7">
        <f>IFERROR(F36/1.13,0)</f>
        <v/>
      </c>
      <c r="H36" s="5" t="n">
        <v>1</v>
      </c>
      <c r="I36" s="8">
        <f>IFERROR(H36/SUMIF($A:$A,A36,$H:$H),0)</f>
        <v/>
      </c>
      <c r="J36" s="9">
        <f>IFERROR(F36/H36,0)</f>
        <v/>
      </c>
      <c r="K36" s="7" t="n">
        <v>0.914879086430811</v>
      </c>
      <c r="L36" s="7" t="n">
        <v>0.964950738916263</v>
      </c>
      <c r="M36" s="9">
        <f>IFERROR(L36/K36,0)</f>
        <v/>
      </c>
      <c r="N36" s="7" t="n">
        <v>0.454724585759068</v>
      </c>
      <c r="O36" s="7" t="n">
        <v>1.21435064935065</v>
      </c>
      <c r="P36" s="9">
        <f>IFERROR(O36/N36,0)</f>
        <v/>
      </c>
      <c r="Q36" s="7">
        <f>K36+N36</f>
        <v/>
      </c>
      <c r="R36" s="7">
        <f>L36+O36</f>
        <v/>
      </c>
      <c r="S36" s="9">
        <f>IFERROR(R36/Q36,0)</f>
        <v/>
      </c>
      <c r="T36" s="8">
        <f>IFERROR(Q36/SUMIF($A:$A,A36,$Q:$Q),0)</f>
        <v/>
      </c>
      <c r="U36" s="8">
        <f>IFERROR(Q36/F36,0)</f>
        <v/>
      </c>
      <c r="V36" s="7">
        <f>F36-R36</f>
        <v/>
      </c>
      <c r="W36" s="8">
        <f>IFERROR(V36/F36,0)</f>
        <v/>
      </c>
      <c r="X36" s="7">
        <f>IFERROR(VLOOKUP(A36,周报其他费用!$A:$B,2,FALSE)*I36,0)</f>
        <v/>
      </c>
      <c r="Y36" s="7" t="n">
        <v>0.111</v>
      </c>
      <c r="Z36" s="8">
        <f>IFERROR(Y36/G36,0)</f>
        <v/>
      </c>
      <c r="AA36" s="7">
        <f>Y36-K36/1.06</f>
        <v/>
      </c>
      <c r="AB36" s="8">
        <f>IFERROR(AA36/G36,0)</f>
        <v/>
      </c>
      <c r="AC36" s="7">
        <f>Y36-(Q36+X36)/1.06</f>
        <v/>
      </c>
      <c r="AD36" s="8">
        <f>IFERROR(AC36/G36,0)</f>
        <v/>
      </c>
    </row>
    <row r="37" ht="14.25" customHeight="1" s="69">
      <c r="A37" s="5" t="inlineStr">
        <is>
          <t>5.11-5.17</t>
        </is>
      </c>
      <c r="B37" s="5" t="inlineStr">
        <is>
          <t>5.11-5.17</t>
        </is>
      </c>
      <c r="C37" s="119" t="n">
        <v>916072786304</v>
      </c>
      <c r="D37" s="5" t="inlineStr">
        <is>
          <t>小规格</t>
        </is>
      </c>
      <c r="E37" s="5" t="inlineStr">
        <is>
          <t>营多印尼进口营多捞面方便面火鸡面干拌面10包宿舍速食泡面夜宵</t>
        </is>
      </c>
      <c r="F37" s="7" t="n">
        <v>39.23</v>
      </c>
      <c r="G37" s="7">
        <f>IFERROR(F37/1.13,0)</f>
        <v/>
      </c>
      <c r="H37" s="5" t="n">
        <v>3</v>
      </c>
      <c r="I37" s="8">
        <f>IFERROR(H37/SUMIF($A:$A,A37,$H:$H),0)</f>
        <v/>
      </c>
      <c r="J37" s="9">
        <f>IFERROR(F37/H37,0)</f>
        <v/>
      </c>
      <c r="K37" s="7" t="n">
        <v>5.27463725929243</v>
      </c>
      <c r="L37" s="7" t="n">
        <v>2.89485221674879</v>
      </c>
      <c r="M37" s="9">
        <f>IFERROR(L37/K37,0)</f>
        <v/>
      </c>
      <c r="N37" s="7" t="n">
        <v>1.36417375727721</v>
      </c>
      <c r="O37" s="7" t="n">
        <v>3.64305194805195</v>
      </c>
      <c r="P37" s="9">
        <f>IFERROR(O37/N37,0)</f>
        <v/>
      </c>
      <c r="Q37" s="7">
        <f>K37+N37</f>
        <v/>
      </c>
      <c r="R37" s="7">
        <f>L37+O37</f>
        <v/>
      </c>
      <c r="S37" s="9">
        <f>IFERROR(R37/Q37,0)</f>
        <v/>
      </c>
      <c r="T37" s="8">
        <f>IFERROR(Q37/SUMIF($A:$A,A37,$Q:$Q),0)</f>
        <v/>
      </c>
      <c r="U37" s="8">
        <f>IFERROR(Q37/F37,0)</f>
        <v/>
      </c>
      <c r="V37" s="7">
        <f>F37-R37</f>
        <v/>
      </c>
      <c r="W37" s="8">
        <f>IFERROR(V37/F37,0)</f>
        <v/>
      </c>
      <c r="X37" s="7">
        <f>IFERROR(VLOOKUP(A37,周报其他费用!$A:$B,2,FALSE)*I37,0)</f>
        <v/>
      </c>
      <c r="Y37" s="7" t="n">
        <v>-0.484</v>
      </c>
      <c r="Z37" s="8">
        <f>IFERROR(Y37/G37,0)</f>
        <v/>
      </c>
      <c r="AA37" s="7">
        <f>Y37-K37/1.06</f>
        <v/>
      </c>
      <c r="AB37" s="8">
        <f>IFERROR(AA37/G37,0)</f>
        <v/>
      </c>
      <c r="AC37" s="7">
        <f>Y37-(Q37+X37)/1.06</f>
        <v/>
      </c>
      <c r="AD37" s="8">
        <f>IFERROR(AC37/G37,0)</f>
        <v/>
      </c>
    </row>
    <row r="38" ht="14.25" customHeight="1" s="69">
      <c r="A38" s="5" t="inlineStr">
        <is>
          <t>5.11-5.17</t>
        </is>
      </c>
      <c r="B38" s="5" t="inlineStr">
        <is>
          <t>5.11-5.17</t>
        </is>
      </c>
      <c r="C38" s="119" t="n">
        <v>976467954327</v>
      </c>
      <c r="D38" s="5" t="inlineStr">
        <is>
          <t>日韩杯面</t>
        </is>
      </c>
      <c r="E38" s="5" t="inlineStr">
        <is>
          <t>【天猫U选】indomie营多捞面辣蘑菇味日式辣味杯面</t>
        </is>
      </c>
      <c r="F38" s="7" t="n">
        <v>15.17</v>
      </c>
      <c r="G38" s="7">
        <f>IFERROR(F38/1.13,0)</f>
        <v/>
      </c>
      <c r="H38" s="5" t="n">
        <v>2</v>
      </c>
      <c r="I38" s="8">
        <f>IFERROR(H38/SUMIF($A:$A,A38,$H:$H),0)</f>
        <v/>
      </c>
      <c r="J38" s="9">
        <f>IFERROR(F38/H38,0)</f>
        <v/>
      </c>
      <c r="K38" s="7" t="n">
        <v>0.469758172861622</v>
      </c>
      <c r="L38" s="7" t="n">
        <v>1.92990147783253</v>
      </c>
      <c r="M38" s="9">
        <f>IFERROR(L38/K38,0)</f>
        <v/>
      </c>
      <c r="N38" s="7" t="n">
        <v>0.909449171518137</v>
      </c>
      <c r="O38" s="7" t="n">
        <v>2.4287012987013</v>
      </c>
      <c r="P38" s="9">
        <f>IFERROR(O38/N38,0)</f>
        <v/>
      </c>
      <c r="Q38" s="7">
        <f>K38+N38</f>
        <v/>
      </c>
      <c r="R38" s="7">
        <f>L38+O38</f>
        <v/>
      </c>
      <c r="S38" s="9">
        <f>IFERROR(R38/Q38,0)</f>
        <v/>
      </c>
      <c r="T38" s="8">
        <f>IFERROR(Q38/SUMIF($A:$A,A38,$Q:$Q),0)</f>
        <v/>
      </c>
      <c r="U38" s="8">
        <f>IFERROR(Q38/F38,0)</f>
        <v/>
      </c>
      <c r="V38" s="7">
        <f>F38-R38</f>
        <v/>
      </c>
      <c r="W38" s="8">
        <f>IFERROR(V38/F38,0)</f>
        <v/>
      </c>
      <c r="X38" s="7">
        <f>IFERROR(VLOOKUP(A38,周报其他费用!$A:$B,2,FALSE)*I38,0)</f>
        <v/>
      </c>
      <c r="Y38" s="7" t="n">
        <v>-6.508</v>
      </c>
      <c r="Z38" s="8">
        <f>IFERROR(Y38/G38,0)</f>
        <v/>
      </c>
      <c r="AA38" s="7">
        <f>Y38-K38/1.06</f>
        <v/>
      </c>
      <c r="AB38" s="8">
        <f>IFERROR(AA38/G38,0)</f>
        <v/>
      </c>
      <c r="AC38" s="7">
        <f>Y38-(Q38+X38)/1.06</f>
        <v/>
      </c>
      <c r="AD38" s="8">
        <f>IFERROR(AC38/G38,0)</f>
        <v/>
      </c>
    </row>
    <row r="39" ht="14.25" customHeight="1" s="69">
      <c r="A39" s="5" t="inlineStr">
        <is>
          <t>5.11-5.17</t>
        </is>
      </c>
      <c r="B39" s="5" t="inlineStr">
        <is>
          <t>5.11-5.17</t>
        </is>
      </c>
      <c r="C39" s="119" t="n">
        <v>976466902934</v>
      </c>
      <c r="D39" s="5" t="inlineStr">
        <is>
          <t>【U选】日式原杯1+日式辣杯1</t>
        </is>
      </c>
      <c r="E39" s="5" t="inlineStr">
        <is>
          <t>【天猫U选】indomie营多捞面辣火鸡味日式鸡肉原味杯面</t>
        </is>
      </c>
      <c r="F39" s="7" t="n">
        <v>72.81999999999999</v>
      </c>
      <c r="G39" s="7">
        <f>IFERROR(F39/1.13,0)</f>
        <v/>
      </c>
      <c r="H39" s="5" t="n">
        <v>9</v>
      </c>
      <c r="I39" s="8">
        <f>IFERROR(H39/SUMIF($A:$A,A39,$H:$H),0)</f>
        <v/>
      </c>
      <c r="J39" s="9">
        <f>IFERROR(F39/H39,0)</f>
        <v/>
      </c>
      <c r="K39" s="7" t="n">
        <v>2.1139117778773</v>
      </c>
      <c r="L39" s="7" t="n">
        <v>8.684556650246369</v>
      </c>
      <c r="M39" s="9">
        <f>IFERROR(L39/K39,0)</f>
        <v/>
      </c>
      <c r="N39" s="7" t="n">
        <v>4.09252127183162</v>
      </c>
      <c r="O39" s="7" t="n">
        <v>10.9291558441558</v>
      </c>
      <c r="P39" s="9">
        <f>IFERROR(O39/N39,0)</f>
        <v/>
      </c>
      <c r="Q39" s="7">
        <f>K39+N39</f>
        <v/>
      </c>
      <c r="R39" s="7">
        <f>L39+O39</f>
        <v/>
      </c>
      <c r="S39" s="9">
        <f>IFERROR(R39/Q39,0)</f>
        <v/>
      </c>
      <c r="T39" s="8">
        <f>IFERROR(Q39/SUMIF($A:$A,A39,$Q:$Q),0)</f>
        <v/>
      </c>
      <c r="U39" s="8">
        <f>IFERROR(Q39/F39,0)</f>
        <v/>
      </c>
      <c r="V39" s="7">
        <f>F39-R39</f>
        <v/>
      </c>
      <c r="W39" s="8">
        <f>IFERROR(V39/F39,0)</f>
        <v/>
      </c>
      <c r="X39" s="7">
        <f>IFERROR(VLOOKUP(A39,周报其他费用!$A:$B,2,FALSE)*I39,0)</f>
        <v/>
      </c>
      <c r="Y39" s="7" t="n">
        <v>-25.561</v>
      </c>
      <c r="Z39" s="8">
        <f>IFERROR(Y39/G39,0)</f>
        <v/>
      </c>
      <c r="AA39" s="7">
        <f>Y39-K39/1.06</f>
        <v/>
      </c>
      <c r="AB39" s="8">
        <f>IFERROR(AA39/G39,0)</f>
        <v/>
      </c>
      <c r="AC39" s="7">
        <f>Y39-(Q39+X39)/1.06</f>
        <v/>
      </c>
      <c r="AD39" s="8">
        <f>IFERROR(AC39/G39,0)</f>
        <v/>
      </c>
    </row>
    <row r="40" ht="14.25" customHeight="1" s="69">
      <c r="A40" s="5" t="inlineStr">
        <is>
          <t>5.11-5.17</t>
        </is>
      </c>
      <c r="B40" s="5" t="inlineStr">
        <is>
          <t>5.11-5.17</t>
        </is>
      </c>
      <c r="C40" s="119" t="n">
        <v>976479938842</v>
      </c>
      <c r="D40" s="5" t="inlineStr">
        <is>
          <t>【U选】原味5</t>
        </is>
      </c>
      <c r="E40" s="5" t="inlineStr">
        <is>
          <t>【天猫U选】indomie营多大骨牛肉味捞面拌面5包</t>
        </is>
      </c>
      <c r="F40" s="7" t="n">
        <v>144.54</v>
      </c>
      <c r="G40" s="7">
        <f>IFERROR(F40/1.13,0)</f>
        <v/>
      </c>
      <c r="H40" s="5" t="n">
        <v>18</v>
      </c>
      <c r="I40" s="8">
        <f>IFERROR(H40/SUMIF($A:$A,A40,$H:$H),0)</f>
        <v/>
      </c>
      <c r="J40" s="9">
        <f>IFERROR(F40/H40,0)</f>
        <v/>
      </c>
      <c r="K40" s="7" t="n">
        <v>4.2278235557546</v>
      </c>
      <c r="L40" s="7" t="n">
        <v>17.3691133004927</v>
      </c>
      <c r="M40" s="9">
        <f>IFERROR(L40/K40,0)</f>
        <v/>
      </c>
      <c r="N40" s="7" t="n">
        <v>8.185042543663229</v>
      </c>
      <c r="O40" s="7" t="n">
        <v>21.8583116883117</v>
      </c>
      <c r="P40" s="9">
        <f>IFERROR(O40/N40,0)</f>
        <v/>
      </c>
      <c r="Q40" s="7">
        <f>K40+N40</f>
        <v/>
      </c>
      <c r="R40" s="7">
        <f>L40+O40</f>
        <v/>
      </c>
      <c r="S40" s="9">
        <f>IFERROR(R40/Q40,0)</f>
        <v/>
      </c>
      <c r="T40" s="8">
        <f>IFERROR(Q40/SUMIF($A:$A,A40,$Q:$Q),0)</f>
        <v/>
      </c>
      <c r="U40" s="8">
        <f>IFERROR(Q40/F40,0)</f>
        <v/>
      </c>
      <c r="V40" s="7">
        <f>F40-R40</f>
        <v/>
      </c>
      <c r="W40" s="8">
        <f>IFERROR(V40/F40,0)</f>
        <v/>
      </c>
      <c r="X40" s="7">
        <f>IFERROR(VLOOKUP(A40,周报其他费用!$A:$B,2,FALSE)*I40,0)</f>
        <v/>
      </c>
      <c r="Y40" s="7" t="n">
        <v>-77.292</v>
      </c>
      <c r="Z40" s="8">
        <f>IFERROR(Y40/G40,0)</f>
        <v/>
      </c>
      <c r="AA40" s="7">
        <f>Y40-K40/1.06</f>
        <v/>
      </c>
      <c r="AB40" s="8">
        <f>IFERROR(AA40/G40,0)</f>
        <v/>
      </c>
      <c r="AC40" s="7">
        <f>Y40-(Q40+X40)/1.06</f>
        <v/>
      </c>
      <c r="AD40" s="8">
        <f>IFERROR(AC40/G40,0)</f>
        <v/>
      </c>
    </row>
    <row r="41" ht="14.25" customHeight="1" s="69">
      <c r="A41" s="5" t="inlineStr">
        <is>
          <t>5.25-5.31</t>
        </is>
      </c>
      <c r="B41" s="5" t="inlineStr">
        <is>
          <t>5.25-5.31</t>
        </is>
      </c>
      <c r="C41" s="119" t="n">
        <v>668566625747</v>
      </c>
      <c r="D41" s="5" t="inlineStr">
        <is>
          <t>袋面主链接</t>
        </is>
      </c>
      <c r="E41" s="5" t="inlineStr">
        <is>
          <t>印尼营多捞面进口网红泡面袋装方便面速食食品拉面火鸡面拌面整箱</t>
        </is>
      </c>
      <c r="F41" s="7" t="n">
        <v>44844.950000001</v>
      </c>
      <c r="G41" s="7">
        <f>IFERROR(F41/1.13,0)</f>
        <v/>
      </c>
      <c r="H41" s="5" t="n">
        <v>1819</v>
      </c>
      <c r="I41" s="8">
        <f>IFERROR(H41/SUMIF($A:$A,A41,$H:$H),0)</f>
        <v/>
      </c>
      <c r="J41" s="9">
        <f>IFERROR(F41/H41,0)</f>
        <v/>
      </c>
      <c r="K41" s="7" t="n">
        <v>7100.33867212761</v>
      </c>
      <c r="L41" s="7" t="n">
        <v>33168.3263677517</v>
      </c>
      <c r="M41" s="9">
        <f>IFERROR(L41/K41,0)</f>
        <v/>
      </c>
      <c r="N41" s="7" t="n">
        <v>809.966704031041</v>
      </c>
      <c r="O41" s="7" t="n">
        <v>1605.70372278508</v>
      </c>
      <c r="P41" s="9">
        <f>IFERROR(O41/N41,0)</f>
        <v/>
      </c>
      <c r="Q41" s="7">
        <f>K41+N41</f>
        <v/>
      </c>
      <c r="R41" s="7">
        <f>L41+O41</f>
        <v/>
      </c>
      <c r="S41" s="9">
        <f>IFERROR(R41/Q41,0)</f>
        <v/>
      </c>
      <c r="T41" s="8">
        <f>IFERROR(Q41/SUMIF($A:$A,A41,$Q:$Q),0)</f>
        <v/>
      </c>
      <c r="U41" s="8">
        <f>IFERROR(Q41/F41,0)</f>
        <v/>
      </c>
      <c r="V41" s="7">
        <f>F41-R41</f>
        <v/>
      </c>
      <c r="W41" s="8">
        <f>IFERROR(V41/F41,0)</f>
        <v/>
      </c>
      <c r="X41" s="7">
        <f>IFERROR(VLOOKUP(A41,周报其他费用!$A:$B,2,FALSE)*I41,0)</f>
        <v/>
      </c>
      <c r="Y41" s="7" t="n">
        <v>5985.80900000003</v>
      </c>
      <c r="Z41" s="8">
        <f>IFERROR(Y41/G41,0)</f>
        <v/>
      </c>
      <c r="AA41" s="7">
        <f>Y41-K41/1.06</f>
        <v/>
      </c>
      <c r="AB41" s="8">
        <f>IFERROR(AA41/G41,0)</f>
        <v/>
      </c>
      <c r="AC41" s="7">
        <f>Y41-(Q41+X41)/1.06</f>
        <v/>
      </c>
      <c r="AD41" s="8">
        <f>IFERROR(AC41/G41,0)</f>
        <v/>
      </c>
    </row>
    <row r="42" ht="14.25" customHeight="1" s="69">
      <c r="A42" s="5" t="inlineStr">
        <is>
          <t>5.25-5.31</t>
        </is>
      </c>
      <c r="B42" s="5" t="inlineStr">
        <is>
          <t>5.25-5.31</t>
        </is>
      </c>
      <c r="C42" s="119" t="n">
        <v>649361890551</v>
      </c>
      <c r="D42" s="5" t="inlineStr">
        <is>
          <t>袋面次链接</t>
        </is>
      </c>
      <c r="E42" s="5" t="inlineStr">
        <is>
          <t>营多捞面印尼进口Indomie网红夜宵早餐方便面火鸡面泡面拌面</t>
        </is>
      </c>
      <c r="F42" s="7" t="n">
        <v>21166.4700000002</v>
      </c>
      <c r="G42" s="7">
        <f>IFERROR(F42/1.13,0)</f>
        <v/>
      </c>
      <c r="H42" s="5" t="n">
        <v>1147</v>
      </c>
      <c r="I42" s="8">
        <f>IFERROR(H42/SUMIF($A:$A,A42,$H:$H),0)</f>
        <v/>
      </c>
      <c r="J42" s="9">
        <f>IFERROR(F42/H42,0)</f>
        <v/>
      </c>
      <c r="K42" s="7" t="n">
        <v>3796.54150463462</v>
      </c>
      <c r="L42" s="7" t="n">
        <v>15321.648693684</v>
      </c>
      <c r="M42" s="9">
        <f>IFERROR(L42/K42,0)</f>
        <v/>
      </c>
      <c r="N42" s="7" t="n">
        <v>510.737663289502</v>
      </c>
      <c r="O42" s="7" t="n">
        <v>1012.50256736366</v>
      </c>
      <c r="P42" s="9">
        <f>IFERROR(O42/N42,0)</f>
        <v/>
      </c>
      <c r="Q42" s="7">
        <f>K42+N42</f>
        <v/>
      </c>
      <c r="R42" s="7">
        <f>L42+O42</f>
        <v/>
      </c>
      <c r="S42" s="9">
        <f>IFERROR(R42/Q42,0)</f>
        <v/>
      </c>
      <c r="T42" s="8">
        <f>IFERROR(Q42/SUMIF($A:$A,A42,$Q:$Q),0)</f>
        <v/>
      </c>
      <c r="U42" s="8">
        <f>IFERROR(Q42/F42,0)</f>
        <v/>
      </c>
      <c r="V42" s="7">
        <f>F42-R42</f>
        <v/>
      </c>
      <c r="W42" s="8">
        <f>IFERROR(V42/F42,0)</f>
        <v/>
      </c>
      <c r="X42" s="7">
        <f>IFERROR(VLOOKUP(A42,周报其他费用!$A:$B,2,FALSE)*I42,0)</f>
        <v/>
      </c>
      <c r="Y42" s="7" t="n">
        <v>1882.99899999999</v>
      </c>
      <c r="Z42" s="8">
        <f>IFERROR(Y42/G42,0)</f>
        <v/>
      </c>
      <c r="AA42" s="7">
        <f>Y42-K42/1.06</f>
        <v/>
      </c>
      <c r="AB42" s="8">
        <f>IFERROR(AA42/G42,0)</f>
        <v/>
      </c>
      <c r="AC42" s="7">
        <f>Y42-(Q42+X42)/1.06</f>
        <v/>
      </c>
      <c r="AD42" s="8">
        <f>IFERROR(AC42/G42,0)</f>
        <v/>
      </c>
    </row>
    <row r="43" ht="14.25" customHeight="1" s="69">
      <c r="A43" s="5" t="inlineStr">
        <is>
          <t>5.25-5.31</t>
        </is>
      </c>
      <c r="B43" s="5" t="inlineStr">
        <is>
          <t>5.25-5.31</t>
        </is>
      </c>
      <c r="C43" s="119" t="n">
        <v>649735171438</v>
      </c>
      <c r="D43" s="5" t="inlineStr">
        <is>
          <t>杯面主链接</t>
        </is>
      </c>
      <c r="E43" s="5" t="inlineStr">
        <is>
          <t>印尼进口indomie营多捞面杯面速食泡面干拌面盒桶装方便面火鸡面</t>
        </is>
      </c>
      <c r="F43" s="7" t="n">
        <v>20488.73</v>
      </c>
      <c r="G43" s="7">
        <f>IFERROR(F43/1.13,0)</f>
        <v/>
      </c>
      <c r="H43" s="5" t="n">
        <v>824</v>
      </c>
      <c r="I43" s="8">
        <f>IFERROR(H43/SUMIF($A:$A,A43,$H:$H),0)</f>
        <v/>
      </c>
      <c r="J43" s="9">
        <f>IFERROR(F43/H43,0)</f>
        <v/>
      </c>
      <c r="K43" s="7" t="n">
        <v>3066.62295537831</v>
      </c>
      <c r="L43" s="7" t="n">
        <v>12052.7656003449</v>
      </c>
      <c r="M43" s="9">
        <f>IFERROR(L43/K43,0)</f>
        <v/>
      </c>
      <c r="N43" s="7" t="n">
        <v>366.911799956887</v>
      </c>
      <c r="O43" s="7" t="n">
        <v>727.37760724294</v>
      </c>
      <c r="P43" s="9">
        <f>IFERROR(O43/N43,0)</f>
        <v/>
      </c>
      <c r="Q43" s="7">
        <f>K43+N43</f>
        <v/>
      </c>
      <c r="R43" s="7">
        <f>L43+O43</f>
        <v/>
      </c>
      <c r="S43" s="9">
        <f>IFERROR(R43/Q43,0)</f>
        <v/>
      </c>
      <c r="T43" s="8">
        <f>IFERROR(Q43/SUMIF($A:$A,A43,$Q:$Q),0)</f>
        <v/>
      </c>
      <c r="U43" s="8">
        <f>IFERROR(Q43/F43,0)</f>
        <v/>
      </c>
      <c r="V43" s="7">
        <f>F43-R43</f>
        <v/>
      </c>
      <c r="W43" s="8">
        <f>IFERROR(V43/F43,0)</f>
        <v/>
      </c>
      <c r="X43" s="7">
        <f>IFERROR(VLOOKUP(A43,周报其他费用!$A:$B,2,FALSE)*I43,0)</f>
        <v/>
      </c>
      <c r="Y43" s="7" t="n">
        <v>2209.51100000001</v>
      </c>
      <c r="Z43" s="8">
        <f>IFERROR(Y43/G43,0)</f>
        <v/>
      </c>
      <c r="AA43" s="7">
        <f>Y43-K43/1.06</f>
        <v/>
      </c>
      <c r="AB43" s="8">
        <f>IFERROR(AA43/G43,0)</f>
        <v/>
      </c>
      <c r="AC43" s="7">
        <f>Y43-(Q43+X43)/1.06</f>
        <v/>
      </c>
      <c r="AD43" s="8">
        <f>IFERROR(AC43/G43,0)</f>
        <v/>
      </c>
    </row>
    <row r="44" ht="14.25" customHeight="1" s="69">
      <c r="A44" s="5" t="inlineStr">
        <is>
          <t>5.25-5.31</t>
        </is>
      </c>
      <c r="B44" s="5" t="inlineStr">
        <is>
          <t>5.25-5.31</t>
        </is>
      </c>
      <c r="C44" s="119" t="n">
        <v>648600900806</v>
      </c>
      <c r="D44" s="5" t="inlineStr">
        <is>
          <t>30包</t>
        </is>
      </c>
      <c r="E44" s="5" t="inlineStr">
        <is>
          <t>进口营多捞面一整箱30包网红速食方便面宿舍速食泡面干拌面拉面</t>
        </is>
      </c>
      <c r="F44" s="7" t="n">
        <v>10637.06</v>
      </c>
      <c r="G44" s="7">
        <f>IFERROR(F44/1.13,0)</f>
        <v/>
      </c>
      <c r="H44" s="5" t="n">
        <v>155</v>
      </c>
      <c r="I44" s="8">
        <f>IFERROR(H44/SUMIF($A:$A,A44,$H:$H),0)</f>
        <v/>
      </c>
      <c r="J44" s="9">
        <f>IFERROR(F44/H44,0)</f>
        <v/>
      </c>
      <c r="K44" s="7" t="n">
        <v>2129.99425738306</v>
      </c>
      <c r="L44" s="7" t="n">
        <v>10786.9511748222</v>
      </c>
      <c r="M44" s="9">
        <f>IFERROR(L44/K44,0)</f>
        <v/>
      </c>
      <c r="N44" s="7" t="n">
        <v>69.01860314723</v>
      </c>
      <c r="O44" s="7" t="n">
        <v>136.824671265359</v>
      </c>
      <c r="P44" s="9">
        <f>IFERROR(O44/N44,0)</f>
        <v/>
      </c>
      <c r="Q44" s="7">
        <f>K44+N44</f>
        <v/>
      </c>
      <c r="R44" s="7">
        <f>L44+O44</f>
        <v/>
      </c>
      <c r="S44" s="9">
        <f>IFERROR(R44/Q44,0)</f>
        <v/>
      </c>
      <c r="T44" s="8">
        <f>IFERROR(Q44/SUMIF($A:$A,A44,$Q:$Q),0)</f>
        <v/>
      </c>
      <c r="U44" s="8">
        <f>IFERROR(Q44/F44,0)</f>
        <v/>
      </c>
      <c r="V44" s="7">
        <f>F44-R44</f>
        <v/>
      </c>
      <c r="W44" s="8">
        <f>IFERROR(V44/F44,0)</f>
        <v/>
      </c>
      <c r="X44" s="7">
        <f>IFERROR(VLOOKUP(A44,周报其他费用!$A:$B,2,FALSE)*I44,0)</f>
        <v/>
      </c>
      <c r="Y44" s="7" t="n">
        <v>2055.215</v>
      </c>
      <c r="Z44" s="8">
        <f>IFERROR(Y44/G44,0)</f>
        <v/>
      </c>
      <c r="AA44" s="7">
        <f>Y44-K44/1.06</f>
        <v/>
      </c>
      <c r="AB44" s="8">
        <f>IFERROR(AA44/G44,0)</f>
        <v/>
      </c>
      <c r="AC44" s="7">
        <f>Y44-(Q44+X44)/1.06</f>
        <v/>
      </c>
      <c r="AD44" s="8">
        <f>IFERROR(AC44/G44,0)</f>
        <v/>
      </c>
    </row>
    <row r="45" ht="14.25" customHeight="1" s="69">
      <c r="A45" s="5" t="inlineStr">
        <is>
          <t>5.25-5.31</t>
        </is>
      </c>
      <c r="B45" s="5" t="inlineStr">
        <is>
          <t>5.25-5.31</t>
        </is>
      </c>
      <c r="C45" s="119" t="n">
        <v>649014937782</v>
      </c>
      <c r="D45" s="5" t="inlineStr">
        <is>
          <t>24包</t>
        </is>
      </c>
      <c r="E45" s="5" t="inlineStr">
        <is>
          <t>印尼营多捞面干拌面一整箱24袋装批发泡面宿舍速食方便面火鸡面</t>
        </is>
      </c>
      <c r="F45" s="7" t="n">
        <v>7568.56</v>
      </c>
      <c r="G45" s="7">
        <f>IFERROR(F45/1.13,0)</f>
        <v/>
      </c>
      <c r="H45" s="5" t="n">
        <v>134</v>
      </c>
      <c r="I45" s="8">
        <f>IFERROR(H45/SUMIF($A:$A,A45,$H:$H),0)</f>
        <v/>
      </c>
      <c r="J45" s="9">
        <f>IFERROR(F45/H45,0)</f>
        <v/>
      </c>
      <c r="K45" s="7" t="n">
        <v>1629.0249708989</v>
      </c>
      <c r="L45" s="7" t="n">
        <v>6792.11843500754</v>
      </c>
      <c r="M45" s="9">
        <f>IFERROR(L45/K45,0)</f>
        <v/>
      </c>
      <c r="N45" s="7" t="n">
        <v>59.6676956240569</v>
      </c>
      <c r="O45" s="7" t="n">
        <v>118.287135158439</v>
      </c>
      <c r="P45" s="9">
        <f>IFERROR(O45/N45,0)</f>
        <v/>
      </c>
      <c r="Q45" s="7">
        <f>K45+N45</f>
        <v/>
      </c>
      <c r="R45" s="7">
        <f>L45+O45</f>
        <v/>
      </c>
      <c r="S45" s="9">
        <f>IFERROR(R45/Q45,0)</f>
        <v/>
      </c>
      <c r="T45" s="8">
        <f>IFERROR(Q45/SUMIF($A:$A,A45,$Q:$Q),0)</f>
        <v/>
      </c>
      <c r="U45" s="8">
        <f>IFERROR(Q45/F45,0)</f>
        <v/>
      </c>
      <c r="V45" s="7">
        <f>F45-R45</f>
        <v/>
      </c>
      <c r="W45" s="8">
        <f>IFERROR(V45/F45,0)</f>
        <v/>
      </c>
      <c r="X45" s="7">
        <f>IFERROR(VLOOKUP(A45,周报其他费用!$A:$B,2,FALSE)*I45,0)</f>
        <v/>
      </c>
      <c r="Y45" s="7" t="n">
        <v>1491.221</v>
      </c>
      <c r="Z45" s="8">
        <f>IFERROR(Y45/G45,0)</f>
        <v/>
      </c>
      <c r="AA45" s="7">
        <f>Y45-K45/1.06</f>
        <v/>
      </c>
      <c r="AB45" s="8">
        <f>IFERROR(AA45/G45,0)</f>
        <v/>
      </c>
      <c r="AC45" s="7">
        <f>Y45-(Q45+X45)/1.06</f>
        <v/>
      </c>
      <c r="AD45" s="8">
        <f>IFERROR(AC45/G45,0)</f>
        <v/>
      </c>
    </row>
    <row r="46" ht="14.25" customHeight="1" s="69">
      <c r="A46" s="5" t="inlineStr">
        <is>
          <t>5.25-5.31</t>
        </is>
      </c>
      <c r="B46" s="5" t="inlineStr">
        <is>
          <t>5.25-5.31</t>
        </is>
      </c>
      <c r="C46" s="119" t="n">
        <v>648598580775</v>
      </c>
      <c r="D46" s="5" t="inlineStr">
        <is>
          <t>15包</t>
        </is>
      </c>
      <c r="E46" s="5" t="inlineStr">
        <is>
          <t>进口营多捞面15包Indomie方便面干拌面夜宵方便速食五连包85g*5</t>
        </is>
      </c>
      <c r="F46" s="7" t="n">
        <v>4802.52</v>
      </c>
      <c r="G46" s="7">
        <f>IFERROR(F46/1.13,0)</f>
        <v/>
      </c>
      <c r="H46" s="5" t="n">
        <v>131</v>
      </c>
      <c r="I46" s="8">
        <f>IFERROR(H46/SUMIF($A:$A,A46,$H:$H),0)</f>
        <v/>
      </c>
      <c r="J46" s="9">
        <f>IFERROR(F46/H46,0)</f>
        <v/>
      </c>
      <c r="K46" s="7" t="n">
        <v>863.066501401164</v>
      </c>
      <c r="L46" s="7" t="n">
        <v>3451.1751864626</v>
      </c>
      <c r="M46" s="9">
        <f>IFERROR(L46/K46,0)</f>
        <v/>
      </c>
      <c r="N46" s="7" t="n">
        <v>58.331851692175</v>
      </c>
      <c r="O46" s="7" t="n">
        <v>115.638915714594</v>
      </c>
      <c r="P46" s="9">
        <f>IFERROR(O46/N46,0)</f>
        <v/>
      </c>
      <c r="Q46" s="7">
        <f>K46+N46</f>
        <v/>
      </c>
      <c r="R46" s="7">
        <f>L46+O46</f>
        <v/>
      </c>
      <c r="S46" s="9">
        <f>IFERROR(R46/Q46,0)</f>
        <v/>
      </c>
      <c r="T46" s="8">
        <f>IFERROR(Q46/SUMIF($A:$A,A46,$Q:$Q),0)</f>
        <v/>
      </c>
      <c r="U46" s="8">
        <f>IFERROR(Q46/F46,0)</f>
        <v/>
      </c>
      <c r="V46" s="7">
        <f>F46-R46</f>
        <v/>
      </c>
      <c r="W46" s="8">
        <f>IFERROR(V46/F46,0)</f>
        <v/>
      </c>
      <c r="X46" s="7">
        <f>IFERROR(VLOOKUP(A46,周报其他费用!$A:$B,2,FALSE)*I46,0)</f>
        <v/>
      </c>
      <c r="Y46" s="7" t="n">
        <v>844.4829999999999</v>
      </c>
      <c r="Z46" s="8">
        <f>IFERROR(Y46/G46,0)</f>
        <v/>
      </c>
      <c r="AA46" s="7">
        <f>Y46-K46/1.06</f>
        <v/>
      </c>
      <c r="AB46" s="8">
        <f>IFERROR(AA46/G46,0)</f>
        <v/>
      </c>
      <c r="AC46" s="7">
        <f>Y46-(Q46+X46)/1.06</f>
        <v/>
      </c>
      <c r="AD46" s="8">
        <f>IFERROR(AC46/G46,0)</f>
        <v/>
      </c>
    </row>
    <row r="47" ht="14.25" customHeight="1" s="69">
      <c r="A47" s="5" t="inlineStr">
        <is>
          <t>5.25-5.31</t>
        </is>
      </c>
      <c r="B47" s="5" t="inlineStr">
        <is>
          <t>5.25-5.31</t>
        </is>
      </c>
      <c r="C47" s="119" t="n">
        <v>766165464414</v>
      </c>
      <c r="D47" s="5" t="inlineStr">
        <is>
          <t>12包</t>
        </is>
      </c>
      <c r="E47" s="5" t="inlineStr">
        <is>
          <t>营多印尼进口营多捞面方便面火鸡面干拌面12包宿舍速食泡面夜宵</t>
        </is>
      </c>
      <c r="F47" s="7" t="n">
        <v>3219.9</v>
      </c>
      <c r="G47" s="7">
        <f>IFERROR(F47/1.13,0)</f>
        <v/>
      </c>
      <c r="H47" s="5" t="n">
        <v>108</v>
      </c>
      <c r="I47" s="8">
        <f>IFERROR(H47/SUMIF($A:$A,A47,$H:$H),0)</f>
        <v/>
      </c>
      <c r="J47" s="9">
        <f>IFERROR(F47/H47,0)</f>
        <v/>
      </c>
      <c r="K47" s="7" t="n">
        <v>217.444901918517</v>
      </c>
      <c r="L47" s="7" t="n">
        <v>999.576947618021</v>
      </c>
      <c r="M47" s="9">
        <f>IFERROR(L47/K47,0)</f>
        <v/>
      </c>
      <c r="N47" s="7" t="n">
        <v>48.0903815477474</v>
      </c>
      <c r="O47" s="7" t="n">
        <v>95.33589997844361</v>
      </c>
      <c r="P47" s="9">
        <f>IFERROR(O47/N47,0)</f>
        <v/>
      </c>
      <c r="Q47" s="7">
        <f>K47+N47</f>
        <v/>
      </c>
      <c r="R47" s="7">
        <f>L47+O47</f>
        <v/>
      </c>
      <c r="S47" s="9">
        <f>IFERROR(R47/Q47,0)</f>
        <v/>
      </c>
      <c r="T47" s="8">
        <f>IFERROR(Q47/SUMIF($A:$A,A47,$Q:$Q),0)</f>
        <v/>
      </c>
      <c r="U47" s="8">
        <f>IFERROR(Q47/F47,0)</f>
        <v/>
      </c>
      <c r="V47" s="7">
        <f>F47-R47</f>
        <v/>
      </c>
      <c r="W47" s="8">
        <f>IFERROR(V47/F47,0)</f>
        <v/>
      </c>
      <c r="X47" s="7">
        <f>IFERROR(VLOOKUP(A47,周报其他费用!$A:$B,2,FALSE)*I47,0)</f>
        <v/>
      </c>
      <c r="Y47" s="7" t="n">
        <v>494.858</v>
      </c>
      <c r="Z47" s="8">
        <f>IFERROR(Y47/G47,0)</f>
        <v/>
      </c>
      <c r="AA47" s="7">
        <f>Y47-K47/1.06</f>
        <v/>
      </c>
      <c r="AB47" s="8">
        <f>IFERROR(AA47/G47,0)</f>
        <v/>
      </c>
      <c r="AC47" s="7">
        <f>Y47-(Q47+X47)/1.06</f>
        <v/>
      </c>
      <c r="AD47" s="8">
        <f>IFERROR(AC47/G47,0)</f>
        <v/>
      </c>
    </row>
    <row r="48" ht="14.25" customHeight="1" s="69">
      <c r="A48" s="5" t="inlineStr">
        <is>
          <t>5.25-5.31</t>
        </is>
      </c>
      <c r="B48" s="5" t="inlineStr">
        <is>
          <t>5.25-5.31</t>
        </is>
      </c>
      <c r="C48" s="119" t="n">
        <v>649369494424</v>
      </c>
      <c r="D48" s="5" t="inlineStr">
        <is>
          <t>24包经典/牛系列</t>
        </is>
      </c>
      <c r="E48" s="5" t="inlineStr">
        <is>
          <t>营多捞面干拌面一整箱24袋装批发泡面混搭宿舍速食方便面火鸡面</t>
        </is>
      </c>
      <c r="F48" s="7" t="n">
        <v>2814.81</v>
      </c>
      <c r="G48" s="7">
        <f>IFERROR(F48/1.13,0)</f>
        <v/>
      </c>
      <c r="H48" s="5" t="n">
        <v>51</v>
      </c>
      <c r="I48" s="8">
        <f>IFERROR(H48/SUMIF($A:$A,A48,$H:$H),0)</f>
        <v/>
      </c>
      <c r="J48" s="9">
        <f>IFERROR(F48/H48,0)</f>
        <v/>
      </c>
      <c r="K48" s="7" t="n">
        <v>420.153981461522</v>
      </c>
      <c r="L48" s="7" t="n">
        <v>1313.85522526407</v>
      </c>
      <c r="M48" s="9">
        <f>IFERROR(L48/K48,0)</f>
        <v/>
      </c>
      <c r="N48" s="7" t="n">
        <v>22.7093468419918</v>
      </c>
      <c r="O48" s="7" t="n">
        <v>45.0197305453762</v>
      </c>
      <c r="P48" s="9">
        <f>IFERROR(O48/N48,0)</f>
        <v/>
      </c>
      <c r="Q48" s="7">
        <f>K48+N48</f>
        <v/>
      </c>
      <c r="R48" s="7">
        <f>L48+O48</f>
        <v/>
      </c>
      <c r="S48" s="9">
        <f>IFERROR(R48/Q48,0)</f>
        <v/>
      </c>
      <c r="T48" s="8">
        <f>IFERROR(Q48/SUMIF($A:$A,A48,$Q:$Q),0)</f>
        <v/>
      </c>
      <c r="U48" s="8">
        <f>IFERROR(Q48/F48,0)</f>
        <v/>
      </c>
      <c r="V48" s="7">
        <f>F48-R48</f>
        <v/>
      </c>
      <c r="W48" s="8">
        <f>IFERROR(V48/F48,0)</f>
        <v/>
      </c>
      <c r="X48" s="7">
        <f>IFERROR(VLOOKUP(A48,周报其他费用!$A:$B,2,FALSE)*I48,0)</f>
        <v/>
      </c>
      <c r="Y48" s="7" t="n">
        <v>524.538</v>
      </c>
      <c r="Z48" s="8">
        <f>IFERROR(Y48/G48,0)</f>
        <v/>
      </c>
      <c r="AA48" s="7">
        <f>Y48-K48/1.06</f>
        <v/>
      </c>
      <c r="AB48" s="8">
        <f>IFERROR(AA48/G48,0)</f>
        <v/>
      </c>
      <c r="AC48" s="7">
        <f>Y48-(Q48+X48)/1.06</f>
        <v/>
      </c>
      <c r="AD48" s="8">
        <f>IFERROR(AC48/G48,0)</f>
        <v/>
      </c>
    </row>
    <row r="49" ht="14.25" customHeight="1" s="69">
      <c r="A49" s="5" t="inlineStr">
        <is>
          <t>5.25-5.31</t>
        </is>
      </c>
      <c r="B49" s="5" t="inlineStr">
        <is>
          <t>5.25-5.31</t>
        </is>
      </c>
      <c r="C49" s="119" t="n">
        <v>648681860568</v>
      </c>
      <c r="D49" s="5" t="inlineStr">
        <is>
          <t>杯面次链接</t>
        </is>
      </c>
      <c r="E49" s="5" t="inlineStr">
        <is>
          <t>营多捞面杯装方便面泡面速食干拌面原味整箱批发印尼进口桶装拌面</t>
        </is>
      </c>
      <c r="F49" s="7" t="n">
        <v>1377.05</v>
      </c>
      <c r="G49" s="7">
        <f>IFERROR(F49/1.13,0)</f>
        <v/>
      </c>
      <c r="H49" s="5" t="n">
        <v>47</v>
      </c>
      <c r="I49" s="8">
        <f>IFERROR(H49/SUMIF($A:$A,A49,$H:$H),0)</f>
        <v/>
      </c>
      <c r="J49" s="9">
        <f>IFERROR(F49/H49,0)</f>
        <v/>
      </c>
      <c r="K49" s="7" t="n">
        <v>225.51935546454</v>
      </c>
      <c r="L49" s="7" t="n">
        <v>904.904227204139</v>
      </c>
      <c r="M49" s="9">
        <f>IFERROR(L49/K49,0)</f>
        <v/>
      </c>
      <c r="N49" s="7" t="n">
        <v>20.9282215994826</v>
      </c>
      <c r="O49" s="7" t="n">
        <v>41.4887712869153</v>
      </c>
      <c r="P49" s="9">
        <f>IFERROR(O49/N49,0)</f>
        <v/>
      </c>
      <c r="Q49" s="7">
        <f>K49+N49</f>
        <v/>
      </c>
      <c r="R49" s="7">
        <f>L49+O49</f>
        <v/>
      </c>
      <c r="S49" s="9">
        <f>IFERROR(R49/Q49,0)</f>
        <v/>
      </c>
      <c r="T49" s="8">
        <f>IFERROR(Q49/SUMIF($A:$A,A49,$Q:$Q),0)</f>
        <v/>
      </c>
      <c r="U49" s="8">
        <f>IFERROR(Q49/F49,0)</f>
        <v/>
      </c>
      <c r="V49" s="7">
        <f>F49-R49</f>
        <v/>
      </c>
      <c r="W49" s="8">
        <f>IFERROR(V49/F49,0)</f>
        <v/>
      </c>
      <c r="X49" s="7">
        <f>IFERROR(VLOOKUP(A49,周报其他费用!$A:$B,2,FALSE)*I49,0)</f>
        <v/>
      </c>
      <c r="Y49" s="7" t="n">
        <v>150.139</v>
      </c>
      <c r="Z49" s="8">
        <f>IFERROR(Y49/G49,0)</f>
        <v/>
      </c>
      <c r="AA49" s="7">
        <f>Y49-K49/1.06</f>
        <v/>
      </c>
      <c r="AB49" s="8">
        <f>IFERROR(AA49/G49,0)</f>
        <v/>
      </c>
      <c r="AC49" s="7">
        <f>Y49-(Q49+X49)/1.06</f>
        <v/>
      </c>
      <c r="AD49" s="8">
        <f>IFERROR(AC49/G49,0)</f>
        <v/>
      </c>
    </row>
    <row r="50" ht="14.25" customHeight="1" s="69">
      <c r="A50" s="5" t="inlineStr">
        <is>
          <t>5.25-5.31</t>
        </is>
      </c>
      <c r="B50" s="5" t="inlineStr">
        <is>
          <t>5.25-5.31</t>
        </is>
      </c>
      <c r="C50" s="119" t="n">
        <v>735014804839</v>
      </c>
      <c r="D50" s="5" t="inlineStr">
        <is>
          <t>24/30包</t>
        </is>
      </c>
      <c r="E50" s="5" t="inlineStr">
        <is>
          <t>进口营多捞面多口味Indomie网红方便面干拌面泡面30包整箱批发面</t>
        </is>
      </c>
      <c r="F50" s="7" t="n">
        <v>2331.14</v>
      </c>
      <c r="G50" s="7">
        <f>IFERROR(F50/1.13,0)</f>
        <v/>
      </c>
      <c r="H50" s="5" t="n">
        <v>35</v>
      </c>
      <c r="I50" s="8">
        <f>IFERROR(H50/SUMIF($A:$A,A50,$H:$H),0)</f>
        <v/>
      </c>
      <c r="J50" s="9">
        <f>IFERROR(F50/H50,0)</f>
        <v/>
      </c>
      <c r="K50" s="7" t="n">
        <v>470.635477473593</v>
      </c>
      <c r="L50" s="7" t="n">
        <v>2228.59123302436</v>
      </c>
      <c r="M50" s="9">
        <f>IFERROR(L50/K50,0)</f>
        <v/>
      </c>
      <c r="N50" s="7" t="n">
        <v>15.5848458719552</v>
      </c>
      <c r="O50" s="7" t="n">
        <v>30.8958935115327</v>
      </c>
      <c r="P50" s="9">
        <f>IFERROR(O50/N50,0)</f>
        <v/>
      </c>
      <c r="Q50" s="7">
        <f>K50+N50</f>
        <v/>
      </c>
      <c r="R50" s="7">
        <f>L50+O50</f>
        <v/>
      </c>
      <c r="S50" s="9">
        <f>IFERROR(R50/Q50,0)</f>
        <v/>
      </c>
      <c r="T50" s="8">
        <f>IFERROR(Q50/SUMIF($A:$A,A50,$Q:$Q),0)</f>
        <v/>
      </c>
      <c r="U50" s="8">
        <f>IFERROR(Q50/F50,0)</f>
        <v/>
      </c>
      <c r="V50" s="7">
        <f>F50-R50</f>
        <v/>
      </c>
      <c r="W50" s="8">
        <f>IFERROR(V50/F50,0)</f>
        <v/>
      </c>
      <c r="X50" s="7">
        <f>IFERROR(VLOOKUP(A50,周报其他费用!$A:$B,2,FALSE)*I50,0)</f>
        <v/>
      </c>
      <c r="Y50" s="7" t="n">
        <v>433.402</v>
      </c>
      <c r="Z50" s="8">
        <f>IFERROR(Y50/G50,0)</f>
        <v/>
      </c>
      <c r="AA50" s="7">
        <f>Y50-K50/1.06</f>
        <v/>
      </c>
      <c r="AB50" s="8">
        <f>IFERROR(AA50/G50,0)</f>
        <v/>
      </c>
      <c r="AC50" s="7">
        <f>Y50-(Q50+X50)/1.06</f>
        <v/>
      </c>
      <c r="AD50" s="8">
        <f>IFERROR(AC50/G50,0)</f>
        <v/>
      </c>
    </row>
    <row r="51" ht="14.25" customHeight="1" s="69">
      <c r="A51" s="5" t="inlineStr">
        <is>
          <t>5.25-5.31</t>
        </is>
      </c>
      <c r="B51" s="5" t="inlineStr">
        <is>
          <t>5.25-5.31</t>
        </is>
      </c>
      <c r="C51" s="119" t="n">
        <v>929504658691</v>
      </c>
      <c r="D51" s="5" t="inlineStr">
        <is>
          <t>日式袋面</t>
        </is>
      </c>
      <c r="E51" s="5" t="inlineStr">
        <is>
          <t>营多捞面日式鸡肉汤面原味辛辣味袋装泡面方便面速食宿舍夜宵食品</t>
        </is>
      </c>
      <c r="F51" s="7" t="n">
        <v>504.89</v>
      </c>
      <c r="G51" s="7">
        <f>IFERROR(F51/1.13,0)</f>
        <v/>
      </c>
      <c r="H51" s="5" t="n">
        <v>26</v>
      </c>
      <c r="I51" s="8">
        <f>IFERROR(H51/SUMIF($A:$A,A51,$H:$H),0)</f>
        <v/>
      </c>
      <c r="J51" s="9">
        <f>IFERROR(F51/H51,0)</f>
        <v/>
      </c>
      <c r="K51" s="7" t="n">
        <v>145.710068980384</v>
      </c>
      <c r="L51" s="7" t="n">
        <v>316.741487389524</v>
      </c>
      <c r="M51" s="9">
        <f>IFERROR(L51/K51,0)</f>
        <v/>
      </c>
      <c r="N51" s="7" t="n">
        <v>11.5773140763095</v>
      </c>
      <c r="O51" s="7" t="n">
        <v>22.9512351799957</v>
      </c>
      <c r="P51" s="9">
        <f>IFERROR(O51/N51,0)</f>
        <v/>
      </c>
      <c r="Q51" s="7">
        <f>K51+N51</f>
        <v/>
      </c>
      <c r="R51" s="7">
        <f>L51+O51</f>
        <v/>
      </c>
      <c r="S51" s="9">
        <f>IFERROR(R51/Q51,0)</f>
        <v/>
      </c>
      <c r="T51" s="8">
        <f>IFERROR(Q51/SUMIF($A:$A,A51,$Q:$Q),0)</f>
        <v/>
      </c>
      <c r="U51" s="8">
        <f>IFERROR(Q51/F51,0)</f>
        <v/>
      </c>
      <c r="V51" s="7">
        <f>F51-R51</f>
        <v/>
      </c>
      <c r="W51" s="8">
        <f>IFERROR(V51/F51,0)</f>
        <v/>
      </c>
      <c r="X51" s="7">
        <f>IFERROR(VLOOKUP(A51,周报其他费用!$A:$B,2,FALSE)*I51,0)</f>
        <v/>
      </c>
      <c r="Y51" s="7" t="n">
        <v>61.869</v>
      </c>
      <c r="Z51" s="8">
        <f>IFERROR(Y51/G51,0)</f>
        <v/>
      </c>
      <c r="AA51" s="7">
        <f>Y51-K51/1.06</f>
        <v/>
      </c>
      <c r="AB51" s="8">
        <f>IFERROR(AA51/G51,0)</f>
        <v/>
      </c>
      <c r="AC51" s="7">
        <f>Y51-(Q51+X51)/1.06</f>
        <v/>
      </c>
      <c r="AD51" s="8">
        <f>IFERROR(AC51/G51,0)</f>
        <v/>
      </c>
    </row>
    <row r="52" ht="14.25" customHeight="1" s="69">
      <c r="A52" s="5" t="inlineStr">
        <is>
          <t>5.25-5.31</t>
        </is>
      </c>
      <c r="B52" s="5" t="inlineStr">
        <is>
          <t>5.25-5.31</t>
        </is>
      </c>
      <c r="C52" s="119" t="n">
        <v>1013887677295</v>
      </c>
      <c r="D52" s="5" t="inlineStr">
        <is>
          <t>混搭5杯</t>
        </is>
      </c>
      <c r="E52" s="5" t="inlineStr">
        <is>
          <t>进口营多原味杯面日式杯面韩式杯面泡面方便面汤面宿舍速食夜宵</t>
        </is>
      </c>
      <c r="F52" s="7" t="n">
        <v>605.45</v>
      </c>
      <c r="G52" s="7">
        <f>IFERROR(F52/1.13,0)</f>
        <v/>
      </c>
      <c r="H52" s="5" t="n">
        <v>24</v>
      </c>
      <c r="I52" s="8">
        <f>IFERROR(H52/SUMIF($A:$A,A52,$H:$H),0)</f>
        <v/>
      </c>
      <c r="J52" s="9">
        <f>IFERROR(F52/H52,0)</f>
        <v/>
      </c>
      <c r="K52" s="7" t="n">
        <v>201.327755981893</v>
      </c>
      <c r="L52" s="7" t="n">
        <v>626.02598835956</v>
      </c>
      <c r="M52" s="9">
        <f>IFERROR(L52/K52,0)</f>
        <v/>
      </c>
      <c r="N52" s="7" t="n">
        <v>10.686751455055</v>
      </c>
      <c r="O52" s="7" t="n">
        <v>21.1857555507653</v>
      </c>
      <c r="P52" s="9">
        <f>IFERROR(O52/N52,0)</f>
        <v/>
      </c>
      <c r="Q52" s="7">
        <f>K52+N52</f>
        <v/>
      </c>
      <c r="R52" s="7">
        <f>L52+O52</f>
        <v/>
      </c>
      <c r="S52" s="9">
        <f>IFERROR(R52/Q52,0)</f>
        <v/>
      </c>
      <c r="T52" s="8">
        <f>IFERROR(Q52/SUMIF($A:$A,A52,$Q:$Q),0)</f>
        <v/>
      </c>
      <c r="U52" s="8">
        <f>IFERROR(Q52/F52,0)</f>
        <v/>
      </c>
      <c r="V52" s="7">
        <f>F52-R52</f>
        <v/>
      </c>
      <c r="W52" s="8">
        <f>IFERROR(V52/F52,0)</f>
        <v/>
      </c>
      <c r="X52" s="7">
        <f>IFERROR(VLOOKUP(A52,周报其他费用!$A:$B,2,FALSE)*I52,0)</f>
        <v/>
      </c>
      <c r="Y52" s="7" t="n">
        <v>59.859</v>
      </c>
      <c r="Z52" s="8">
        <f>IFERROR(Y52/G52,0)</f>
        <v/>
      </c>
      <c r="AA52" s="7">
        <f>Y52-K52/1.06</f>
        <v/>
      </c>
      <c r="AB52" s="8">
        <f>IFERROR(AA52/G52,0)</f>
        <v/>
      </c>
      <c r="AC52" s="7">
        <f>Y52-(Q52+X52)/1.06</f>
        <v/>
      </c>
      <c r="AD52" s="8">
        <f>IFERROR(AC52/G52,0)</f>
        <v/>
      </c>
    </row>
    <row r="53" ht="14.25" customHeight="1" s="69">
      <c r="A53" s="5" t="inlineStr">
        <is>
          <t>5.25-5.31</t>
        </is>
      </c>
      <c r="B53" s="5" t="inlineStr">
        <is>
          <t>5.25-5.31</t>
        </is>
      </c>
      <c r="C53" s="119" t="n">
        <v>744317232690</v>
      </c>
      <c r="D53" s="5" t="inlineStr">
        <is>
          <t>多规格</t>
        </is>
      </c>
      <c r="E53" s="5" t="inlineStr">
        <is>
          <t>营多捞面汤面清香牛肉味方便面泡面速食食品泡面拉面整箱旅行宿舍</t>
        </is>
      </c>
      <c r="F53" s="7" t="n">
        <v>444.76</v>
      </c>
      <c r="G53" s="7">
        <f>IFERROR(F53/1.13,0)</f>
        <v/>
      </c>
      <c r="H53" s="5" t="n">
        <v>18</v>
      </c>
      <c r="I53" s="8">
        <f>IFERROR(H53/SUMIF($A:$A,A53,$H:$H),0)</f>
        <v/>
      </c>
      <c r="J53" s="9">
        <f>IFERROR(F53/H53,0)</f>
        <v/>
      </c>
      <c r="K53" s="7" t="n">
        <v>50.0008169864195</v>
      </c>
      <c r="L53" s="7" t="n">
        <v>187.41949126967</v>
      </c>
      <c r="M53" s="9">
        <f>IFERROR(L53/K53,0)</f>
        <v/>
      </c>
      <c r="N53" s="7" t="n">
        <v>8.015063591291231</v>
      </c>
      <c r="O53" s="7" t="n">
        <v>15.8893166630739</v>
      </c>
      <c r="P53" s="9">
        <f>IFERROR(O53/N53,0)</f>
        <v/>
      </c>
      <c r="Q53" s="7">
        <f>K53+N53</f>
        <v/>
      </c>
      <c r="R53" s="7">
        <f>L53+O53</f>
        <v/>
      </c>
      <c r="S53" s="9">
        <f>IFERROR(R53/Q53,0)</f>
        <v/>
      </c>
      <c r="T53" s="8">
        <f>IFERROR(Q53/SUMIF($A:$A,A53,$Q:$Q),0)</f>
        <v/>
      </c>
      <c r="U53" s="8">
        <f>IFERROR(Q53/F53,0)</f>
        <v/>
      </c>
      <c r="V53" s="7">
        <f>F53-R53</f>
        <v/>
      </c>
      <c r="W53" s="8">
        <f>IFERROR(V53/F53,0)</f>
        <v/>
      </c>
      <c r="X53" s="7">
        <f>IFERROR(VLOOKUP(A53,周报其他费用!$A:$B,2,FALSE)*I53,0)</f>
        <v/>
      </c>
      <c r="Y53" s="7" t="n">
        <v>54.966</v>
      </c>
      <c r="Z53" s="8">
        <f>IFERROR(Y53/G53,0)</f>
        <v/>
      </c>
      <c r="AA53" s="7">
        <f>Y53-K53/1.06</f>
        <v/>
      </c>
      <c r="AB53" s="8">
        <f>IFERROR(AA53/G53,0)</f>
        <v/>
      </c>
      <c r="AC53" s="7">
        <f>Y53-(Q53+X53)/1.06</f>
        <v/>
      </c>
      <c r="AD53" s="8">
        <f>IFERROR(AC53/G53,0)</f>
        <v/>
      </c>
    </row>
    <row r="54" ht="14.25" customHeight="1" s="69">
      <c r="A54" s="5" t="inlineStr">
        <is>
          <t>5.25-5.31</t>
        </is>
      </c>
      <c r="B54" s="5" t="inlineStr">
        <is>
          <t>5.25-5.31</t>
        </is>
      </c>
      <c r="C54" s="119" t="n">
        <v>898076297965</v>
      </c>
      <c r="D54" s="5" t="inlineStr">
        <is>
          <t>番茄牛肉</t>
        </is>
      </c>
      <c r="E54" s="5" t="inlineStr">
        <is>
          <t>进口正品意面风味奶香番茄牛肉味意式拌面营多捞面早餐儿童宝妈餐</t>
        </is>
      </c>
      <c r="F54" s="7" t="n">
        <v>308.57</v>
      </c>
      <c r="G54" s="7">
        <f>IFERROR(F54/1.13,0)</f>
        <v/>
      </c>
      <c r="H54" s="5" t="n">
        <v>15</v>
      </c>
      <c r="I54" s="8">
        <f>IFERROR(H54/SUMIF($A:$A,A54,$H:$H),0)</f>
        <v/>
      </c>
      <c r="J54" s="9">
        <f>IFERROR(F54/H54,0)</f>
        <v/>
      </c>
      <c r="K54" s="7" t="n">
        <v>28.5723474886829</v>
      </c>
      <c r="L54" s="7" t="n">
        <v>196.616242724725</v>
      </c>
      <c r="M54" s="9">
        <f>IFERROR(L54/K54,0)</f>
        <v/>
      </c>
      <c r="N54" s="7" t="n">
        <v>6.67921965940935</v>
      </c>
      <c r="O54" s="7" t="n">
        <v>13.2410972192283</v>
      </c>
      <c r="P54" s="9">
        <f>IFERROR(O54/N54,0)</f>
        <v/>
      </c>
      <c r="Q54" s="7">
        <f>K54+N54</f>
        <v/>
      </c>
      <c r="R54" s="7">
        <f>L54+O54</f>
        <v/>
      </c>
      <c r="S54" s="9">
        <f>IFERROR(R54/Q54,0)</f>
        <v/>
      </c>
      <c r="T54" s="8">
        <f>IFERROR(Q54/SUMIF($A:$A,A54,$Q:$Q),0)</f>
        <v/>
      </c>
      <c r="U54" s="8">
        <f>IFERROR(Q54/F54,0)</f>
        <v/>
      </c>
      <c r="V54" s="7">
        <f>F54-R54</f>
        <v/>
      </c>
      <c r="W54" s="8">
        <f>IFERROR(V54/F54,0)</f>
        <v/>
      </c>
      <c r="X54" s="7">
        <f>IFERROR(VLOOKUP(A54,周报其他费用!$A:$B,2,FALSE)*I54,0)</f>
        <v/>
      </c>
      <c r="Y54" s="7" t="n">
        <v>26.627</v>
      </c>
      <c r="Z54" s="8">
        <f>IFERROR(Y54/G54,0)</f>
        <v/>
      </c>
      <c r="AA54" s="7">
        <f>Y54-K54/1.06</f>
        <v/>
      </c>
      <c r="AB54" s="8">
        <f>IFERROR(AA54/G54,0)</f>
        <v/>
      </c>
      <c r="AC54" s="7">
        <f>Y54-(Q54+X54)/1.06</f>
        <v/>
      </c>
      <c r="AD54" s="8">
        <f>IFERROR(AC54/G54,0)</f>
        <v/>
      </c>
    </row>
    <row r="55" ht="14.25" customHeight="1" s="69">
      <c r="A55" s="5" t="inlineStr">
        <is>
          <t>5.25-5.31</t>
        </is>
      </c>
      <c r="B55" s="5" t="inlineStr">
        <is>
          <t>5.25-5.31</t>
        </is>
      </c>
      <c r="C55" s="119" t="n">
        <v>969433743398</v>
      </c>
      <c r="D55" s="5" t="inlineStr">
        <is>
          <t>韩蘑菇</t>
        </is>
      </c>
      <c r="E55" s="5" t="inlineStr">
        <is>
          <t>新品营多捞面韩式辣蘑菇汤面泡面方便面速食干拌面宿舍宵夜旅行</t>
        </is>
      </c>
      <c r="F55" s="7" t="n">
        <v>252.3</v>
      </c>
      <c r="G55" s="7">
        <f>IFERROR(F55/1.13,0)</f>
        <v/>
      </c>
      <c r="H55" s="5" t="n">
        <v>13</v>
      </c>
      <c r="I55" s="8">
        <f>IFERROR(H55/SUMIF($A:$A,A55,$H:$H),0)</f>
        <v/>
      </c>
      <c r="J55" s="9">
        <f>IFERROR(F55/H55,0)</f>
        <v/>
      </c>
      <c r="K55" s="7" t="n">
        <v>110.040034490192</v>
      </c>
      <c r="L55" s="7" t="n">
        <v>222.950743694762</v>
      </c>
      <c r="M55" s="9">
        <f>IFERROR(L55/K55,0)</f>
        <v/>
      </c>
      <c r="N55" s="7" t="n">
        <v>5.78865703815477</v>
      </c>
      <c r="O55" s="7" t="n">
        <v>11.4756175899978</v>
      </c>
      <c r="P55" s="9">
        <f>IFERROR(O55/N55,0)</f>
        <v/>
      </c>
      <c r="Q55" s="7">
        <f>K55+N55</f>
        <v/>
      </c>
      <c r="R55" s="7">
        <f>L55+O55</f>
        <v/>
      </c>
      <c r="S55" s="9">
        <f>IFERROR(R55/Q55,0)</f>
        <v/>
      </c>
      <c r="T55" s="8">
        <f>IFERROR(Q55/SUMIF($A:$A,A55,$Q:$Q),0)</f>
        <v/>
      </c>
      <c r="U55" s="8">
        <f>IFERROR(Q55/F55,0)</f>
        <v/>
      </c>
      <c r="V55" s="7">
        <f>F55-R55</f>
        <v/>
      </c>
      <c r="W55" s="8">
        <f>IFERROR(V55/F55,0)</f>
        <v/>
      </c>
      <c r="X55" s="7">
        <f>IFERROR(VLOOKUP(A55,周报其他费用!$A:$B,2,FALSE)*I55,0)</f>
        <v/>
      </c>
      <c r="Y55" s="7" t="n">
        <v>31.473</v>
      </c>
      <c r="Z55" s="8">
        <f>IFERROR(Y55/G55,0)</f>
        <v/>
      </c>
      <c r="AA55" s="7">
        <f>Y55-K55/1.06</f>
        <v/>
      </c>
      <c r="AB55" s="8">
        <f>IFERROR(AA55/G55,0)</f>
        <v/>
      </c>
      <c r="AC55" s="7">
        <f>Y55-(Q55+X55)/1.06</f>
        <v/>
      </c>
      <c r="AD55" s="8">
        <f>IFERROR(AC55/G55,0)</f>
        <v/>
      </c>
    </row>
    <row r="56" ht="14.25" customHeight="1" s="69">
      <c r="A56" s="5" t="inlineStr">
        <is>
          <t>5.25-5.31</t>
        </is>
      </c>
      <c r="B56" s="5" t="inlineStr">
        <is>
          <t>5.25-5.31</t>
        </is>
      </c>
      <c r="C56" s="119" t="n">
        <v>969423151512</v>
      </c>
      <c r="D56" s="5" t="inlineStr">
        <is>
          <t>日韩混搭</t>
        </is>
      </c>
      <c r="E56" s="5" t="inlineStr">
        <is>
          <t>营多捞面甜辣炸鸡火鸡面辣蘑菇泡面方便面速食干拌面宿舍宵夜旅行</t>
        </is>
      </c>
      <c r="F56" s="7" t="n">
        <v>288.18</v>
      </c>
      <c r="G56" s="7">
        <f>IFERROR(F56/1.13,0)</f>
        <v/>
      </c>
      <c r="H56" s="5" t="n">
        <v>12</v>
      </c>
      <c r="I56" s="8">
        <f>IFERROR(H56/SUMIF($A:$A,A56,$H:$H),0)</f>
        <v/>
      </c>
      <c r="J56" s="9">
        <f>IFERROR(F56/H56,0)</f>
        <v/>
      </c>
      <c r="K56" s="7" t="n">
        <v>49.6638779909463</v>
      </c>
      <c r="L56" s="7" t="n">
        <v>173.15299417978</v>
      </c>
      <c r="M56" s="9">
        <f>IFERROR(L56/K56,0)</f>
        <v/>
      </c>
      <c r="N56" s="7" t="n">
        <v>5.34337572752748</v>
      </c>
      <c r="O56" s="7" t="n">
        <v>10.5928777753826</v>
      </c>
      <c r="P56" s="9">
        <f>IFERROR(O56/N56,0)</f>
        <v/>
      </c>
      <c r="Q56" s="7">
        <f>K56+N56</f>
        <v/>
      </c>
      <c r="R56" s="7">
        <f>L56+O56</f>
        <v/>
      </c>
      <c r="S56" s="9">
        <f>IFERROR(R56/Q56,0)</f>
        <v/>
      </c>
      <c r="T56" s="8">
        <f>IFERROR(Q56/SUMIF($A:$A,A56,$Q:$Q),0)</f>
        <v/>
      </c>
      <c r="U56" s="8">
        <f>IFERROR(Q56/F56,0)</f>
        <v/>
      </c>
      <c r="V56" s="7">
        <f>F56-R56</f>
        <v/>
      </c>
      <c r="W56" s="8">
        <f>IFERROR(V56/F56,0)</f>
        <v/>
      </c>
      <c r="X56" s="7">
        <f>IFERROR(VLOOKUP(A56,周报其他费用!$A:$B,2,FALSE)*I56,0)</f>
        <v/>
      </c>
      <c r="Y56" s="7" t="n">
        <v>43.553</v>
      </c>
      <c r="Z56" s="8">
        <f>IFERROR(Y56/G56,0)</f>
        <v/>
      </c>
      <c r="AA56" s="7">
        <f>Y56-K56/1.06</f>
        <v/>
      </c>
      <c r="AB56" s="8">
        <f>IFERROR(AA56/G56,0)</f>
        <v/>
      </c>
      <c r="AC56" s="7">
        <f>Y56-(Q56+X56)/1.06</f>
        <v/>
      </c>
      <c r="AD56" s="8">
        <f>IFERROR(AC56/G56,0)</f>
        <v/>
      </c>
    </row>
    <row r="57" ht="14.25" customHeight="1" s="69">
      <c r="A57" s="5" t="inlineStr">
        <is>
          <t>5.25-5.31</t>
        </is>
      </c>
      <c r="B57" s="5" t="inlineStr">
        <is>
          <t>5.25-5.31</t>
        </is>
      </c>
      <c r="C57" s="119" t="n">
        <v>649729851594</v>
      </c>
      <c r="D57" s="5" t="inlineStr">
        <is>
          <t>小规格</t>
        </is>
      </c>
      <c r="E57" s="5" t="inlineStr">
        <is>
          <t>营多捞面袋装8包装泡面宿舍速食面热干面干拌面方便面火鸡面食品</t>
        </is>
      </c>
      <c r="F57" s="7" t="n">
        <v>267.75</v>
      </c>
      <c r="G57" s="7">
        <f>IFERROR(F57/1.13,0)</f>
        <v/>
      </c>
      <c r="H57" s="5" t="n">
        <v>12</v>
      </c>
      <c r="I57" s="8">
        <f>IFERROR(H57/SUMIF($A:$A,A57,$H:$H),0)</f>
        <v/>
      </c>
      <c r="J57" s="9">
        <f>IFERROR(F57/H57,0)</f>
        <v/>
      </c>
      <c r="K57" s="7" t="n">
        <v>14.3538779909463</v>
      </c>
      <c r="L57" s="7" t="n">
        <v>55.8529941797801</v>
      </c>
      <c r="M57" s="9">
        <f>IFERROR(L57/K57,0)</f>
        <v/>
      </c>
      <c r="N57" s="7" t="n">
        <v>5.34337572752748</v>
      </c>
      <c r="O57" s="7" t="n">
        <v>10.5928777753826</v>
      </c>
      <c r="P57" s="9">
        <f>IFERROR(O57/N57,0)</f>
        <v/>
      </c>
      <c r="Q57" s="7">
        <f>K57+N57</f>
        <v/>
      </c>
      <c r="R57" s="7">
        <f>L57+O57</f>
        <v/>
      </c>
      <c r="S57" s="9">
        <f>IFERROR(R57/Q57,0)</f>
        <v/>
      </c>
      <c r="T57" s="8">
        <f>IFERROR(Q57/SUMIF($A:$A,A57,$Q:$Q),0)</f>
        <v/>
      </c>
      <c r="U57" s="8">
        <f>IFERROR(Q57/F57,0)</f>
        <v/>
      </c>
      <c r="V57" s="7">
        <f>F57-R57</f>
        <v/>
      </c>
      <c r="W57" s="8">
        <f>IFERROR(V57/F57,0)</f>
        <v/>
      </c>
      <c r="X57" s="7">
        <f>IFERROR(VLOOKUP(A57,周报其他费用!$A:$B,2,FALSE)*I57,0)</f>
        <v/>
      </c>
      <c r="Y57" s="7" t="n">
        <v>42.262</v>
      </c>
      <c r="Z57" s="8">
        <f>IFERROR(Y57/G57,0)</f>
        <v/>
      </c>
      <c r="AA57" s="7">
        <f>Y57-K57/1.06</f>
        <v/>
      </c>
      <c r="AB57" s="8">
        <f>IFERROR(AA57/G57,0)</f>
        <v/>
      </c>
      <c r="AC57" s="7">
        <f>Y57-(Q57+X57)/1.06</f>
        <v/>
      </c>
      <c r="AD57" s="8">
        <f>IFERROR(AC57/G57,0)</f>
        <v/>
      </c>
    </row>
    <row r="58" ht="14.25" customHeight="1" s="69">
      <c r="A58" s="5" t="inlineStr">
        <is>
          <t>5.25-5.31</t>
        </is>
      </c>
      <c r="B58" s="5" t="inlineStr">
        <is>
          <t>5.25-5.31</t>
        </is>
      </c>
      <c r="C58" s="119" t="n">
        <v>886856687067</v>
      </c>
      <c r="D58" s="5" t="inlineStr">
        <is>
          <t>大骨</t>
        </is>
      </c>
      <c r="E58" s="5" t="inlineStr">
        <is>
          <t>营多捞面牛系列大骨牛肉味方便面食品泡面拉面汤面宿舍宵夜旅行</t>
        </is>
      </c>
      <c r="F58" s="7" t="n">
        <v>183.45</v>
      </c>
      <c r="G58" s="7">
        <f>IFERROR(F58/1.13,0)</f>
        <v/>
      </c>
      <c r="H58" s="5" t="n">
        <v>9</v>
      </c>
      <c r="I58" s="8">
        <f>IFERROR(H58/SUMIF($A:$A,A58,$H:$H),0)</f>
        <v/>
      </c>
      <c r="J58" s="9">
        <f>IFERROR(F58/H58,0)</f>
        <v/>
      </c>
      <c r="K58" s="7" t="n">
        <v>11.8154084932097</v>
      </c>
      <c r="L58" s="7" t="n">
        <v>106.059745634835</v>
      </c>
      <c r="M58" s="9">
        <f>IFERROR(L58/K58,0)</f>
        <v/>
      </c>
      <c r="N58" s="7" t="n">
        <v>4.00753179564561</v>
      </c>
      <c r="O58" s="7" t="n">
        <v>7.94465833153697</v>
      </c>
      <c r="P58" s="9">
        <f>IFERROR(O58/N58,0)</f>
        <v/>
      </c>
      <c r="Q58" s="7">
        <f>K58+N58</f>
        <v/>
      </c>
      <c r="R58" s="7">
        <f>L58+O58</f>
        <v/>
      </c>
      <c r="S58" s="9">
        <f>IFERROR(R58/Q58,0)</f>
        <v/>
      </c>
      <c r="T58" s="8">
        <f>IFERROR(Q58/SUMIF($A:$A,A58,$Q:$Q),0)</f>
        <v/>
      </c>
      <c r="U58" s="8">
        <f>IFERROR(Q58/F58,0)</f>
        <v/>
      </c>
      <c r="V58" s="7">
        <f>F58-R58</f>
        <v/>
      </c>
      <c r="W58" s="8">
        <f>IFERROR(V58/F58,0)</f>
        <v/>
      </c>
      <c r="X58" s="7">
        <f>IFERROR(VLOOKUP(A58,周报其他费用!$A:$B,2,FALSE)*I58,0)</f>
        <v/>
      </c>
      <c r="Y58" s="7" t="n">
        <v>19.411</v>
      </c>
      <c r="Z58" s="8">
        <f>IFERROR(Y58/G58,0)</f>
        <v/>
      </c>
      <c r="AA58" s="7">
        <f>Y58-K58/1.06</f>
        <v/>
      </c>
      <c r="AB58" s="8">
        <f>IFERROR(AA58/G58,0)</f>
        <v/>
      </c>
      <c r="AC58" s="7">
        <f>Y58-(Q58+X58)/1.06</f>
        <v/>
      </c>
      <c r="AD58" s="8">
        <f>IFERROR(AC58/G58,0)</f>
        <v/>
      </c>
    </row>
    <row r="59" ht="14.25" customHeight="1" s="69">
      <c r="A59" s="5" t="inlineStr">
        <is>
          <t>5.25-5.31</t>
        </is>
      </c>
      <c r="B59" s="5" t="inlineStr">
        <is>
          <t>5.25-5.31</t>
        </is>
      </c>
      <c r="C59" s="119" t="n">
        <v>648604228786</v>
      </c>
      <c r="D59" s="5" t="inlineStr">
        <is>
          <t>杯面混搭</t>
        </is>
      </c>
      <c r="E59" s="5" t="inlineStr">
        <is>
          <t>INDOMIE营多日式杯面原味经典泡面整箱批发速食宿舍旅行宵夜宿舍</t>
        </is>
      </c>
      <c r="F59" s="7" t="n">
        <v>166.75</v>
      </c>
      <c r="G59" s="7">
        <f>IFERROR(F59/1.13,0)</f>
        <v/>
      </c>
      <c r="H59" s="5" t="n">
        <v>6</v>
      </c>
      <c r="I59" s="8">
        <f>IFERROR(H59/SUMIF($A:$A,A59,$H:$H),0)</f>
        <v/>
      </c>
      <c r="J59" s="9">
        <f>IFERROR(F59/H59,0)</f>
        <v/>
      </c>
      <c r="K59" s="7" t="n">
        <v>11.4469389954732</v>
      </c>
      <c r="L59" s="7" t="n">
        <v>47.45649708989</v>
      </c>
      <c r="M59" s="9">
        <f>IFERROR(L59/K59,0)</f>
        <v/>
      </c>
      <c r="N59" s="7" t="n">
        <v>2.67168786376374</v>
      </c>
      <c r="O59" s="7" t="n">
        <v>5.29643888769131</v>
      </c>
      <c r="P59" s="9">
        <f>IFERROR(O59/N59,0)</f>
        <v/>
      </c>
      <c r="Q59" s="7">
        <f>K59+N59</f>
        <v/>
      </c>
      <c r="R59" s="7">
        <f>L59+O59</f>
        <v/>
      </c>
      <c r="S59" s="9">
        <f>IFERROR(R59/Q59,0)</f>
        <v/>
      </c>
      <c r="T59" s="8">
        <f>IFERROR(Q59/SUMIF($A:$A,A59,$Q:$Q),0)</f>
        <v/>
      </c>
      <c r="U59" s="8">
        <f>IFERROR(Q59/F59,0)</f>
        <v/>
      </c>
      <c r="V59" s="7">
        <f>F59-R59</f>
        <v/>
      </c>
      <c r="W59" s="8">
        <f>IFERROR(V59/F59,0)</f>
        <v/>
      </c>
      <c r="X59" s="7">
        <f>IFERROR(VLOOKUP(A59,周报其他费用!$A:$B,2,FALSE)*I59,0)</f>
        <v/>
      </c>
      <c r="Y59" s="7" t="n">
        <v>21.368</v>
      </c>
      <c r="Z59" s="8">
        <f>IFERROR(Y59/G59,0)</f>
        <v/>
      </c>
      <c r="AA59" s="7">
        <f>Y59-K59/1.06</f>
        <v/>
      </c>
      <c r="AB59" s="8">
        <f>IFERROR(AA59/G59,0)</f>
        <v/>
      </c>
      <c r="AC59" s="7">
        <f>Y59-(Q59+X59)/1.06</f>
        <v/>
      </c>
      <c r="AD59" s="8">
        <f>IFERROR(AC59/G59,0)</f>
        <v/>
      </c>
    </row>
    <row r="60" ht="14.25" customHeight="1" s="69">
      <c r="A60" s="5" t="inlineStr">
        <is>
          <t>5.25-5.31</t>
        </is>
      </c>
      <c r="B60" s="5" t="inlineStr">
        <is>
          <t>5.25-5.31</t>
        </is>
      </c>
      <c r="C60" s="119" t="n">
        <v>976479938842</v>
      </c>
      <c r="D60" s="5" t="inlineStr">
        <is>
          <t>【U选】原味5</t>
        </is>
      </c>
      <c r="E60" s="5" t="inlineStr">
        <is>
          <t>【天猫U选】indomie营多大骨牛肉味捞面拌面5包</t>
        </is>
      </c>
      <c r="F60" s="7" t="n">
        <v>47.72</v>
      </c>
      <c r="G60" s="7">
        <f>IFERROR(F60/1.13,0)</f>
        <v/>
      </c>
      <c r="H60" s="5" t="n">
        <v>5</v>
      </c>
      <c r="I60" s="8">
        <f>IFERROR(H60/SUMIF($A:$A,A60,$H:$H),0)</f>
        <v/>
      </c>
      <c r="J60" s="9">
        <f>IFERROR(F60/H60,0)</f>
        <v/>
      </c>
      <c r="K60" s="7" t="n">
        <v>1.18078249622763</v>
      </c>
      <c r="L60" s="7" t="n">
        <v>4.63874757490837</v>
      </c>
      <c r="M60" s="9">
        <f>IFERROR(L60/K60,0)</f>
        <v/>
      </c>
      <c r="N60" s="7" t="n">
        <v>2.22640655313645</v>
      </c>
      <c r="O60" s="7" t="n">
        <v>4.41369907307609</v>
      </c>
      <c r="P60" s="9">
        <f>IFERROR(O60/N60,0)</f>
        <v/>
      </c>
      <c r="Q60" s="7">
        <f>K60+N60</f>
        <v/>
      </c>
      <c r="R60" s="7">
        <f>L60+O60</f>
        <v/>
      </c>
      <c r="S60" s="9">
        <f>IFERROR(R60/Q60,0)</f>
        <v/>
      </c>
      <c r="T60" s="8">
        <f>IFERROR(Q60/SUMIF($A:$A,A60,$Q:$Q),0)</f>
        <v/>
      </c>
      <c r="U60" s="8">
        <f>IFERROR(Q60/F60,0)</f>
        <v/>
      </c>
      <c r="V60" s="7">
        <f>F60-R60</f>
        <v/>
      </c>
      <c r="W60" s="8">
        <f>IFERROR(V60/F60,0)</f>
        <v/>
      </c>
      <c r="X60" s="7">
        <f>IFERROR(VLOOKUP(A60,周报其他费用!$A:$B,2,FALSE)*I60,0)</f>
        <v/>
      </c>
      <c r="Y60" s="7" t="n">
        <v>-15.273</v>
      </c>
      <c r="Z60" s="8">
        <f>IFERROR(Y60/G60,0)</f>
        <v/>
      </c>
      <c r="AA60" s="7">
        <f>Y60-K60/1.06</f>
        <v/>
      </c>
      <c r="AB60" s="8">
        <f>IFERROR(AA60/G60,0)</f>
        <v/>
      </c>
      <c r="AC60" s="7">
        <f>Y60-(Q60+X60)/1.06</f>
        <v/>
      </c>
      <c r="AD60" s="8">
        <f>IFERROR(AC60/G60,0)</f>
        <v/>
      </c>
    </row>
    <row r="61" ht="14.25" customHeight="1" s="69">
      <c r="A61" s="5" t="inlineStr">
        <is>
          <t>5.25-5.31</t>
        </is>
      </c>
      <c r="B61" s="5" t="inlineStr">
        <is>
          <t>5.25-5.31</t>
        </is>
      </c>
      <c r="C61" s="119" t="n">
        <v>773972883430</v>
      </c>
      <c r="D61" s="5" t="inlineStr">
        <is>
          <t>日式袋面</t>
        </is>
      </c>
      <c r="E61" s="5" t="inlineStr">
        <is>
          <t>营多捞面韩式火鸡面辣蘑菇汤面袋装泡面辣味速食方便面宿舍宵夜面</t>
        </is>
      </c>
      <c r="F61" s="7" t="n">
        <v>120.41</v>
      </c>
      <c r="G61" s="7">
        <f>IFERROR(F61/1.13,0)</f>
        <v/>
      </c>
      <c r="H61" s="5" t="n">
        <v>5</v>
      </c>
      <c r="I61" s="8">
        <f>IFERROR(H61/SUMIF($A:$A,A61,$H:$H),0)</f>
        <v/>
      </c>
      <c r="J61" s="9">
        <f>IFERROR(F61/H61,0)</f>
        <v/>
      </c>
      <c r="K61" s="7" t="n">
        <v>4.67078249622763</v>
      </c>
      <c r="L61" s="7" t="n">
        <v>78.3387475749084</v>
      </c>
      <c r="M61" s="9">
        <f>IFERROR(L61/K61,0)</f>
        <v/>
      </c>
      <c r="N61" s="7" t="n">
        <v>2.22640655313645</v>
      </c>
      <c r="O61" s="7" t="n">
        <v>4.41369907307609</v>
      </c>
      <c r="P61" s="9">
        <f>IFERROR(O61/N61,0)</f>
        <v/>
      </c>
      <c r="Q61" s="7">
        <f>K61+N61</f>
        <v/>
      </c>
      <c r="R61" s="7">
        <f>L61+O61</f>
        <v/>
      </c>
      <c r="S61" s="9">
        <f>IFERROR(R61/Q61,0)</f>
        <v/>
      </c>
      <c r="T61" s="8">
        <f>IFERROR(Q61/SUMIF($A:$A,A61,$Q:$Q),0)</f>
        <v/>
      </c>
      <c r="U61" s="8">
        <f>IFERROR(Q61/F61,0)</f>
        <v/>
      </c>
      <c r="V61" s="7">
        <f>F61-R61</f>
        <v/>
      </c>
      <c r="W61" s="8">
        <f>IFERROR(V61/F61,0)</f>
        <v/>
      </c>
      <c r="X61" s="7">
        <f>IFERROR(VLOOKUP(A61,周报其他费用!$A:$B,2,FALSE)*I61,0)</f>
        <v/>
      </c>
      <c r="Y61" s="7" t="n">
        <v>15.545</v>
      </c>
      <c r="Z61" s="8">
        <f>IFERROR(Y61/G61,0)</f>
        <v/>
      </c>
      <c r="AA61" s="7">
        <f>Y61-K61/1.06</f>
        <v/>
      </c>
      <c r="AB61" s="8">
        <f>IFERROR(AA61/G61,0)</f>
        <v/>
      </c>
      <c r="AC61" s="7">
        <f>Y61-(Q61+X61)/1.06</f>
        <v/>
      </c>
      <c r="AD61" s="8">
        <f>IFERROR(AC61/G61,0)</f>
        <v/>
      </c>
    </row>
    <row r="62" ht="14.25" customHeight="1" s="69">
      <c r="A62" s="5" t="inlineStr">
        <is>
          <t>5.25-5.31</t>
        </is>
      </c>
      <c r="B62" s="5" t="inlineStr">
        <is>
          <t>5.25-5.31</t>
        </is>
      </c>
      <c r="C62" s="119" t="n">
        <v>976466902934</v>
      </c>
      <c r="D62" s="5" t="inlineStr">
        <is>
          <t>【U选】日式原杯1+日式辣杯1</t>
        </is>
      </c>
      <c r="E62" s="5" t="inlineStr">
        <is>
          <t>【天猫U选】indomie营多捞面辣火鸡味日式鸡肉原味杯面</t>
        </is>
      </c>
      <c r="F62" s="7" t="n">
        <v>38.62</v>
      </c>
      <c r="G62" s="7">
        <f>IFERROR(F62/1.13,0)</f>
        <v/>
      </c>
      <c r="H62" s="5" t="n">
        <v>4</v>
      </c>
      <c r="I62" s="8">
        <f>IFERROR(H62/SUMIF($A:$A,A62,$H:$H),0)</f>
        <v/>
      </c>
      <c r="J62" s="9">
        <f>IFERROR(F62/H62,0)</f>
        <v/>
      </c>
      <c r="K62" s="7" t="n">
        <v>0.944625996982104</v>
      </c>
      <c r="L62" s="7" t="n">
        <v>3.7109980599267</v>
      </c>
      <c r="M62" s="9">
        <f>IFERROR(L62/K62,0)</f>
        <v/>
      </c>
      <c r="N62" s="7" t="n">
        <v>1.78112524250916</v>
      </c>
      <c r="O62" s="7" t="n">
        <v>3.53095925846087</v>
      </c>
      <c r="P62" s="9">
        <f>IFERROR(O62/N62,0)</f>
        <v/>
      </c>
      <c r="Q62" s="7">
        <f>K62+N62</f>
        <v/>
      </c>
      <c r="R62" s="7">
        <f>L62+O62</f>
        <v/>
      </c>
      <c r="S62" s="9">
        <f>IFERROR(R62/Q62,0)</f>
        <v/>
      </c>
      <c r="T62" s="8">
        <f>IFERROR(Q62/SUMIF($A:$A,A62,$Q:$Q),0)</f>
        <v/>
      </c>
      <c r="U62" s="8">
        <f>IFERROR(Q62/F62,0)</f>
        <v/>
      </c>
      <c r="V62" s="7">
        <f>F62-R62</f>
        <v/>
      </c>
      <c r="W62" s="8">
        <f>IFERROR(V62/F62,0)</f>
        <v/>
      </c>
      <c r="X62" s="7">
        <f>IFERROR(VLOOKUP(A62,周报其他费用!$A:$B,2,FALSE)*I62,0)</f>
        <v/>
      </c>
      <c r="Y62" s="7" t="n">
        <v>-6.24</v>
      </c>
      <c r="Z62" s="8">
        <f>IFERROR(Y62/G62,0)</f>
        <v/>
      </c>
      <c r="AA62" s="7">
        <f>Y62-K62/1.06</f>
        <v/>
      </c>
      <c r="AB62" s="8">
        <f>IFERROR(AA62/G62,0)</f>
        <v/>
      </c>
      <c r="AC62" s="7">
        <f>Y62-(Q62+X62)/1.06</f>
        <v/>
      </c>
      <c r="AD62" s="8">
        <f>IFERROR(AC62/G62,0)</f>
        <v/>
      </c>
    </row>
    <row r="63" ht="14.25" customHeight="1" s="69">
      <c r="A63" s="5" t="inlineStr">
        <is>
          <t>5.25-5.31</t>
        </is>
      </c>
      <c r="B63" s="5" t="inlineStr">
        <is>
          <t>5.25-5.31</t>
        </is>
      </c>
      <c r="C63" s="119" t="n">
        <v>949962665617</v>
      </c>
      <c r="D63" s="5" t="inlineStr">
        <is>
          <t>组合</t>
        </is>
      </c>
      <c r="E63" s="5" t="inlineStr">
        <is>
          <t>营多捞面多口味袋装泡面拌面速食面干拌面方便面宿舍宵夜速食旅行</t>
        </is>
      </c>
      <c r="F63" s="7" t="n">
        <v>105.47</v>
      </c>
      <c r="G63" s="7">
        <f>IFERROR(F63/1.13,0)</f>
        <v/>
      </c>
      <c r="H63" s="5" t="n">
        <v>4</v>
      </c>
      <c r="I63" s="8">
        <f>IFERROR(H63/SUMIF($A:$A,A63,$H:$H),0)</f>
        <v/>
      </c>
      <c r="J63" s="9">
        <f>IFERROR(F63/H63,0)</f>
        <v/>
      </c>
      <c r="K63" s="7" t="n">
        <v>84.3146259969821</v>
      </c>
      <c r="L63" s="7" t="n">
        <v>128.340998059927</v>
      </c>
      <c r="M63" s="9">
        <f>IFERROR(L63/K63,0)</f>
        <v/>
      </c>
      <c r="N63" s="7" t="n">
        <v>1.78112524250916</v>
      </c>
      <c r="O63" s="7" t="n">
        <v>3.53095925846087</v>
      </c>
      <c r="P63" s="9">
        <f>IFERROR(O63/N63,0)</f>
        <v/>
      </c>
      <c r="Q63" s="7">
        <f>K63+N63</f>
        <v/>
      </c>
      <c r="R63" s="7">
        <f>L63+O63</f>
        <v/>
      </c>
      <c r="S63" s="9">
        <f>IFERROR(R63/Q63,0)</f>
        <v/>
      </c>
      <c r="T63" s="8">
        <f>IFERROR(Q63/SUMIF($A:$A,A63,$Q:$Q),0)</f>
        <v/>
      </c>
      <c r="U63" s="8">
        <f>IFERROR(Q63/F63,0)</f>
        <v/>
      </c>
      <c r="V63" s="7">
        <f>F63-R63</f>
        <v/>
      </c>
      <c r="W63" s="8">
        <f>IFERROR(V63/F63,0)</f>
        <v/>
      </c>
      <c r="X63" s="7">
        <f>IFERROR(VLOOKUP(A63,周报其他费用!$A:$B,2,FALSE)*I63,0)</f>
        <v/>
      </c>
      <c r="Y63" s="7" t="n">
        <v>13.312</v>
      </c>
      <c r="Z63" s="8">
        <f>IFERROR(Y63/G63,0)</f>
        <v/>
      </c>
      <c r="AA63" s="7">
        <f>Y63-K63/1.06</f>
        <v/>
      </c>
      <c r="AB63" s="8">
        <f>IFERROR(AA63/G63,0)</f>
        <v/>
      </c>
      <c r="AC63" s="7">
        <f>Y63-(Q63+X63)/1.06</f>
        <v/>
      </c>
      <c r="AD63" s="8">
        <f>IFERROR(AC63/G63,0)</f>
        <v/>
      </c>
    </row>
    <row r="64" ht="14.25" customHeight="1" s="69">
      <c r="A64" s="5" t="inlineStr">
        <is>
          <t>5.25-5.31</t>
        </is>
      </c>
      <c r="B64" s="5" t="inlineStr">
        <is>
          <t>5.25-5.31</t>
        </is>
      </c>
      <c r="C64" s="119" t="n">
        <v>937005385662</v>
      </c>
      <c r="D64" s="5" t="inlineStr">
        <is>
          <t>日式袋面</t>
        </is>
      </c>
      <c r="E64" s="5" t="inlineStr">
        <is>
          <t>进口营多正品捞面日式鸡肉鸡汤辛辣味袋装泡面辣味速食方便面汤面</t>
        </is>
      </c>
      <c r="F64" s="7" t="n">
        <v>92.59999999999999</v>
      </c>
      <c r="G64" s="7">
        <f>IFERROR(F64/1.13,0)</f>
        <v/>
      </c>
      <c r="H64" s="5" t="n">
        <v>4</v>
      </c>
      <c r="I64" s="8">
        <f>IFERROR(H64/SUMIF($A:$A,A64,$H:$H),0)</f>
        <v/>
      </c>
      <c r="J64" s="9">
        <f>IFERROR(F64/H64,0)</f>
        <v/>
      </c>
      <c r="K64" s="7" t="n">
        <v>39.6446259969821</v>
      </c>
      <c r="L64" s="7" t="n">
        <v>51.7209980599267</v>
      </c>
      <c r="M64" s="9">
        <f>IFERROR(L64/K64,0)</f>
        <v/>
      </c>
      <c r="N64" s="7" t="n">
        <v>1.78112524250916</v>
      </c>
      <c r="O64" s="7" t="n">
        <v>3.53095925846087</v>
      </c>
      <c r="P64" s="9">
        <f>IFERROR(O64/N64,0)</f>
        <v/>
      </c>
      <c r="Q64" s="7">
        <f>K64+N64</f>
        <v/>
      </c>
      <c r="R64" s="7">
        <f>L64+O64</f>
        <v/>
      </c>
      <c r="S64" s="9">
        <f>IFERROR(R64/Q64,0)</f>
        <v/>
      </c>
      <c r="T64" s="8">
        <f>IFERROR(Q64/SUMIF($A:$A,A64,$Q:$Q),0)</f>
        <v/>
      </c>
      <c r="U64" s="8">
        <f>IFERROR(Q64/F64,0)</f>
        <v/>
      </c>
      <c r="V64" s="7">
        <f>F64-R64</f>
        <v/>
      </c>
      <c r="W64" s="8">
        <f>IFERROR(V64/F64,0)</f>
        <v/>
      </c>
      <c r="X64" s="7">
        <f>IFERROR(VLOOKUP(A64,周报其他费用!$A:$B,2,FALSE)*I64,0)</f>
        <v/>
      </c>
      <c r="Y64" s="7" t="n">
        <v>14.561</v>
      </c>
      <c r="Z64" s="8">
        <f>IFERROR(Y64/G64,0)</f>
        <v/>
      </c>
      <c r="AA64" s="7">
        <f>Y64-K64/1.06</f>
        <v/>
      </c>
      <c r="AB64" s="8">
        <f>IFERROR(AA64/G64,0)</f>
        <v/>
      </c>
      <c r="AC64" s="7">
        <f>Y64-(Q64+X64)/1.06</f>
        <v/>
      </c>
      <c r="AD64" s="8">
        <f>IFERROR(AC64/G64,0)</f>
        <v/>
      </c>
    </row>
    <row r="65" ht="14.25" customHeight="1" s="69">
      <c r="A65" s="5" t="inlineStr">
        <is>
          <t>5.25-5.31</t>
        </is>
      </c>
      <c r="B65" s="5" t="inlineStr">
        <is>
          <t>5.25-5.31</t>
        </is>
      </c>
      <c r="C65" s="119" t="n">
        <v>885645733215</v>
      </c>
      <c r="D65" s="5" t="inlineStr">
        <is>
          <t>大骨牛肉</t>
        </is>
      </c>
      <c r="E65" s="5" t="inlineStr">
        <is>
          <t>进口营多大骨番茄牛肉味营多捞面意式泡面宿舍宿舍宵夜速食方便面</t>
        </is>
      </c>
      <c r="F65" s="7" t="n">
        <v>76.67</v>
      </c>
      <c r="G65" s="7">
        <f>IFERROR(F65/1.13,0)</f>
        <v/>
      </c>
      <c r="H65" s="5" t="n">
        <v>4</v>
      </c>
      <c r="I65" s="8">
        <f>IFERROR(H65/SUMIF($A:$A,A65,$H:$H),0)</f>
        <v/>
      </c>
      <c r="J65" s="9">
        <f>IFERROR(F65/H65,0)</f>
        <v/>
      </c>
      <c r="K65" s="7" t="n">
        <v>3.0246259969821</v>
      </c>
      <c r="L65" s="7" t="n">
        <v>3.7109980599267</v>
      </c>
      <c r="M65" s="9">
        <f>IFERROR(L65/K65,0)</f>
        <v/>
      </c>
      <c r="N65" s="7" t="n">
        <v>1.78112524250916</v>
      </c>
      <c r="O65" s="7" t="n">
        <v>3.53095925846087</v>
      </c>
      <c r="P65" s="9">
        <f>IFERROR(O65/N65,0)</f>
        <v/>
      </c>
      <c r="Q65" s="7">
        <f>K65+N65</f>
        <v/>
      </c>
      <c r="R65" s="7">
        <f>L65+O65</f>
        <v/>
      </c>
      <c r="S65" s="9">
        <f>IFERROR(R65/Q65,0)</f>
        <v/>
      </c>
      <c r="T65" s="8">
        <f>IFERROR(Q65/SUMIF($A:$A,A65,$Q:$Q),0)</f>
        <v/>
      </c>
      <c r="U65" s="8">
        <f>IFERROR(Q65/F65,0)</f>
        <v/>
      </c>
      <c r="V65" s="7">
        <f>F65-R65</f>
        <v/>
      </c>
      <c r="W65" s="8">
        <f>IFERROR(V65/F65,0)</f>
        <v/>
      </c>
      <c r="X65" s="7">
        <f>IFERROR(VLOOKUP(A65,周报其他费用!$A:$B,2,FALSE)*I65,0)</f>
        <v/>
      </c>
      <c r="Y65" s="7" t="n">
        <v>6.746</v>
      </c>
      <c r="Z65" s="8">
        <f>IFERROR(Y65/G65,0)</f>
        <v/>
      </c>
      <c r="AA65" s="7">
        <f>Y65-K65/1.06</f>
        <v/>
      </c>
      <c r="AB65" s="8">
        <f>IFERROR(AA65/G65,0)</f>
        <v/>
      </c>
      <c r="AC65" s="7">
        <f>Y65-(Q65+X65)/1.06</f>
        <v/>
      </c>
      <c r="AD65" s="8">
        <f>IFERROR(AC65/G65,0)</f>
        <v/>
      </c>
    </row>
    <row r="66" ht="14.25" customHeight="1" s="69">
      <c r="A66" s="5" t="inlineStr">
        <is>
          <t>5.25-5.31</t>
        </is>
      </c>
      <c r="B66" s="5" t="inlineStr">
        <is>
          <t>5.25-5.31</t>
        </is>
      </c>
      <c r="C66" s="119" t="n">
        <v>1028450344901</v>
      </c>
      <c r="D66" s="5" t="inlineStr">
        <is>
          <t>韩式火鸡</t>
        </is>
      </c>
      <c r="E66" s="5" t="inlineStr">
        <is>
          <t>营多韩式火鸡面袋装拌面干拌面泡面方便面速食面宿舍宵夜旅行</t>
        </is>
      </c>
      <c r="F66" s="7" t="n">
        <v>96.63</v>
      </c>
      <c r="G66" s="7">
        <f>IFERROR(F66/1.13,0)</f>
        <v/>
      </c>
      <c r="H66" s="5" t="n">
        <v>4</v>
      </c>
      <c r="I66" s="8">
        <f>IFERROR(H66/SUMIF($A:$A,A66,$H:$H),0)</f>
        <v/>
      </c>
      <c r="J66" s="9">
        <f>IFERROR(F66/H66,0)</f>
        <v/>
      </c>
      <c r="K66" s="7" t="n">
        <v>5.3046259969821</v>
      </c>
      <c r="L66" s="7" t="n">
        <v>3.7109980599267</v>
      </c>
      <c r="M66" s="9">
        <f>IFERROR(L66/K66,0)</f>
        <v/>
      </c>
      <c r="N66" s="7" t="n">
        <v>1.78112524250916</v>
      </c>
      <c r="O66" s="7" t="n">
        <v>3.53095925846087</v>
      </c>
      <c r="P66" s="9">
        <f>IFERROR(O66/N66,0)</f>
        <v/>
      </c>
      <c r="Q66" s="7">
        <f>K66+N66</f>
        <v/>
      </c>
      <c r="R66" s="7">
        <f>L66+O66</f>
        <v/>
      </c>
      <c r="S66" s="9">
        <f>IFERROR(R66/Q66,0)</f>
        <v/>
      </c>
      <c r="T66" s="8">
        <f>IFERROR(Q66/SUMIF($A:$A,A66,$Q:$Q),0)</f>
        <v/>
      </c>
      <c r="U66" s="8">
        <f>IFERROR(Q66/F66,0)</f>
        <v/>
      </c>
      <c r="V66" s="7">
        <f>F66-R66</f>
        <v/>
      </c>
      <c r="W66" s="8">
        <f>IFERROR(V66/F66,0)</f>
        <v/>
      </c>
      <c r="X66" s="7">
        <f>IFERROR(VLOOKUP(A66,周报其他费用!$A:$B,2,FALSE)*I66,0)</f>
        <v/>
      </c>
      <c r="Y66" s="7" t="n">
        <v>9.231</v>
      </c>
      <c r="Z66" s="8">
        <f>IFERROR(Y66/G66,0)</f>
        <v/>
      </c>
      <c r="AA66" s="7">
        <f>Y66-K66/1.06</f>
        <v/>
      </c>
      <c r="AB66" s="8">
        <f>IFERROR(AA66/G66,0)</f>
        <v/>
      </c>
      <c r="AC66" s="7">
        <f>Y66-(Q66+X66)/1.06</f>
        <v/>
      </c>
      <c r="AD66" s="8">
        <f>IFERROR(AC66/G66,0)</f>
        <v/>
      </c>
    </row>
    <row r="67" ht="14.25" customHeight="1" s="69">
      <c r="A67" s="5" t="inlineStr">
        <is>
          <t>5.25-5.31</t>
        </is>
      </c>
      <c r="B67" s="5" t="inlineStr">
        <is>
          <t>5.25-5.31</t>
        </is>
      </c>
      <c r="C67" s="119" t="n">
        <v>971242260371</v>
      </c>
      <c r="D67" s="5" t="inlineStr">
        <is>
          <t>韩式袋面</t>
        </is>
      </c>
      <c r="E67" s="5" t="inlineStr">
        <is>
          <t>新品营多捞面韩式辣蘑菇汤面泡面方便面速食干拌面宿舍宵夜旅行</t>
        </is>
      </c>
      <c r="F67" s="7" t="n">
        <v>49.29</v>
      </c>
      <c r="G67" s="7">
        <f>IFERROR(F67/1.13,0)</f>
        <v/>
      </c>
      <c r="H67" s="5" t="n">
        <v>3</v>
      </c>
      <c r="I67" s="8">
        <f>IFERROR(H67/SUMIF($A:$A,A67,$H:$H),0)</f>
        <v/>
      </c>
      <c r="J67" s="9">
        <f>IFERROR(F67/H67,0)</f>
        <v/>
      </c>
      <c r="K67" s="7" t="n">
        <v>61.9384694977366</v>
      </c>
      <c r="L67" s="7" t="n">
        <v>262.273248544945</v>
      </c>
      <c r="M67" s="9">
        <f>IFERROR(L67/K67,0)</f>
        <v/>
      </c>
      <c r="N67" s="7" t="n">
        <v>1.33584393188187</v>
      </c>
      <c r="O67" s="7" t="n">
        <v>2.64821944384566</v>
      </c>
      <c r="P67" s="9">
        <f>IFERROR(O67/N67,0)</f>
        <v/>
      </c>
      <c r="Q67" s="7">
        <f>K67+N67</f>
        <v/>
      </c>
      <c r="R67" s="7">
        <f>L67+O67</f>
        <v/>
      </c>
      <c r="S67" s="9">
        <f>IFERROR(R67/Q67,0)</f>
        <v/>
      </c>
      <c r="T67" s="8">
        <f>IFERROR(Q67/SUMIF($A:$A,A67,$Q:$Q),0)</f>
        <v/>
      </c>
      <c r="U67" s="8">
        <f>IFERROR(Q67/F67,0)</f>
        <v/>
      </c>
      <c r="V67" s="7">
        <f>F67-R67</f>
        <v/>
      </c>
      <c r="W67" s="8">
        <f>IFERROR(V67/F67,0)</f>
        <v/>
      </c>
      <c r="X67" s="7">
        <f>IFERROR(VLOOKUP(A67,周报其他费用!$A:$B,2,FALSE)*I67,0)</f>
        <v/>
      </c>
      <c r="Y67" s="7" t="n">
        <v>4.184</v>
      </c>
      <c r="Z67" s="8">
        <f>IFERROR(Y67/G67,0)</f>
        <v/>
      </c>
      <c r="AA67" s="7">
        <f>Y67-K67/1.06</f>
        <v/>
      </c>
      <c r="AB67" s="8">
        <f>IFERROR(AA67/G67,0)</f>
        <v/>
      </c>
      <c r="AC67" s="7">
        <f>Y67-(Q67+X67)/1.06</f>
        <v/>
      </c>
      <c r="AD67" s="8">
        <f>IFERROR(AC67/G67,0)</f>
        <v/>
      </c>
    </row>
    <row r="68" ht="14.25" customHeight="1" s="69">
      <c r="A68" s="5" t="inlineStr">
        <is>
          <t>5.25-5.31</t>
        </is>
      </c>
      <c r="B68" s="5" t="inlineStr">
        <is>
          <t>5.25-5.31</t>
        </is>
      </c>
      <c r="C68" s="119" t="n">
        <v>916072786304</v>
      </c>
      <c r="D68" s="5" t="inlineStr">
        <is>
          <t>小规格</t>
        </is>
      </c>
      <c r="E68" s="5" t="inlineStr">
        <is>
          <t>营多印尼进口营多捞面方便面火鸡面干拌面10包宿舍速食泡面夜宵</t>
        </is>
      </c>
      <c r="F68" s="7" t="n">
        <v>59.43</v>
      </c>
      <c r="G68" s="7">
        <f>IFERROR(F68/1.13,0)</f>
        <v/>
      </c>
      <c r="H68" s="5" t="n">
        <v>3</v>
      </c>
      <c r="I68" s="8">
        <f>IFERROR(H68/SUMIF($A:$A,A68,$H:$H),0)</f>
        <v/>
      </c>
      <c r="J68" s="9">
        <f>IFERROR(F68/H68,0)</f>
        <v/>
      </c>
      <c r="K68" s="7" t="n">
        <v>1.72846949773658</v>
      </c>
      <c r="L68" s="7" t="n">
        <v>2.78324854494502</v>
      </c>
      <c r="M68" s="9">
        <f>IFERROR(L68/K68,0)</f>
        <v/>
      </c>
      <c r="N68" s="7" t="n">
        <v>1.33584393188187</v>
      </c>
      <c r="O68" s="7" t="n">
        <v>2.64821944384566</v>
      </c>
      <c r="P68" s="9">
        <f>IFERROR(O68/N68,0)</f>
        <v/>
      </c>
      <c r="Q68" s="7">
        <f>K68+N68</f>
        <v/>
      </c>
      <c r="R68" s="7">
        <f>L68+O68</f>
        <v/>
      </c>
      <c r="S68" s="9">
        <f>IFERROR(R68/Q68,0)</f>
        <v/>
      </c>
      <c r="T68" s="8">
        <f>IFERROR(Q68/SUMIF($A:$A,A68,$Q:$Q),0)</f>
        <v/>
      </c>
      <c r="U68" s="8">
        <f>IFERROR(Q68/F68,0)</f>
        <v/>
      </c>
      <c r="V68" s="7">
        <f>F68-R68</f>
        <v/>
      </c>
      <c r="W68" s="8">
        <f>IFERROR(V68/F68,0)</f>
        <v/>
      </c>
      <c r="X68" s="7">
        <f>IFERROR(VLOOKUP(A68,周报其他费用!$A:$B,2,FALSE)*I68,0)</f>
        <v/>
      </c>
      <c r="Y68" s="7" t="n">
        <v>3.496</v>
      </c>
      <c r="Z68" s="8">
        <f>IFERROR(Y68/G68,0)</f>
        <v/>
      </c>
      <c r="AA68" s="7">
        <f>Y68-K68/1.06</f>
        <v/>
      </c>
      <c r="AB68" s="8">
        <f>IFERROR(AA68/G68,0)</f>
        <v/>
      </c>
      <c r="AC68" s="7">
        <f>Y68-(Q68+X68)/1.06</f>
        <v/>
      </c>
      <c r="AD68" s="8">
        <f>IFERROR(AC68/G68,0)</f>
        <v/>
      </c>
    </row>
    <row r="69" ht="14.25" customHeight="1" s="69">
      <c r="A69" s="5" t="inlineStr">
        <is>
          <t>5.25-5.31</t>
        </is>
      </c>
      <c r="B69" s="5" t="inlineStr">
        <is>
          <t>5.25-5.31</t>
        </is>
      </c>
      <c r="C69" s="119" t="n">
        <v>903183018417</v>
      </c>
      <c r="D69" s="5" t="inlineStr">
        <is>
          <t>七口味混搭</t>
        </is>
      </c>
      <c r="E69" s="5" t="inlineStr">
        <is>
          <t>进口营多捞面汤面拌面七口味混合方便面速拉面宿舍拌面泡面食食品</t>
        </is>
      </c>
      <c r="F69" s="7" t="n">
        <v>57.82</v>
      </c>
      <c r="G69" s="7">
        <f>IFERROR(F69/1.13,0)</f>
        <v/>
      </c>
      <c r="H69" s="5" t="n">
        <v>3</v>
      </c>
      <c r="I69" s="8">
        <f>IFERROR(H69/SUMIF($A:$A,A69,$H:$H),0)</f>
        <v/>
      </c>
      <c r="J69" s="9">
        <f>IFERROR(F69/H69,0)</f>
        <v/>
      </c>
      <c r="K69" s="7" t="n">
        <v>15.4584694977366</v>
      </c>
      <c r="L69" s="7" t="n">
        <v>21.243248544945</v>
      </c>
      <c r="M69" s="9">
        <f>IFERROR(L69/K69,0)</f>
        <v/>
      </c>
      <c r="N69" s="7" t="n">
        <v>1.33584393188187</v>
      </c>
      <c r="O69" s="7" t="n">
        <v>2.64821944384566</v>
      </c>
      <c r="P69" s="9">
        <f>IFERROR(O69/N69,0)</f>
        <v/>
      </c>
      <c r="Q69" s="7">
        <f>K69+N69</f>
        <v/>
      </c>
      <c r="R69" s="7">
        <f>L69+O69</f>
        <v/>
      </c>
      <c r="S69" s="9">
        <f>IFERROR(R69/Q69,0)</f>
        <v/>
      </c>
      <c r="T69" s="8">
        <f>IFERROR(Q69/SUMIF($A:$A,A69,$Q:$Q),0)</f>
        <v/>
      </c>
      <c r="U69" s="8">
        <f>IFERROR(Q69/F69,0)</f>
        <v/>
      </c>
      <c r="V69" s="7">
        <f>F69-R69</f>
        <v/>
      </c>
      <c r="W69" s="8">
        <f>IFERROR(V69/F69,0)</f>
        <v/>
      </c>
      <c r="X69" s="7">
        <f>IFERROR(VLOOKUP(A69,周报其他费用!$A:$B,2,FALSE)*I69,0)</f>
        <v/>
      </c>
      <c r="Y69" s="7" t="n">
        <v>4.48</v>
      </c>
      <c r="Z69" s="8">
        <f>IFERROR(Y69/G69,0)</f>
        <v/>
      </c>
      <c r="AA69" s="7">
        <f>Y69-K69/1.06</f>
        <v/>
      </c>
      <c r="AB69" s="8">
        <f>IFERROR(AA69/G69,0)</f>
        <v/>
      </c>
      <c r="AC69" s="7">
        <f>Y69-(Q69+X69)/1.06</f>
        <v/>
      </c>
      <c r="AD69" s="8">
        <f>IFERROR(AC69/G69,0)</f>
        <v/>
      </c>
    </row>
    <row r="70" ht="14.25" customHeight="1" s="69">
      <c r="A70" s="5" t="inlineStr">
        <is>
          <t>5.25-5.31</t>
        </is>
      </c>
      <c r="B70" s="5" t="inlineStr">
        <is>
          <t>5.25-5.31</t>
        </is>
      </c>
      <c r="C70" s="119" t="n">
        <v>775016827115</v>
      </c>
      <c r="D70" s="5" t="inlineStr">
        <is>
          <t>杯面混搭</t>
        </is>
      </c>
      <c r="E70" s="5" t="inlineStr">
        <is>
          <t>进口营多原味杯面日式杯面韩式杯面泡面方便面汤面宿舍速食夜宵</t>
        </is>
      </c>
      <c r="F70" s="7" t="n">
        <v>82.91</v>
      </c>
      <c r="G70" s="7">
        <f>IFERROR(F70/1.13,0)</f>
        <v/>
      </c>
      <c r="H70" s="5" t="n">
        <v>3</v>
      </c>
      <c r="I70" s="8">
        <f>IFERROR(H70/SUMIF($A:$A,A70,$H:$H),0)</f>
        <v/>
      </c>
      <c r="J70" s="9">
        <f>IFERROR(F70/H70,0)</f>
        <v/>
      </c>
      <c r="K70" s="7" t="n">
        <v>5.59846949773658</v>
      </c>
      <c r="L70" s="7" t="n">
        <v>2.78324854494502</v>
      </c>
      <c r="M70" s="9">
        <f>IFERROR(L70/K70,0)</f>
        <v/>
      </c>
      <c r="N70" s="7" t="n">
        <v>1.33584393188187</v>
      </c>
      <c r="O70" s="7" t="n">
        <v>2.64821944384566</v>
      </c>
      <c r="P70" s="9">
        <f>IFERROR(O70/N70,0)</f>
        <v/>
      </c>
      <c r="Q70" s="7">
        <f>K70+N70</f>
        <v/>
      </c>
      <c r="R70" s="7">
        <f>L70+O70</f>
        <v/>
      </c>
      <c r="S70" s="9">
        <f>IFERROR(R70/Q70,0)</f>
        <v/>
      </c>
      <c r="T70" s="8">
        <f>IFERROR(Q70/SUMIF($A:$A,A70,$Q:$Q),0)</f>
        <v/>
      </c>
      <c r="U70" s="8">
        <f>IFERROR(Q70/F70,0)</f>
        <v/>
      </c>
      <c r="V70" s="7">
        <f>F70-R70</f>
        <v/>
      </c>
      <c r="W70" s="8">
        <f>IFERROR(V70/F70,0)</f>
        <v/>
      </c>
      <c r="X70" s="7">
        <f>IFERROR(VLOOKUP(A70,周报其他费用!$A:$B,2,FALSE)*I70,0)</f>
        <v/>
      </c>
      <c r="Y70" s="7" t="n">
        <v>10.303</v>
      </c>
      <c r="Z70" s="8">
        <f>IFERROR(Y70/G70,0)</f>
        <v/>
      </c>
      <c r="AA70" s="7">
        <f>Y70-K70/1.06</f>
        <v/>
      </c>
      <c r="AB70" s="8">
        <f>IFERROR(AA70/G70,0)</f>
        <v/>
      </c>
      <c r="AC70" s="7">
        <f>Y70-(Q70+X70)/1.06</f>
        <v/>
      </c>
      <c r="AD70" s="8">
        <f>IFERROR(AC70/G70,0)</f>
        <v/>
      </c>
    </row>
    <row r="71" ht="14.25" customHeight="1" s="69">
      <c r="A71" s="5" t="inlineStr">
        <is>
          <t>5.25-5.31</t>
        </is>
      </c>
      <c r="B71" s="5" t="inlineStr">
        <is>
          <t>5.25-5.31</t>
        </is>
      </c>
      <c r="C71" s="119" t="n">
        <v>976467954327</v>
      </c>
      <c r="D71" s="5" t="inlineStr">
        <is>
          <t>日韩杯面</t>
        </is>
      </c>
      <c r="E71" s="5" t="inlineStr">
        <is>
          <t>【天猫U选】indomie营多捞面辣蘑菇味日式辣味杯面</t>
        </is>
      </c>
      <c r="F71" s="7" t="n">
        <v>18.55</v>
      </c>
      <c r="G71" s="7">
        <f>IFERROR(F71/1.13,0)</f>
        <v/>
      </c>
      <c r="H71" s="5" t="n">
        <v>2</v>
      </c>
      <c r="I71" s="8">
        <f>IFERROR(H71/SUMIF($A:$A,A71,$H:$H),0)</f>
        <v/>
      </c>
      <c r="J71" s="9">
        <f>IFERROR(F71/H71,0)</f>
        <v/>
      </c>
      <c r="K71" s="7" t="n">
        <v>0.472312998491052</v>
      </c>
      <c r="L71" s="7" t="n">
        <v>1.85549902996335</v>
      </c>
      <c r="M71" s="9">
        <f>IFERROR(L71/K71,0)</f>
        <v/>
      </c>
      <c r="N71" s="7" t="n">
        <v>0.890562621254581</v>
      </c>
      <c r="O71" s="7" t="n">
        <v>1.76547962923044</v>
      </c>
      <c r="P71" s="9">
        <f>IFERROR(O71/N71,0)</f>
        <v/>
      </c>
      <c r="Q71" s="7">
        <f>K71+N71</f>
        <v/>
      </c>
      <c r="R71" s="7">
        <f>L71+O71</f>
        <v/>
      </c>
      <c r="S71" s="9">
        <f>IFERROR(R71/Q71,0)</f>
        <v/>
      </c>
      <c r="T71" s="8">
        <f>IFERROR(Q71/SUMIF($A:$A,A71,$Q:$Q),0)</f>
        <v/>
      </c>
      <c r="U71" s="8">
        <f>IFERROR(Q71/F71,0)</f>
        <v/>
      </c>
      <c r="V71" s="7">
        <f>F71-R71</f>
        <v/>
      </c>
      <c r="W71" s="8">
        <f>IFERROR(V71/F71,0)</f>
        <v/>
      </c>
      <c r="X71" s="7">
        <f>IFERROR(VLOOKUP(A71,周报其他费用!$A:$B,2,FALSE)*I71,0)</f>
        <v/>
      </c>
      <c r="Y71" s="7" t="n">
        <v>-3.742</v>
      </c>
      <c r="Z71" s="8">
        <f>IFERROR(Y71/G71,0)</f>
        <v/>
      </c>
      <c r="AA71" s="7">
        <f>Y71-K71/1.06</f>
        <v/>
      </c>
      <c r="AB71" s="8">
        <f>IFERROR(AA71/G71,0)</f>
        <v/>
      </c>
      <c r="AC71" s="7">
        <f>Y71-(Q71+X71)/1.06</f>
        <v/>
      </c>
      <c r="AD71" s="8">
        <f>IFERROR(AC71/G71,0)</f>
        <v/>
      </c>
    </row>
    <row r="72" ht="14.25" customHeight="1" s="69">
      <c r="A72" s="5" t="inlineStr">
        <is>
          <t>5.25-5.31</t>
        </is>
      </c>
      <c r="B72" s="5" t="inlineStr">
        <is>
          <t>5.25-5.31</t>
        </is>
      </c>
      <c r="C72" s="119" t="n">
        <v>965545088099</v>
      </c>
      <c r="D72" s="5" t="inlineStr">
        <is>
          <t>十口味混搭</t>
        </is>
      </c>
      <c r="E72" s="5" t="inlineStr">
        <is>
          <t>营多捞面多口味袋装泡面拌面速食面干拌面方便面速食宵夜宿舍旅行</t>
        </is>
      </c>
      <c r="F72" s="7" t="n">
        <v>67.01000000000001</v>
      </c>
      <c r="G72" s="7">
        <f>IFERROR(F72/1.13,0)</f>
        <v/>
      </c>
      <c r="H72" s="5" t="n">
        <v>2</v>
      </c>
      <c r="I72" s="8">
        <f>IFERROR(H72/SUMIF($A:$A,A72,$H:$H),0)</f>
        <v/>
      </c>
      <c r="J72" s="9">
        <f>IFERROR(F72/H72,0)</f>
        <v/>
      </c>
      <c r="K72" s="7" t="n">
        <v>1.76231299849105</v>
      </c>
      <c r="L72" s="7" t="n">
        <v>1.85549902996335</v>
      </c>
      <c r="M72" s="9">
        <f>IFERROR(L72/K72,0)</f>
        <v/>
      </c>
      <c r="N72" s="7" t="n">
        <v>0.890562621254581</v>
      </c>
      <c r="O72" s="7" t="n">
        <v>1.76547962923044</v>
      </c>
      <c r="P72" s="9">
        <f>IFERROR(O72/N72,0)</f>
        <v/>
      </c>
      <c r="Q72" s="7">
        <f>K72+N72</f>
        <v/>
      </c>
      <c r="R72" s="7">
        <f>L72+O72</f>
        <v/>
      </c>
      <c r="S72" s="9">
        <f>IFERROR(R72/Q72,0)</f>
        <v/>
      </c>
      <c r="T72" s="8">
        <f>IFERROR(Q72/SUMIF($A:$A,A72,$Q:$Q),0)</f>
        <v/>
      </c>
      <c r="U72" s="8">
        <f>IFERROR(Q72/F72,0)</f>
        <v/>
      </c>
      <c r="V72" s="7">
        <f>F72-R72</f>
        <v/>
      </c>
      <c r="W72" s="8">
        <f>IFERROR(V72/F72,0)</f>
        <v/>
      </c>
      <c r="X72" s="7">
        <f>IFERROR(VLOOKUP(A72,周报其他费用!$A:$B,2,FALSE)*I72,0)</f>
        <v/>
      </c>
      <c r="Y72" s="7" t="n">
        <v>16.695</v>
      </c>
      <c r="Z72" s="8">
        <f>IFERROR(Y72/G72,0)</f>
        <v/>
      </c>
      <c r="AA72" s="7">
        <f>Y72-K72/1.06</f>
        <v/>
      </c>
      <c r="AB72" s="8">
        <f>IFERROR(AA72/G72,0)</f>
        <v/>
      </c>
      <c r="AC72" s="7">
        <f>Y72-(Q72+X72)/1.06</f>
        <v/>
      </c>
      <c r="AD72" s="8">
        <f>IFERROR(AC72/G72,0)</f>
        <v/>
      </c>
    </row>
    <row r="73" ht="14.25" customHeight="1" s="69">
      <c r="A73" s="5" t="inlineStr">
        <is>
          <t>5.25-5.31</t>
        </is>
      </c>
      <c r="B73" s="5" t="inlineStr">
        <is>
          <t>5.25-5.31</t>
        </is>
      </c>
      <c r="C73" s="119" t="n">
        <v>947413291596</v>
      </c>
      <c r="D73" s="5" t="inlineStr">
        <is>
          <t>杯面</t>
        </is>
      </c>
      <c r="E73" s="5" t="inlineStr">
        <is>
          <t>营多捞面杯装方便面泡面速食干拌面原味整箱批发印尼进口桶装拌面</t>
        </is>
      </c>
      <c r="F73" s="7" t="n">
        <v>51.51</v>
      </c>
      <c r="G73" s="7">
        <f>IFERROR(F73/1.13,0)</f>
        <v/>
      </c>
      <c r="H73" s="5" t="n">
        <v>2</v>
      </c>
      <c r="I73" s="8">
        <f>IFERROR(H73/SUMIF($A:$A,A73,$H:$H),0)</f>
        <v/>
      </c>
      <c r="J73" s="9">
        <f>IFERROR(F73/H73,0)</f>
        <v/>
      </c>
      <c r="K73" s="7" t="n">
        <v>7.90231299849105</v>
      </c>
      <c r="L73" s="7" t="n">
        <v>53.3654990299633</v>
      </c>
      <c r="M73" s="9">
        <f>IFERROR(L73/K73,0)</f>
        <v/>
      </c>
      <c r="N73" s="7" t="n">
        <v>0.890562621254581</v>
      </c>
      <c r="O73" s="7" t="n">
        <v>1.76547962923044</v>
      </c>
      <c r="P73" s="9">
        <f>IFERROR(O73/N73,0)</f>
        <v/>
      </c>
      <c r="Q73" s="7">
        <f>K73+N73</f>
        <v/>
      </c>
      <c r="R73" s="7">
        <f>L73+O73</f>
        <v/>
      </c>
      <c r="S73" s="9">
        <f>IFERROR(R73/Q73,0)</f>
        <v/>
      </c>
      <c r="T73" s="8">
        <f>IFERROR(Q73/SUMIF($A:$A,A73,$Q:$Q),0)</f>
        <v/>
      </c>
      <c r="U73" s="8">
        <f>IFERROR(Q73/F73,0)</f>
        <v/>
      </c>
      <c r="V73" s="7">
        <f>F73-R73</f>
        <v/>
      </c>
      <c r="W73" s="8">
        <f>IFERROR(V73/F73,0)</f>
        <v/>
      </c>
      <c r="X73" s="7">
        <f>IFERROR(VLOOKUP(A73,周报其他费用!$A:$B,2,FALSE)*I73,0)</f>
        <v/>
      </c>
      <c r="Y73" s="7" t="n">
        <v>3.787</v>
      </c>
      <c r="Z73" s="8">
        <f>IFERROR(Y73/G73,0)</f>
        <v/>
      </c>
      <c r="AA73" s="7">
        <f>Y73-K73/1.06</f>
        <v/>
      </c>
      <c r="AB73" s="8">
        <f>IFERROR(AA73/G73,0)</f>
        <v/>
      </c>
      <c r="AC73" s="7">
        <f>Y73-(Q73+X73)/1.06</f>
        <v/>
      </c>
      <c r="AD73" s="8">
        <f>IFERROR(AC73/G73,0)</f>
        <v/>
      </c>
    </row>
    <row r="74" ht="14.25" customHeight="1" s="69">
      <c r="A74" s="5" t="inlineStr">
        <is>
          <t>5.25-5.31</t>
        </is>
      </c>
      <c r="B74" s="5" t="inlineStr">
        <is>
          <t>5.25-5.31</t>
        </is>
      </c>
      <c r="C74" s="119" t="n">
        <v>975092562679</v>
      </c>
      <c r="D74" s="5" t="inlineStr">
        <is>
          <t>杯面混搭</t>
        </is>
      </c>
      <c r="E74" s="5" t="inlineStr">
        <is>
          <t>营多韩式甜辣炸鸡火鸡面辣蘑菇杯面拌面泡面方便面速食宵夜旅行</t>
        </is>
      </c>
      <c r="F74" s="7" t="n">
        <v>23.61</v>
      </c>
      <c r="G74" s="7">
        <f>IFERROR(F74/1.13,0)</f>
        <v/>
      </c>
      <c r="H74" s="5" t="n">
        <v>1</v>
      </c>
      <c r="I74" s="8">
        <f>IFERROR(H74/SUMIF($A:$A,A74,$H:$H),0)</f>
        <v/>
      </c>
      <c r="J74" s="9">
        <f>IFERROR(F74/H74,0)</f>
        <v/>
      </c>
      <c r="K74" s="7" t="n">
        <v>1.25615649924553</v>
      </c>
      <c r="L74" s="7" t="n">
        <v>0.927749514981674</v>
      </c>
      <c r="M74" s="9">
        <f>IFERROR(L74/K74,0)</f>
        <v/>
      </c>
      <c r="N74" s="7" t="n">
        <v>0.44528131062729</v>
      </c>
      <c r="O74" s="7" t="n">
        <v>0.882739814615219</v>
      </c>
      <c r="P74" s="9">
        <f>IFERROR(O74/N74,0)</f>
        <v/>
      </c>
      <c r="Q74" s="7">
        <f>K74+N74</f>
        <v/>
      </c>
      <c r="R74" s="7">
        <f>L74+O74</f>
        <v/>
      </c>
      <c r="S74" s="9">
        <f>IFERROR(R74/Q74,0)</f>
        <v/>
      </c>
      <c r="T74" s="8">
        <f>IFERROR(Q74/SUMIF($A:$A,A74,$Q:$Q),0)</f>
        <v/>
      </c>
      <c r="U74" s="8">
        <f>IFERROR(Q74/F74,0)</f>
        <v/>
      </c>
      <c r="V74" s="7">
        <f>F74-R74</f>
        <v/>
      </c>
      <c r="W74" s="8">
        <f>IFERROR(V74/F74,0)</f>
        <v/>
      </c>
      <c r="X74" s="7">
        <f>IFERROR(VLOOKUP(A74,周报其他费用!$A:$B,2,FALSE)*I74,0)</f>
        <v/>
      </c>
      <c r="Y74" s="7" t="n">
        <v>4.145</v>
      </c>
      <c r="Z74" s="8">
        <f>IFERROR(Y74/G74,0)</f>
        <v/>
      </c>
      <c r="AA74" s="7">
        <f>Y74-K74/1.06</f>
        <v/>
      </c>
      <c r="AB74" s="8">
        <f>IFERROR(AA74/G74,0)</f>
        <v/>
      </c>
      <c r="AC74" s="7">
        <f>Y74-(Q74+X74)/1.06</f>
        <v/>
      </c>
      <c r="AD74" s="8">
        <f>IFERROR(AC74/G74,0)</f>
        <v/>
      </c>
    </row>
    <row r="75" ht="14.25" customHeight="1" s="69">
      <c r="A75" s="5" t="inlineStr">
        <is>
          <t>5.25-5.31</t>
        </is>
      </c>
      <c r="B75" s="5" t="inlineStr">
        <is>
          <t>5.25-5.31</t>
        </is>
      </c>
      <c r="C75" s="119" t="n">
        <v>898120785283</v>
      </c>
      <c r="D75" s="5" t="inlineStr">
        <is>
          <t>番茄</t>
        </is>
      </c>
      <c r="E75" s="5" t="inlineStr">
        <is>
          <t>进口意大利面风味奶香番茄牛肉味意式营多早餐儿童宝妈家庭餐拌面</t>
        </is>
      </c>
      <c r="F75" s="7" t="n">
        <v>22.38</v>
      </c>
      <c r="G75" s="7">
        <f>IFERROR(F75/1.13,0)</f>
        <v/>
      </c>
      <c r="H75" s="5" t="n">
        <v>1</v>
      </c>
      <c r="I75" s="8">
        <f>IFERROR(H75/SUMIF($A:$A,A75,$H:$H),0)</f>
        <v/>
      </c>
      <c r="J75" s="9">
        <f>IFERROR(F75/H75,0)</f>
        <v/>
      </c>
      <c r="K75" s="7" t="n">
        <v>4.02615649924553</v>
      </c>
      <c r="L75" s="7" t="n">
        <v>23.3077495149817</v>
      </c>
      <c r="M75" s="9">
        <f>IFERROR(L75/K75,0)</f>
        <v/>
      </c>
      <c r="N75" s="7" t="n">
        <v>0.44528131062729</v>
      </c>
      <c r="O75" s="7" t="n">
        <v>0.882739814615219</v>
      </c>
      <c r="P75" s="9">
        <f>IFERROR(O75/N75,0)</f>
        <v/>
      </c>
      <c r="Q75" s="7">
        <f>K75+N75</f>
        <v/>
      </c>
      <c r="R75" s="7">
        <f>L75+O75</f>
        <v/>
      </c>
      <c r="S75" s="9">
        <f>IFERROR(R75/Q75,0)</f>
        <v/>
      </c>
      <c r="T75" s="8">
        <f>IFERROR(Q75/SUMIF($A:$A,A75,$Q:$Q),0)</f>
        <v/>
      </c>
      <c r="U75" s="8">
        <f>IFERROR(Q75/F75,0)</f>
        <v/>
      </c>
      <c r="V75" s="7">
        <f>F75-R75</f>
        <v/>
      </c>
      <c r="W75" s="8">
        <f>IFERROR(V75/F75,0)</f>
        <v/>
      </c>
      <c r="X75" s="7">
        <f>IFERROR(VLOOKUP(A75,周报其他费用!$A:$B,2,FALSE)*I75,0)</f>
        <v/>
      </c>
      <c r="Y75" s="7" t="n">
        <v>1.177</v>
      </c>
      <c r="Z75" s="8">
        <f>IFERROR(Y75/G75,0)</f>
        <v/>
      </c>
      <c r="AA75" s="7">
        <f>Y75-K75/1.06</f>
        <v/>
      </c>
      <c r="AB75" s="8">
        <f>IFERROR(AA75/G75,0)</f>
        <v/>
      </c>
      <c r="AC75" s="7">
        <f>Y75-(Q75+X75)/1.06</f>
        <v/>
      </c>
      <c r="AD75" s="8">
        <f>IFERROR(AC75/G75,0)</f>
        <v/>
      </c>
    </row>
    <row r="76" ht="14.25" customHeight="1" s="69">
      <c r="A76" s="5" t="inlineStr">
        <is>
          <t>5.25-5.31</t>
        </is>
      </c>
      <c r="B76" s="5" t="inlineStr">
        <is>
          <t>5.25-5.31</t>
        </is>
      </c>
      <c r="C76" s="119" t="n">
        <v>869217868453</v>
      </c>
      <c r="D76" s="5" t="inlineStr">
        <is>
          <t>韩式杯面</t>
        </is>
      </c>
      <c r="E76" s="5" t="inlineStr">
        <is>
          <t>营多捞面韩式甜辣炸鸡辣蘑菇杯面方便面拌面泡面宿舍速食面</t>
        </is>
      </c>
      <c r="F76" s="7" t="n">
        <v>27.25</v>
      </c>
      <c r="G76" s="7">
        <f>IFERROR(F76/1.13,0)</f>
        <v/>
      </c>
      <c r="H76" s="5" t="n">
        <v>1</v>
      </c>
      <c r="I76" s="8">
        <f>IFERROR(H76/SUMIF($A:$A,A76,$H:$H),0)</f>
        <v/>
      </c>
      <c r="J76" s="9">
        <f>IFERROR(F76/H76,0)</f>
        <v/>
      </c>
      <c r="K76" s="7" t="n">
        <v>3.58615649924553</v>
      </c>
      <c r="L76" s="7" t="n">
        <v>0.927749514981674</v>
      </c>
      <c r="M76" s="9">
        <f>IFERROR(L76/K76,0)</f>
        <v/>
      </c>
      <c r="N76" s="7" t="n">
        <v>0.44528131062729</v>
      </c>
      <c r="O76" s="7" t="n">
        <v>0.882739814615219</v>
      </c>
      <c r="P76" s="9">
        <f>IFERROR(O76/N76,0)</f>
        <v/>
      </c>
      <c r="Q76" s="7">
        <f>K76+N76</f>
        <v/>
      </c>
      <c r="R76" s="7">
        <f>L76+O76</f>
        <v/>
      </c>
      <c r="S76" s="9">
        <f>IFERROR(R76/Q76,0)</f>
        <v/>
      </c>
      <c r="T76" s="8">
        <f>IFERROR(Q76/SUMIF($A:$A,A76,$Q:$Q),0)</f>
        <v/>
      </c>
      <c r="U76" s="8">
        <f>IFERROR(Q76/F76,0)</f>
        <v/>
      </c>
      <c r="V76" s="7">
        <f>F76-R76</f>
        <v/>
      </c>
      <c r="W76" s="8">
        <f>IFERROR(V76/F76,0)</f>
        <v/>
      </c>
      <c r="X76" s="7">
        <f>IFERROR(VLOOKUP(A76,周报其他费用!$A:$B,2,FALSE)*I76,0)</f>
        <v/>
      </c>
      <c r="Y76" s="7" t="n">
        <v>3.118</v>
      </c>
      <c r="Z76" s="8">
        <f>IFERROR(Y76/G76,0)</f>
        <v/>
      </c>
      <c r="AA76" s="7">
        <f>Y76-K76/1.06</f>
        <v/>
      </c>
      <c r="AB76" s="8">
        <f>IFERROR(AA76/G76,0)</f>
        <v/>
      </c>
      <c r="AC76" s="7">
        <f>Y76-(Q76+X76)/1.06</f>
        <v/>
      </c>
      <c r="AD76" s="8">
        <f>IFERROR(AC76/G76,0)</f>
        <v/>
      </c>
    </row>
    <row r="77" ht="14.25" customHeight="1" s="69">
      <c r="A77" s="5" t="inlineStr">
        <is>
          <t>5.25-5.31</t>
        </is>
      </c>
      <c r="B77" s="5" t="inlineStr">
        <is>
          <t>5.25-5.31</t>
        </is>
      </c>
      <c r="C77" s="119" t="n">
        <v>754828376158</v>
      </c>
      <c r="D77" s="5" t="inlineStr">
        <is>
          <t>六口味混搭</t>
        </is>
      </c>
      <c r="E77" s="5" t="inlineStr">
        <is>
          <t>进口营多捞面汤面拌面六口味混合方便面速食食品泡面</t>
        </is>
      </c>
      <c r="F77" s="7" t="n">
        <v>16.9</v>
      </c>
      <c r="G77" s="7">
        <f>IFERROR(F77/1.13,0)</f>
        <v/>
      </c>
      <c r="H77" s="5" t="n">
        <v>1</v>
      </c>
      <c r="I77" s="8">
        <f>IFERROR(H77/SUMIF($A:$A,A77,$H:$H),0)</f>
        <v/>
      </c>
      <c r="J77" s="9">
        <f>IFERROR(F77/H77,0)</f>
        <v/>
      </c>
      <c r="K77" s="7" t="n">
        <v>0.806156499245526</v>
      </c>
      <c r="L77" s="7" t="n">
        <v>0.927749514981674</v>
      </c>
      <c r="M77" s="9">
        <f>IFERROR(L77/K77,0)</f>
        <v/>
      </c>
      <c r="N77" s="7" t="n">
        <v>0.44528131062729</v>
      </c>
      <c r="O77" s="7" t="n">
        <v>0.882739814615219</v>
      </c>
      <c r="P77" s="9">
        <f>IFERROR(O77/N77,0)</f>
        <v/>
      </c>
      <c r="Q77" s="7">
        <f>K77+N77</f>
        <v/>
      </c>
      <c r="R77" s="7">
        <f>L77+O77</f>
        <v/>
      </c>
      <c r="S77" s="9">
        <f>IFERROR(R77/Q77,0)</f>
        <v/>
      </c>
      <c r="T77" s="8">
        <f>IFERROR(Q77/SUMIF($A:$A,A77,$Q:$Q),0)</f>
        <v/>
      </c>
      <c r="U77" s="8">
        <f>IFERROR(Q77/F77,0)</f>
        <v/>
      </c>
      <c r="V77" s="7">
        <f>F77-R77</f>
        <v/>
      </c>
      <c r="W77" s="8">
        <f>IFERROR(V77/F77,0)</f>
        <v/>
      </c>
      <c r="X77" s="7">
        <f>IFERROR(VLOOKUP(A77,周报其他费用!$A:$B,2,FALSE)*I77,0)</f>
        <v/>
      </c>
      <c r="Y77" s="7" t="n">
        <v>1.49</v>
      </c>
      <c r="Z77" s="8">
        <f>IFERROR(Y77/G77,0)</f>
        <v/>
      </c>
      <c r="AA77" s="7">
        <f>Y77-K77/1.06</f>
        <v/>
      </c>
      <c r="AB77" s="8">
        <f>IFERROR(AA77/G77,0)</f>
        <v/>
      </c>
      <c r="AC77" s="7">
        <f>Y77-(Q77+X77)/1.06</f>
        <v/>
      </c>
      <c r="AD77" s="8">
        <f>IFERROR(AC77/G77,0)</f>
        <v/>
      </c>
    </row>
    <row r="78" ht="14.25" customHeight="1" s="69">
      <c r="A78" s="5" t="inlineStr">
        <is>
          <t>5.25-5.31</t>
        </is>
      </c>
      <c r="B78" s="5" t="inlineStr">
        <is>
          <t>5.25-5.31</t>
        </is>
      </c>
      <c r="C78" s="119" t="n">
        <v>649731447266</v>
      </c>
      <c r="D78" s="5" t="inlineStr">
        <is>
          <t>20包经典/牛系列</t>
        </is>
      </c>
      <c r="E78" s="5" t="inlineStr">
        <is>
          <t>营多印尼进口营多捞面方便面火鸡面干拌面20包宿舍速食泡面夜宵</t>
        </is>
      </c>
      <c r="F78" s="7" t="n">
        <v>48.8</v>
      </c>
      <c r="G78" s="7">
        <f>IFERROR(F78/1.13,0)</f>
        <v/>
      </c>
      <c r="H78" s="5" t="n">
        <v>1</v>
      </c>
      <c r="I78" s="8">
        <f>IFERROR(H78/SUMIF($A:$A,A78,$H:$H),0)</f>
        <v/>
      </c>
      <c r="J78" s="9">
        <f>IFERROR(F78/H78,0)</f>
        <v/>
      </c>
      <c r="K78" s="7" t="n">
        <v>15.5661564992455</v>
      </c>
      <c r="L78" s="7" t="n">
        <v>0.927749514981674</v>
      </c>
      <c r="M78" s="9">
        <f>IFERROR(L78/K78,0)</f>
        <v/>
      </c>
      <c r="N78" s="7" t="n">
        <v>0.44528131062729</v>
      </c>
      <c r="O78" s="7" t="n">
        <v>0.882739814615219</v>
      </c>
      <c r="P78" s="9">
        <f>IFERROR(O78/N78,0)</f>
        <v/>
      </c>
      <c r="Q78" s="7">
        <f>K78+N78</f>
        <v/>
      </c>
      <c r="R78" s="7">
        <f>L78+O78</f>
        <v/>
      </c>
      <c r="S78" s="9">
        <f>IFERROR(R78/Q78,0)</f>
        <v/>
      </c>
      <c r="T78" s="8">
        <f>IFERROR(Q78/SUMIF($A:$A,A78,$Q:$Q),0)</f>
        <v/>
      </c>
      <c r="U78" s="8">
        <f>IFERROR(Q78/F78,0)</f>
        <v/>
      </c>
      <c r="V78" s="7">
        <f>F78-R78</f>
        <v/>
      </c>
      <c r="W78" s="8">
        <f>IFERROR(V78/F78,0)</f>
        <v/>
      </c>
      <c r="X78" s="7">
        <f>IFERROR(VLOOKUP(A78,周报其他费用!$A:$B,2,FALSE)*I78,0)</f>
        <v/>
      </c>
      <c r="Y78" s="7" t="n">
        <v>10.213</v>
      </c>
      <c r="Z78" s="8">
        <f>IFERROR(Y78/G78,0)</f>
        <v/>
      </c>
      <c r="AA78" s="7">
        <f>Y78-K78/1.06</f>
        <v/>
      </c>
      <c r="AB78" s="8">
        <f>IFERROR(AA78/G78,0)</f>
        <v/>
      </c>
      <c r="AC78" s="7">
        <f>Y78-(Q78+X78)/1.06</f>
        <v/>
      </c>
      <c r="AD78" s="8">
        <f>IFERROR(AC78/G78,0)</f>
        <v/>
      </c>
    </row>
    <row r="79" ht="14.25" customHeight="1" s="69">
      <c r="A79" s="5" t="inlineStr">
        <is>
          <t>6.15-6.21</t>
        </is>
      </c>
      <c r="B79" s="5" t="inlineStr">
        <is>
          <t>6.15-6.21</t>
        </is>
      </c>
      <c r="C79" s="119" t="n">
        <v>649361890551</v>
      </c>
      <c r="D79" s="5" t="inlineStr">
        <is>
          <t>袋面次链接</t>
        </is>
      </c>
      <c r="E79" s="5" t="inlineStr">
        <is>
          <t>营多捞面印尼进口Indomie网红夜宵早餐方便面火鸡面泡面拌面</t>
        </is>
      </c>
      <c r="F79" s="7" t="n">
        <v>24398.0900000003</v>
      </c>
      <c r="G79" s="7">
        <f>IFERROR(F79/1.13,0)</f>
        <v/>
      </c>
      <c r="H79" s="5" t="n">
        <v>1311</v>
      </c>
      <c r="I79" s="8">
        <f>IFERROR(H79/SUMIF($A:$A,A79,$H:$H),0)</f>
        <v/>
      </c>
      <c r="J79" s="9">
        <f>IFERROR(F79/H79,0)</f>
        <v/>
      </c>
      <c r="K79" s="7" t="n">
        <v>4515.02616766467</v>
      </c>
      <c r="L79" s="7" t="n">
        <v>18942.3613173653</v>
      </c>
      <c r="M79" s="9">
        <f>IFERROR(L79/K79,0)</f>
        <v/>
      </c>
      <c r="N79" s="7" t="n">
        <v>698.540119760479</v>
      </c>
      <c r="O79" s="7" t="n">
        <v>1509.6774251497</v>
      </c>
      <c r="P79" s="9">
        <f>IFERROR(O79/N79,0)</f>
        <v/>
      </c>
      <c r="Q79" s="7">
        <f>K79+N79</f>
        <v/>
      </c>
      <c r="R79" s="7">
        <f>L79+O79</f>
        <v/>
      </c>
      <c r="S79" s="9">
        <f>IFERROR(R79/Q79,0)</f>
        <v/>
      </c>
      <c r="T79" s="8">
        <f>IFERROR(Q79/SUMIF($A:$A,A79,$Q:$Q),0)</f>
        <v/>
      </c>
      <c r="U79" s="8">
        <f>IFERROR(Q79/F79,0)</f>
        <v/>
      </c>
      <c r="V79" s="7">
        <f>F79-R79</f>
        <v/>
      </c>
      <c r="W79" s="8">
        <f>IFERROR(V79/F79,0)</f>
        <v/>
      </c>
      <c r="X79" s="7">
        <f>IFERROR(VLOOKUP(A79,周报其他费用!$A:$B,2,FALSE)*I79,0)</f>
        <v/>
      </c>
      <c r="Y79" s="7" t="n">
        <v>2293.63</v>
      </c>
      <c r="Z79" s="8">
        <f>IFERROR(Y79/G79,0)</f>
        <v/>
      </c>
      <c r="AA79" s="7">
        <f>Y79-K79/1.06</f>
        <v/>
      </c>
      <c r="AB79" s="8">
        <f>IFERROR(AA79/G79,0)</f>
        <v/>
      </c>
      <c r="AC79" s="7">
        <f>Y79-(Q79+X79)/1.06</f>
        <v/>
      </c>
      <c r="AD79" s="8">
        <f>IFERROR(AC79/G79,0)</f>
        <v/>
      </c>
    </row>
    <row r="80" ht="14.25" customHeight="1" s="69">
      <c r="A80" s="5" t="inlineStr">
        <is>
          <t>6.15-6.21</t>
        </is>
      </c>
      <c r="B80" s="5" t="inlineStr">
        <is>
          <t>6.15-6.21</t>
        </is>
      </c>
      <c r="C80" s="119" t="n">
        <v>668566625747</v>
      </c>
      <c r="D80" s="5" t="inlineStr">
        <is>
          <t>袋面主链接</t>
        </is>
      </c>
      <c r="E80" s="5" t="inlineStr">
        <is>
          <t>印尼营多捞面进口网红泡面袋装方便面速食食品拉面火鸡面拌面整箱</t>
        </is>
      </c>
      <c r="F80" s="7" t="n">
        <v>30425.7500000004</v>
      </c>
      <c r="G80" s="7">
        <f>IFERROR(F80/1.13,0)</f>
        <v/>
      </c>
      <c r="H80" s="5" t="n">
        <v>1178</v>
      </c>
      <c r="I80" s="8">
        <f>IFERROR(H80/SUMIF($A:$A,A80,$H:$H),0)</f>
        <v/>
      </c>
      <c r="J80" s="9">
        <f>IFERROR(F80/H80,0)</f>
        <v/>
      </c>
      <c r="K80" s="7" t="n">
        <v>4022.74322311898</v>
      </c>
      <c r="L80" s="7" t="n">
        <v>18336.4684300963</v>
      </c>
      <c r="M80" s="9">
        <f>IFERROR(L80/K80,0)</f>
        <v/>
      </c>
      <c r="N80" s="7" t="n">
        <v>627.673730799271</v>
      </c>
      <c r="O80" s="7" t="n">
        <v>1356.52174433741</v>
      </c>
      <c r="P80" s="9">
        <f>IFERROR(O80/N80,0)</f>
        <v/>
      </c>
      <c r="Q80" s="7">
        <f>K80+N80</f>
        <v/>
      </c>
      <c r="R80" s="7">
        <f>L80+O80</f>
        <v/>
      </c>
      <c r="S80" s="9">
        <f>IFERROR(R80/Q80,0)</f>
        <v/>
      </c>
      <c r="T80" s="8">
        <f>IFERROR(Q80/SUMIF($A:$A,A80,$Q:$Q),0)</f>
        <v/>
      </c>
      <c r="U80" s="8">
        <f>IFERROR(Q80/F80,0)</f>
        <v/>
      </c>
      <c r="V80" s="7">
        <f>F80-R80</f>
        <v/>
      </c>
      <c r="W80" s="8">
        <f>IFERROR(V80/F80,0)</f>
        <v/>
      </c>
      <c r="X80" s="7">
        <f>IFERROR(VLOOKUP(A80,周报其他费用!$A:$B,2,FALSE)*I80,0)</f>
        <v/>
      </c>
      <c r="Y80" s="7" t="n">
        <v>4055.61000000003</v>
      </c>
      <c r="Z80" s="8">
        <f>IFERROR(Y80/G80,0)</f>
        <v/>
      </c>
      <c r="AA80" s="7">
        <f>Y80-K80/1.06</f>
        <v/>
      </c>
      <c r="AB80" s="8">
        <f>IFERROR(AA80/G80,0)</f>
        <v/>
      </c>
      <c r="AC80" s="7">
        <f>Y80-(Q80+X80)/1.06</f>
        <v/>
      </c>
      <c r="AD80" s="8">
        <f>IFERROR(AC80/G80,0)</f>
        <v/>
      </c>
    </row>
    <row r="81" ht="14.25" customHeight="1" s="69">
      <c r="A81" s="5" t="inlineStr">
        <is>
          <t>6.15-6.21</t>
        </is>
      </c>
      <c r="B81" s="5" t="inlineStr">
        <is>
          <t>6.15-6.21</t>
        </is>
      </c>
      <c r="C81" s="119" t="n">
        <v>649735171438</v>
      </c>
      <c r="D81" s="5" t="inlineStr">
        <is>
          <t>杯面主链接</t>
        </is>
      </c>
      <c r="E81" s="5" t="inlineStr">
        <is>
          <t>印尼进口indomie营多捞面杯面速食泡面干拌面盒桶装方便面火鸡面</t>
        </is>
      </c>
      <c r="F81" s="7" t="n">
        <v>13687.77</v>
      </c>
      <c r="G81" s="7">
        <f>IFERROR(F81/1.13,0)</f>
        <v/>
      </c>
      <c r="H81" s="5" t="n">
        <v>538</v>
      </c>
      <c r="I81" s="8">
        <f>IFERROR(H81/SUMIF($A:$A,A81,$H:$H),0)</f>
        <v/>
      </c>
      <c r="J81" s="9">
        <f>IFERROR(F81/H81,0)</f>
        <v/>
      </c>
      <c r="K81" s="7" t="n">
        <v>2676.85755011716</v>
      </c>
      <c r="L81" s="7" t="n">
        <v>8537.00919812549</v>
      </c>
      <c r="M81" s="9">
        <f>IFERROR(L81/K81,0)</f>
        <v/>
      </c>
      <c r="N81" s="7" t="n">
        <v>286.662535797969</v>
      </c>
      <c r="O81" s="7" t="n">
        <v>619.532002082791</v>
      </c>
      <c r="P81" s="9">
        <f>IFERROR(O81/N81,0)</f>
        <v/>
      </c>
      <c r="Q81" s="7">
        <f>K81+N81</f>
        <v/>
      </c>
      <c r="R81" s="7">
        <f>L81+O81</f>
        <v/>
      </c>
      <c r="S81" s="9">
        <f>IFERROR(R81/Q81,0)</f>
        <v/>
      </c>
      <c r="T81" s="8">
        <f>IFERROR(Q81/SUMIF($A:$A,A81,$Q:$Q),0)</f>
        <v/>
      </c>
      <c r="U81" s="8">
        <f>IFERROR(Q81/F81,0)</f>
        <v/>
      </c>
      <c r="V81" s="7">
        <f>F81-R81</f>
        <v/>
      </c>
      <c r="W81" s="8">
        <f>IFERROR(V81/F81,0)</f>
        <v/>
      </c>
      <c r="X81" s="7">
        <f>IFERROR(VLOOKUP(A81,周报其他费用!$A:$B,2,FALSE)*I81,0)</f>
        <v/>
      </c>
      <c r="Y81" s="7" t="n">
        <v>1555.11</v>
      </c>
      <c r="Z81" s="8">
        <f>IFERROR(Y81/G81,0)</f>
        <v/>
      </c>
      <c r="AA81" s="7">
        <f>Y81-K81/1.06</f>
        <v/>
      </c>
      <c r="AB81" s="8">
        <f>IFERROR(AA81/G81,0)</f>
        <v/>
      </c>
      <c r="AC81" s="7">
        <f>Y81-(Q81+X81)/1.06</f>
        <v/>
      </c>
      <c r="AD81" s="8">
        <f>IFERROR(AC81/G81,0)</f>
        <v/>
      </c>
    </row>
    <row r="82" ht="14.25" customHeight="1" s="69">
      <c r="A82" s="5" t="inlineStr">
        <is>
          <t>6.15-6.21</t>
        </is>
      </c>
      <c r="B82" s="5" t="inlineStr">
        <is>
          <t>6.15-6.21</t>
        </is>
      </c>
      <c r="C82" s="119" t="n">
        <v>648600900806</v>
      </c>
      <c r="D82" s="5" t="inlineStr">
        <is>
          <t>30包</t>
        </is>
      </c>
      <c r="E82" s="5" t="inlineStr">
        <is>
          <t>进口营多捞面一整箱30包网红速食方便面宿舍速食泡面干拌面拉面</t>
        </is>
      </c>
      <c r="F82" s="7" t="n">
        <v>9519.49</v>
      </c>
      <c r="G82" s="7">
        <f>IFERROR(F82/1.13,0)</f>
        <v/>
      </c>
      <c r="H82" s="5" t="n">
        <v>140</v>
      </c>
      <c r="I82" s="8">
        <f>IFERROR(H82/SUMIF($A:$A,A82,$H:$H),0)</f>
        <v/>
      </c>
      <c r="J82" s="9">
        <f>IFERROR(F82/H82,0)</f>
        <v/>
      </c>
      <c r="K82" s="7" t="n">
        <v>1924.11467846915</v>
      </c>
      <c r="L82" s="7" t="n">
        <v>9062.475144493619</v>
      </c>
      <c r="M82" s="9">
        <f>IFERROR(L82/K82,0)</f>
        <v/>
      </c>
      <c r="N82" s="7" t="n">
        <v>74.5961989065348</v>
      </c>
      <c r="O82" s="7" t="n">
        <v>161.216506118198</v>
      </c>
      <c r="P82" s="9">
        <f>IFERROR(O82/N82,0)</f>
        <v/>
      </c>
      <c r="Q82" s="7">
        <f>K82+N82</f>
        <v/>
      </c>
      <c r="R82" s="7">
        <f>L82+O82</f>
        <v/>
      </c>
      <c r="S82" s="9">
        <f>IFERROR(R82/Q82,0)</f>
        <v/>
      </c>
      <c r="T82" s="8">
        <f>IFERROR(Q82/SUMIF($A:$A,A82,$Q:$Q),0)</f>
        <v/>
      </c>
      <c r="U82" s="8">
        <f>IFERROR(Q82/F82,0)</f>
        <v/>
      </c>
      <c r="V82" s="7">
        <f>F82-R82</f>
        <v/>
      </c>
      <c r="W82" s="8">
        <f>IFERROR(V82/F82,0)</f>
        <v/>
      </c>
      <c r="X82" s="7">
        <f>IFERROR(VLOOKUP(A82,周报其他费用!$A:$B,2,FALSE)*I82,0)</f>
        <v/>
      </c>
      <c r="Y82" s="7" t="n">
        <v>1772.264</v>
      </c>
      <c r="Z82" s="8">
        <f>IFERROR(Y82/G82,0)</f>
        <v/>
      </c>
      <c r="AA82" s="7">
        <f>Y82-K82/1.06</f>
        <v/>
      </c>
      <c r="AB82" s="8">
        <f>IFERROR(AA82/G82,0)</f>
        <v/>
      </c>
      <c r="AC82" s="7">
        <f>Y82-(Q82+X82)/1.06</f>
        <v/>
      </c>
      <c r="AD82" s="8">
        <f>IFERROR(AC82/G82,0)</f>
        <v/>
      </c>
    </row>
    <row r="83" ht="14.25" customHeight="1" s="69">
      <c r="A83" s="5" t="inlineStr">
        <is>
          <t>6.15-6.21</t>
        </is>
      </c>
      <c r="B83" s="5" t="inlineStr">
        <is>
          <t>6.15-6.21</t>
        </is>
      </c>
      <c r="C83" s="119" t="n">
        <v>648598580775</v>
      </c>
      <c r="D83" s="5" t="inlineStr">
        <is>
          <t>15包</t>
        </is>
      </c>
      <c r="E83" s="5" t="inlineStr">
        <is>
          <t>进口营多捞面15包Indomie方便面干拌面夜宵方便速食五连包85g*5</t>
        </is>
      </c>
      <c r="F83" s="7" t="n">
        <v>3581.48</v>
      </c>
      <c r="G83" s="7">
        <f>IFERROR(F83/1.13,0)</f>
        <v/>
      </c>
      <c r="H83" s="5" t="n">
        <v>98</v>
      </c>
      <c r="I83" s="8">
        <f>IFERROR(H83/SUMIF($A:$A,A83,$H:$H),0)</f>
        <v/>
      </c>
      <c r="J83" s="9">
        <f>IFERROR(F83/H83,0)</f>
        <v/>
      </c>
      <c r="K83" s="7" t="n">
        <v>638.484274928404</v>
      </c>
      <c r="L83" s="7" t="n">
        <v>1958.69160114554</v>
      </c>
      <c r="M83" s="9">
        <f>IFERROR(L83/K83,0)</f>
        <v/>
      </c>
      <c r="N83" s="7" t="n">
        <v>52.2173392345743</v>
      </c>
      <c r="O83" s="7" t="n">
        <v>112.851554282739</v>
      </c>
      <c r="P83" s="9">
        <f>IFERROR(O83/N83,0)</f>
        <v/>
      </c>
      <c r="Q83" s="7">
        <f>K83+N83</f>
        <v/>
      </c>
      <c r="R83" s="7">
        <f>L83+O83</f>
        <v/>
      </c>
      <c r="S83" s="9">
        <f>IFERROR(R83/Q83,0)</f>
        <v/>
      </c>
      <c r="T83" s="8">
        <f>IFERROR(Q83/SUMIF($A:$A,A83,$Q:$Q),0)</f>
        <v/>
      </c>
      <c r="U83" s="8">
        <f>IFERROR(Q83/F83,0)</f>
        <v/>
      </c>
      <c r="V83" s="7">
        <f>F83-R83</f>
        <v/>
      </c>
      <c r="W83" s="8">
        <f>IFERROR(V83/F83,0)</f>
        <v/>
      </c>
      <c r="X83" s="7">
        <f>IFERROR(VLOOKUP(A83,周报其他费用!$A:$B,2,FALSE)*I83,0)</f>
        <v/>
      </c>
      <c r="Y83" s="7" t="n">
        <v>632.5890000000001</v>
      </c>
      <c r="Z83" s="8">
        <f>IFERROR(Y83/G83,0)</f>
        <v/>
      </c>
      <c r="AA83" s="7">
        <f>Y83-K83/1.06</f>
        <v/>
      </c>
      <c r="AB83" s="8">
        <f>IFERROR(AA83/G83,0)</f>
        <v/>
      </c>
      <c r="AC83" s="7">
        <f>Y83-(Q83+X83)/1.06</f>
        <v/>
      </c>
      <c r="AD83" s="8">
        <f>IFERROR(AC83/G83,0)</f>
        <v/>
      </c>
    </row>
    <row r="84" ht="14.25" customHeight="1" s="69">
      <c r="A84" s="5" t="inlineStr">
        <is>
          <t>6.15-6.21</t>
        </is>
      </c>
      <c r="B84" s="5" t="inlineStr">
        <is>
          <t>6.15-6.21</t>
        </is>
      </c>
      <c r="C84" s="119" t="n">
        <v>649014937782</v>
      </c>
      <c r="D84" s="5" t="inlineStr">
        <is>
          <t>24包</t>
        </is>
      </c>
      <c r="E84" s="5" t="inlineStr">
        <is>
          <t>印尼营多捞面干拌面一整箱24袋装批发泡面宿舍速食方便面火鸡面</t>
        </is>
      </c>
      <c r="F84" s="7" t="n">
        <v>5442.37</v>
      </c>
      <c r="G84" s="7">
        <f>IFERROR(F84/1.13,0)</f>
        <v/>
      </c>
      <c r="H84" s="5" t="n">
        <v>97</v>
      </c>
      <c r="I84" s="8">
        <f>IFERROR(H84/SUMIF($A:$A,A84,$H:$H),0)</f>
        <v/>
      </c>
      <c r="J84" s="9">
        <f>IFERROR(F84/H84,0)</f>
        <v/>
      </c>
      <c r="K84" s="7" t="n">
        <v>1064.78831293934</v>
      </c>
      <c r="L84" s="7" t="n">
        <v>3507.10699297058</v>
      </c>
      <c r="M84" s="9">
        <f>IFERROR(L84/K84,0)</f>
        <v/>
      </c>
      <c r="N84" s="7" t="n">
        <v>51.6845092423848</v>
      </c>
      <c r="O84" s="7" t="n">
        <v>111.700007810466</v>
      </c>
      <c r="P84" s="9">
        <f>IFERROR(O84/N84,0)</f>
        <v/>
      </c>
      <c r="Q84" s="7">
        <f>K84+N84</f>
        <v/>
      </c>
      <c r="R84" s="7">
        <f>L84+O84</f>
        <v/>
      </c>
      <c r="S84" s="9">
        <f>IFERROR(R84/Q84,0)</f>
        <v/>
      </c>
      <c r="T84" s="8">
        <f>IFERROR(Q84/SUMIF($A:$A,A84,$Q:$Q),0)</f>
        <v/>
      </c>
      <c r="U84" s="8">
        <f>IFERROR(Q84/F84,0)</f>
        <v/>
      </c>
      <c r="V84" s="7">
        <f>F84-R84</f>
        <v/>
      </c>
      <c r="W84" s="8">
        <f>IFERROR(V84/F84,0)</f>
        <v/>
      </c>
      <c r="X84" s="7">
        <f>IFERROR(VLOOKUP(A84,周报其他费用!$A:$B,2,FALSE)*I84,0)</f>
        <v/>
      </c>
      <c r="Y84" s="7" t="n">
        <v>1057.52</v>
      </c>
      <c r="Z84" s="8">
        <f>IFERROR(Y84/G84,0)</f>
        <v/>
      </c>
      <c r="AA84" s="7">
        <f>Y84-K84/1.06</f>
        <v/>
      </c>
      <c r="AB84" s="8">
        <f>IFERROR(AA84/G84,0)</f>
        <v/>
      </c>
      <c r="AC84" s="7">
        <f>Y84-(Q84+X84)/1.06</f>
        <v/>
      </c>
      <c r="AD84" s="8">
        <f>IFERROR(AC84/G84,0)</f>
        <v/>
      </c>
    </row>
    <row r="85" ht="14.25" customHeight="1" s="69">
      <c r="A85" s="5" t="inlineStr">
        <is>
          <t>6.15-6.21</t>
        </is>
      </c>
      <c r="B85" s="5" t="inlineStr">
        <is>
          <t>6.15-6.21</t>
        </is>
      </c>
      <c r="C85" s="119" t="n">
        <v>649369494424</v>
      </c>
      <c r="D85" s="5" t="inlineStr">
        <is>
          <t>24包经典/牛系列</t>
        </is>
      </c>
      <c r="E85" s="5" t="inlineStr">
        <is>
          <t>营多捞面干拌面一整箱24袋装批发泡面混搭宿舍速食方便面火鸡面</t>
        </is>
      </c>
      <c r="F85" s="7" t="n">
        <v>5009.1</v>
      </c>
      <c r="G85" s="7">
        <f>IFERROR(F85/1.13,0)</f>
        <v/>
      </c>
      <c r="H85" s="5" t="n">
        <v>90</v>
      </c>
      <c r="I85" s="8">
        <f>IFERROR(H85/SUMIF($A:$A,A85,$H:$H),0)</f>
        <v/>
      </c>
      <c r="J85" s="9">
        <f>IFERROR(F85/H85,0)</f>
        <v/>
      </c>
      <c r="K85" s="7" t="n">
        <v>1002.26657901588</v>
      </c>
      <c r="L85" s="7" t="n">
        <v>3255.7547357459</v>
      </c>
      <c r="M85" s="9">
        <f>IFERROR(L85/K85,0)</f>
        <v/>
      </c>
      <c r="N85" s="7" t="n">
        <v>47.9546992970581</v>
      </c>
      <c r="O85" s="7" t="n">
        <v>103.639182504556</v>
      </c>
      <c r="P85" s="9">
        <f>IFERROR(O85/N85,0)</f>
        <v/>
      </c>
      <c r="Q85" s="7">
        <f>K85+N85</f>
        <v/>
      </c>
      <c r="R85" s="7">
        <f>L85+O85</f>
        <v/>
      </c>
      <c r="S85" s="9">
        <f>IFERROR(R85/Q85,0)</f>
        <v/>
      </c>
      <c r="T85" s="8">
        <f>IFERROR(Q85/SUMIF($A:$A,A85,$Q:$Q),0)</f>
        <v/>
      </c>
      <c r="U85" s="8">
        <f>IFERROR(Q85/F85,0)</f>
        <v/>
      </c>
      <c r="V85" s="7">
        <f>F85-R85</f>
        <v/>
      </c>
      <c r="W85" s="8">
        <f>IFERROR(V85/F85,0)</f>
        <v/>
      </c>
      <c r="X85" s="7">
        <f>IFERROR(VLOOKUP(A85,周报其他费用!$A:$B,2,FALSE)*I85,0)</f>
        <v/>
      </c>
      <c r="Y85" s="7" t="n">
        <v>960.803000000001</v>
      </c>
      <c r="Z85" s="8">
        <f>IFERROR(Y85/G85,0)</f>
        <v/>
      </c>
      <c r="AA85" s="7">
        <f>Y85-K85/1.06</f>
        <v/>
      </c>
      <c r="AB85" s="8">
        <f>IFERROR(AA85/G85,0)</f>
        <v/>
      </c>
      <c r="AC85" s="7">
        <f>Y85-(Q85+X85)/1.06</f>
        <v/>
      </c>
      <c r="AD85" s="8">
        <f>IFERROR(AC85/G85,0)</f>
        <v/>
      </c>
    </row>
    <row r="86" ht="14.25" customHeight="1" s="69">
      <c r="A86" s="5" t="inlineStr">
        <is>
          <t>6.15-6.21</t>
        </is>
      </c>
      <c r="B86" s="5" t="inlineStr">
        <is>
          <t>6.15-6.21</t>
        </is>
      </c>
      <c r="C86" s="119" t="n">
        <v>929504658691</v>
      </c>
      <c r="D86" s="5" t="inlineStr">
        <is>
          <t>日式袋面</t>
        </is>
      </c>
      <c r="E86" s="5" t="inlineStr">
        <is>
          <t>营多捞面日式鸡肉汤面原味辛辣味袋装泡面方便面速食宿舍夜宵食品</t>
        </is>
      </c>
      <c r="F86" s="7" t="n">
        <v>1235.51</v>
      </c>
      <c r="G86" s="7">
        <f>IFERROR(F86/1.13,0)</f>
        <v/>
      </c>
      <c r="H86" s="5" t="n">
        <v>59</v>
      </c>
      <c r="I86" s="8">
        <f>IFERROR(H86/SUMIF($A:$A,A86,$H:$H),0)</f>
        <v/>
      </c>
      <c r="J86" s="9">
        <f>IFERROR(F86/H86,0)</f>
        <v/>
      </c>
      <c r="K86" s="7" t="n">
        <v>468.491757354856</v>
      </c>
      <c r="L86" s="7" t="n">
        <v>1408.55188232231</v>
      </c>
      <c r="M86" s="9">
        <f>IFERROR(L86/K86,0)</f>
        <v/>
      </c>
      <c r="N86" s="7" t="n">
        <v>31.4369695391825</v>
      </c>
      <c r="O86" s="7" t="n">
        <v>67.9412418640979</v>
      </c>
      <c r="P86" s="9">
        <f>IFERROR(O86/N86,0)</f>
        <v/>
      </c>
      <c r="Q86" s="7">
        <f>K86+N86</f>
        <v/>
      </c>
      <c r="R86" s="7">
        <f>L86+O86</f>
        <v/>
      </c>
      <c r="S86" s="9">
        <f>IFERROR(R86/Q86,0)</f>
        <v/>
      </c>
      <c r="T86" s="8">
        <f>IFERROR(Q86/SUMIF($A:$A,A86,$Q:$Q),0)</f>
        <v/>
      </c>
      <c r="U86" s="8">
        <f>IFERROR(Q86/F86,0)</f>
        <v/>
      </c>
      <c r="V86" s="7">
        <f>F86-R86</f>
        <v/>
      </c>
      <c r="W86" s="8">
        <f>IFERROR(V86/F86,0)</f>
        <v/>
      </c>
      <c r="X86" s="7">
        <f>IFERROR(VLOOKUP(A86,周报其他费用!$A:$B,2,FALSE)*I86,0)</f>
        <v/>
      </c>
      <c r="Y86" s="7" t="n">
        <v>176.283</v>
      </c>
      <c r="Z86" s="8">
        <f>IFERROR(Y86/G86,0)</f>
        <v/>
      </c>
      <c r="AA86" s="7">
        <f>Y86-K86/1.06</f>
        <v/>
      </c>
      <c r="AB86" s="8">
        <f>IFERROR(AA86/G86,0)</f>
        <v/>
      </c>
      <c r="AC86" s="7">
        <f>Y86-(Q86+X86)/1.06</f>
        <v/>
      </c>
      <c r="AD86" s="8">
        <f>IFERROR(AC86/G86,0)</f>
        <v/>
      </c>
    </row>
    <row r="87" ht="14.25" customHeight="1" s="69">
      <c r="A87" s="5" t="inlineStr">
        <is>
          <t>6.15-6.21</t>
        </is>
      </c>
      <c r="B87" s="5" t="inlineStr">
        <is>
          <t>6.15-6.21</t>
        </is>
      </c>
      <c r="C87" s="119" t="n">
        <v>744317232690</v>
      </c>
      <c r="D87" s="5" t="inlineStr">
        <is>
          <t>多规格</t>
        </is>
      </c>
      <c r="E87" s="5" t="inlineStr">
        <is>
          <t>营多捞面汤面清香牛肉味方便面泡面速食食品泡面拉面整箱旅行宿舍</t>
        </is>
      </c>
      <c r="F87" s="7" t="n">
        <v>830.34</v>
      </c>
      <c r="G87" s="7">
        <f>IFERROR(F87/1.13,0)</f>
        <v/>
      </c>
      <c r="H87" s="5" t="n">
        <v>57</v>
      </c>
      <c r="I87" s="8">
        <f>IFERROR(H87/SUMIF($A:$A,A87,$H:$H),0)</f>
        <v/>
      </c>
      <c r="J87" s="9">
        <f>IFERROR(F87/H87,0)</f>
        <v/>
      </c>
      <c r="K87" s="7" t="n">
        <v>48.7898333767248</v>
      </c>
      <c r="L87" s="7" t="n">
        <v>167.312665972403</v>
      </c>
      <c r="M87" s="9">
        <f>IFERROR(L87/K87,0)</f>
        <v/>
      </c>
      <c r="N87" s="7" t="n">
        <v>30.3713095548034</v>
      </c>
      <c r="O87" s="7" t="n">
        <v>65.63814891955219</v>
      </c>
      <c r="P87" s="9">
        <f>IFERROR(O87/N87,0)</f>
        <v/>
      </c>
      <c r="Q87" s="7">
        <f>K87+N87</f>
        <v/>
      </c>
      <c r="R87" s="7">
        <f>L87+O87</f>
        <v/>
      </c>
      <c r="S87" s="9">
        <f>IFERROR(R87/Q87,0)</f>
        <v/>
      </c>
      <c r="T87" s="8">
        <f>IFERROR(Q87/SUMIF($A:$A,A87,$Q:$Q),0)</f>
        <v/>
      </c>
      <c r="U87" s="8">
        <f>IFERROR(Q87/F87,0)</f>
        <v/>
      </c>
      <c r="V87" s="7">
        <f>F87-R87</f>
        <v/>
      </c>
      <c r="W87" s="8">
        <f>IFERROR(V87/F87,0)</f>
        <v/>
      </c>
      <c r="X87" s="7">
        <f>IFERROR(VLOOKUP(A87,周报其他费用!$A:$B,2,FALSE)*I87,0)</f>
        <v/>
      </c>
      <c r="Y87" s="7" t="n">
        <v>170.991</v>
      </c>
      <c r="Z87" s="8">
        <f>IFERROR(Y87/G87,0)</f>
        <v/>
      </c>
      <c r="AA87" s="7">
        <f>Y87-K87/1.06</f>
        <v/>
      </c>
      <c r="AB87" s="8">
        <f>IFERROR(AA87/G87,0)</f>
        <v/>
      </c>
      <c r="AC87" s="7">
        <f>Y87-(Q87+X87)/1.06</f>
        <v/>
      </c>
      <c r="AD87" s="8">
        <f>IFERROR(AC87/G87,0)</f>
        <v/>
      </c>
    </row>
    <row r="88" ht="14.25" customHeight="1" s="69">
      <c r="A88" s="5" t="inlineStr">
        <is>
          <t>6.15-6.21</t>
        </is>
      </c>
      <c r="B88" s="5" t="inlineStr">
        <is>
          <t>6.15-6.21</t>
        </is>
      </c>
      <c r="C88" s="119" t="n">
        <v>648681860568</v>
      </c>
      <c r="D88" s="5" t="inlineStr">
        <is>
          <t>杯面次链接</t>
        </is>
      </c>
      <c r="E88" s="5" t="inlineStr">
        <is>
          <t>营多捞面杯装方便面泡面速食干拌面原味整箱批发印尼进口桶装拌面</t>
        </is>
      </c>
      <c r="F88" s="7" t="n">
        <v>1344.68</v>
      </c>
      <c r="G88" s="7">
        <f>IFERROR(F88/1.13,0)</f>
        <v/>
      </c>
      <c r="H88" s="5" t="n">
        <v>50</v>
      </c>
      <c r="I88" s="8">
        <f>IFERROR(H88/SUMIF($A:$A,A88,$H:$H),0)</f>
        <v/>
      </c>
      <c r="J88" s="9">
        <f>IFERROR(F88/H88,0)</f>
        <v/>
      </c>
      <c r="K88" s="7" t="n">
        <v>294.548099453267</v>
      </c>
      <c r="L88" s="7" t="n">
        <v>1303.74040874772</v>
      </c>
      <c r="M88" s="9">
        <f>IFERROR(L88/K88,0)</f>
        <v/>
      </c>
      <c r="N88" s="7" t="n">
        <v>26.6414996094767</v>
      </c>
      <c r="O88" s="7" t="n">
        <v>57.5773236136423</v>
      </c>
      <c r="P88" s="9">
        <f>IFERROR(O88/N88,0)</f>
        <v/>
      </c>
      <c r="Q88" s="7">
        <f>K88+N88</f>
        <v/>
      </c>
      <c r="R88" s="7">
        <f>L88+O88</f>
        <v/>
      </c>
      <c r="S88" s="9">
        <f>IFERROR(R88/Q88,0)</f>
        <v/>
      </c>
      <c r="T88" s="8">
        <f>IFERROR(Q88/SUMIF($A:$A,A88,$Q:$Q),0)</f>
        <v/>
      </c>
      <c r="U88" s="8">
        <f>IFERROR(Q88/F88,0)</f>
        <v/>
      </c>
      <c r="V88" s="7">
        <f>F88-R88</f>
        <v/>
      </c>
      <c r="W88" s="8">
        <f>IFERROR(V88/F88,0)</f>
        <v/>
      </c>
      <c r="X88" s="7">
        <f>IFERROR(VLOOKUP(A88,周报其他费用!$A:$B,2,FALSE)*I88,0)</f>
        <v/>
      </c>
      <c r="Y88" s="7" t="n">
        <v>167.839</v>
      </c>
      <c r="Z88" s="8">
        <f>IFERROR(Y88/G88,0)</f>
        <v/>
      </c>
      <c r="AA88" s="7">
        <f>Y88-K88/1.06</f>
        <v/>
      </c>
      <c r="AB88" s="8">
        <f>IFERROR(AA88/G88,0)</f>
        <v/>
      </c>
      <c r="AC88" s="7">
        <f>Y88-(Q88+X88)/1.06</f>
        <v/>
      </c>
      <c r="AD88" s="8">
        <f>IFERROR(AC88/G88,0)</f>
        <v/>
      </c>
    </row>
    <row r="89" ht="14.25" customHeight="1" s="69">
      <c r="A89" s="5" t="inlineStr">
        <is>
          <t>6.15-6.21</t>
        </is>
      </c>
      <c r="B89" s="5" t="inlineStr">
        <is>
          <t>6.15-6.21</t>
        </is>
      </c>
      <c r="C89" s="119" t="n">
        <v>766165464414</v>
      </c>
      <c r="D89" s="5" t="inlineStr">
        <is>
          <t>12包</t>
        </is>
      </c>
      <c r="E89" s="5" t="inlineStr">
        <is>
          <t>营多印尼进口营多捞面方便面火鸡面干拌面12包宿舍速食泡面夜宵</t>
        </is>
      </c>
      <c r="F89" s="7" t="n">
        <v>1419.38</v>
      </c>
      <c r="G89" s="7">
        <f>IFERROR(F89/1.13,0)</f>
        <v/>
      </c>
      <c r="H89" s="5" t="n">
        <v>48</v>
      </c>
      <c r="I89" s="8">
        <f>IFERROR(H89/SUMIF($A:$A,A89,$H:$H),0)</f>
        <v/>
      </c>
      <c r="J89" s="9">
        <f>IFERROR(F89/H89,0)</f>
        <v/>
      </c>
      <c r="K89" s="7" t="n">
        <v>77.9561754751367</v>
      </c>
      <c r="L89" s="7" t="n">
        <v>195.781192397813</v>
      </c>
      <c r="M89" s="9">
        <f>IFERROR(L89/K89,0)</f>
        <v/>
      </c>
      <c r="N89" s="7" t="n">
        <v>25.5758396250976</v>
      </c>
      <c r="O89" s="7" t="n">
        <v>55.2742306690966</v>
      </c>
      <c r="P89" s="9">
        <f>IFERROR(O89/N89,0)</f>
        <v/>
      </c>
      <c r="Q89" s="7">
        <f>K89+N89</f>
        <v/>
      </c>
      <c r="R89" s="7">
        <f>L89+O89</f>
        <v/>
      </c>
      <c r="S89" s="9">
        <f>IFERROR(R89/Q89,0)</f>
        <v/>
      </c>
      <c r="T89" s="8">
        <f>IFERROR(Q89/SUMIF($A:$A,A89,$Q:$Q),0)</f>
        <v/>
      </c>
      <c r="U89" s="8">
        <f>IFERROR(Q89/F89,0)</f>
        <v/>
      </c>
      <c r="V89" s="7">
        <f>F89-R89</f>
        <v/>
      </c>
      <c r="W89" s="8">
        <f>IFERROR(V89/F89,0)</f>
        <v/>
      </c>
      <c r="X89" s="7">
        <f>IFERROR(VLOOKUP(A89,周报其他费用!$A:$B,2,FALSE)*I89,0)</f>
        <v/>
      </c>
      <c r="Y89" s="7" t="n">
        <v>207.093</v>
      </c>
      <c r="Z89" s="8">
        <f>IFERROR(Y89/G89,0)</f>
        <v/>
      </c>
      <c r="AA89" s="7">
        <f>Y89-K89/1.06</f>
        <v/>
      </c>
      <c r="AB89" s="8">
        <f>IFERROR(AA89/G89,0)</f>
        <v/>
      </c>
      <c r="AC89" s="7">
        <f>Y89-(Q89+X89)/1.06</f>
        <v/>
      </c>
      <c r="AD89" s="8">
        <f>IFERROR(AC89/G89,0)</f>
        <v/>
      </c>
    </row>
    <row r="90" ht="14.25" customHeight="1" s="69">
      <c r="A90" s="5" t="inlineStr">
        <is>
          <t>6.15-6.21</t>
        </is>
      </c>
      <c r="B90" s="5" t="inlineStr">
        <is>
          <t>6.15-6.21</t>
        </is>
      </c>
      <c r="C90" s="119" t="n">
        <v>1013887677295</v>
      </c>
      <c r="D90" s="5" t="inlineStr">
        <is>
          <t>混搭5杯</t>
        </is>
      </c>
      <c r="E90" s="5" t="inlineStr">
        <is>
          <t>进口营多原味杯面日式杯面韩式杯面泡面方便面汤面宿舍速食夜宵</t>
        </is>
      </c>
      <c r="F90" s="7" t="n">
        <v>1250.13</v>
      </c>
      <c r="G90" s="7">
        <f>IFERROR(F90/1.13,0)</f>
        <v/>
      </c>
      <c r="H90" s="5" t="n">
        <v>48</v>
      </c>
      <c r="I90" s="8">
        <f>IFERROR(H90/SUMIF($A:$A,A90,$H:$H),0)</f>
        <v/>
      </c>
      <c r="J90" s="9">
        <f>IFERROR(F90/H90,0)</f>
        <v/>
      </c>
      <c r="K90" s="7" t="n">
        <v>231.016175475137</v>
      </c>
      <c r="L90" s="7" t="n">
        <v>745.211192397813</v>
      </c>
      <c r="M90" s="9">
        <f>IFERROR(L90/K90,0)</f>
        <v/>
      </c>
      <c r="N90" s="7" t="n">
        <v>25.5758396250976</v>
      </c>
      <c r="O90" s="7" t="n">
        <v>55.2742306690966</v>
      </c>
      <c r="P90" s="9">
        <f>IFERROR(O90/N90,0)</f>
        <v/>
      </c>
      <c r="Q90" s="7">
        <f>K90+N90</f>
        <v/>
      </c>
      <c r="R90" s="7">
        <f>L90+O90</f>
        <v/>
      </c>
      <c r="S90" s="9">
        <f>IFERROR(R90/Q90,0)</f>
        <v/>
      </c>
      <c r="T90" s="8">
        <f>IFERROR(Q90/SUMIF($A:$A,A90,$Q:$Q),0)</f>
        <v/>
      </c>
      <c r="U90" s="8">
        <f>IFERROR(Q90/F90,0)</f>
        <v/>
      </c>
      <c r="V90" s="7">
        <f>F90-R90</f>
        <v/>
      </c>
      <c r="W90" s="8">
        <f>IFERROR(V90/F90,0)</f>
        <v/>
      </c>
      <c r="X90" s="7">
        <f>IFERROR(VLOOKUP(A90,周报其他费用!$A:$B,2,FALSE)*I90,0)</f>
        <v/>
      </c>
      <c r="Y90" s="7" t="n">
        <v>130.131</v>
      </c>
      <c r="Z90" s="8">
        <f>IFERROR(Y90/G90,0)</f>
        <v/>
      </c>
      <c r="AA90" s="7">
        <f>Y90-K90/1.06</f>
        <v/>
      </c>
      <c r="AB90" s="8">
        <f>IFERROR(AA90/G90,0)</f>
        <v/>
      </c>
      <c r="AC90" s="7">
        <f>Y90-(Q90+X90)/1.06</f>
        <v/>
      </c>
      <c r="AD90" s="8">
        <f>IFERROR(AC90/G90,0)</f>
        <v/>
      </c>
    </row>
    <row r="91" ht="14.25" customHeight="1" s="69">
      <c r="A91" s="5" t="inlineStr">
        <is>
          <t>6.15-6.21</t>
        </is>
      </c>
      <c r="B91" s="5" t="inlineStr">
        <is>
          <t>6.15-6.21</t>
        </is>
      </c>
      <c r="C91" s="119" t="n">
        <v>735014804839</v>
      </c>
      <c r="D91" s="5" t="inlineStr">
        <is>
          <t>24/30包</t>
        </is>
      </c>
      <c r="E91" s="5" t="inlineStr">
        <is>
          <t>进口营多捞面多口味Indomie网红方便面干拌面泡面30包整箱批发面</t>
        </is>
      </c>
      <c r="F91" s="7" t="n">
        <v>1900.41</v>
      </c>
      <c r="G91" s="7">
        <f>IFERROR(F91/1.13,0)</f>
        <v/>
      </c>
      <c r="H91" s="5" t="n">
        <v>28</v>
      </c>
      <c r="I91" s="8">
        <f>IFERROR(H91/SUMIF($A:$A,A91,$H:$H),0)</f>
        <v/>
      </c>
      <c r="J91" s="9">
        <f>IFERROR(F91/H91,0)</f>
        <v/>
      </c>
      <c r="K91" s="7" t="n">
        <v>225.51693569383</v>
      </c>
      <c r="L91" s="7" t="n">
        <v>1147.87902889872</v>
      </c>
      <c r="M91" s="9">
        <f>IFERROR(L91/K91,0)</f>
        <v/>
      </c>
      <c r="N91" s="7" t="n">
        <v>14.919239781307</v>
      </c>
      <c r="O91" s="7" t="n">
        <v>32.2433012236397</v>
      </c>
      <c r="P91" s="9">
        <f>IFERROR(O91/N91,0)</f>
        <v/>
      </c>
      <c r="Q91" s="7">
        <f>K91+N91</f>
        <v/>
      </c>
      <c r="R91" s="7">
        <f>L91+O91</f>
        <v/>
      </c>
      <c r="S91" s="9">
        <f>IFERROR(R91/Q91,0)</f>
        <v/>
      </c>
      <c r="T91" s="8">
        <f>IFERROR(Q91/SUMIF($A:$A,A91,$Q:$Q),0)</f>
        <v/>
      </c>
      <c r="U91" s="8">
        <f>IFERROR(Q91/F91,0)</f>
        <v/>
      </c>
      <c r="V91" s="7">
        <f>F91-R91</f>
        <v/>
      </c>
      <c r="W91" s="8">
        <f>IFERROR(V91/F91,0)</f>
        <v/>
      </c>
      <c r="X91" s="7">
        <f>IFERROR(VLOOKUP(A91,周报其他费用!$A:$B,2,FALSE)*I91,0)</f>
        <v/>
      </c>
      <c r="Y91" s="7" t="n">
        <v>371.174</v>
      </c>
      <c r="Z91" s="8">
        <f>IFERROR(Y91/G91,0)</f>
        <v/>
      </c>
      <c r="AA91" s="7">
        <f>Y91-K91/1.06</f>
        <v/>
      </c>
      <c r="AB91" s="8">
        <f>IFERROR(AA91/G91,0)</f>
        <v/>
      </c>
      <c r="AC91" s="7">
        <f>Y91-(Q91+X91)/1.06</f>
        <v/>
      </c>
      <c r="AD91" s="8">
        <f>IFERROR(AC91/G91,0)</f>
        <v/>
      </c>
    </row>
    <row r="92" ht="14.25" customHeight="1" s="69">
      <c r="A92" s="5" t="inlineStr">
        <is>
          <t>6.15-6.21</t>
        </is>
      </c>
      <c r="B92" s="5" t="inlineStr">
        <is>
          <t>6.15-6.21</t>
        </is>
      </c>
      <c r="C92" s="119" t="n">
        <v>898076297965</v>
      </c>
      <c r="D92" s="5" t="inlineStr">
        <is>
          <t>番茄牛肉</t>
        </is>
      </c>
      <c r="E92" s="5" t="inlineStr">
        <is>
          <t>进口正品意面风味奶香番茄牛肉味意式拌面营多捞面早餐儿童宝妈餐</t>
        </is>
      </c>
      <c r="F92" s="7" t="n">
        <v>159.58</v>
      </c>
      <c r="G92" s="7">
        <f>IFERROR(F92/1.13,0)</f>
        <v/>
      </c>
      <c r="H92" s="5" t="n">
        <v>10</v>
      </c>
      <c r="I92" s="8">
        <f>IFERROR(H92/SUMIF($A:$A,A92,$H:$H),0)</f>
        <v/>
      </c>
      <c r="J92" s="9">
        <f>IFERROR(F92/H92,0)</f>
        <v/>
      </c>
      <c r="K92" s="7" t="n">
        <v>13.0696198906535</v>
      </c>
      <c r="L92" s="7" t="n">
        <v>15.5260817495444</v>
      </c>
      <c r="M92" s="9">
        <f>IFERROR(L92/K92,0)</f>
        <v/>
      </c>
      <c r="N92" s="7" t="n">
        <v>5.32829992189534</v>
      </c>
      <c r="O92" s="7" t="n">
        <v>11.5154647227285</v>
      </c>
      <c r="P92" s="9">
        <f>IFERROR(O92/N92,0)</f>
        <v/>
      </c>
      <c r="Q92" s="7">
        <f>K92+N92</f>
        <v/>
      </c>
      <c r="R92" s="7">
        <f>L92+O92</f>
        <v/>
      </c>
      <c r="S92" s="9">
        <f>IFERROR(R92/Q92,0)</f>
        <v/>
      </c>
      <c r="T92" s="8">
        <f>IFERROR(Q92/SUMIF($A:$A,A92,$Q:$Q),0)</f>
        <v/>
      </c>
      <c r="U92" s="8">
        <f>IFERROR(Q92/F92,0)</f>
        <v/>
      </c>
      <c r="V92" s="7">
        <f>F92-R92</f>
        <v/>
      </c>
      <c r="W92" s="8">
        <f>IFERROR(V92/F92,0)</f>
        <v/>
      </c>
      <c r="X92" s="7">
        <f>IFERROR(VLOOKUP(A92,周报其他费用!$A:$B,2,FALSE)*I92,0)</f>
        <v/>
      </c>
      <c r="Y92" s="7" t="n">
        <v>9.420999999999999</v>
      </c>
      <c r="Z92" s="8">
        <f>IFERROR(Y92/G92,0)</f>
        <v/>
      </c>
      <c r="AA92" s="7">
        <f>Y92-K92/1.06</f>
        <v/>
      </c>
      <c r="AB92" s="8">
        <f>IFERROR(AA92/G92,0)</f>
        <v/>
      </c>
      <c r="AC92" s="7">
        <f>Y92-(Q92+X92)/1.06</f>
        <v/>
      </c>
      <c r="AD92" s="8">
        <f>IFERROR(AC92/G92,0)</f>
        <v/>
      </c>
    </row>
    <row r="93" ht="14.25" customHeight="1" s="69">
      <c r="A93" s="5" t="inlineStr">
        <is>
          <t>6.15-6.21</t>
        </is>
      </c>
      <c r="B93" s="5" t="inlineStr">
        <is>
          <t>6.15-6.21</t>
        </is>
      </c>
      <c r="C93" s="119" t="n">
        <v>969423151512</v>
      </c>
      <c r="D93" s="5" t="inlineStr">
        <is>
          <t>日韩混搭</t>
        </is>
      </c>
      <c r="E93" s="5" t="inlineStr">
        <is>
          <t>营多捞面甜辣炸鸡火鸡面辣蘑菇泡面方便面速食干拌面宿舍宵夜旅行</t>
        </is>
      </c>
      <c r="F93" s="7" t="n">
        <v>162.91</v>
      </c>
      <c r="G93" s="7">
        <f>IFERROR(F93/1.13,0)</f>
        <v/>
      </c>
      <c r="H93" s="5" t="n">
        <v>9</v>
      </c>
      <c r="I93" s="8">
        <f>IFERROR(H93/SUMIF($A:$A,A93,$H:$H),0)</f>
        <v/>
      </c>
      <c r="J93" s="9">
        <f>IFERROR(F93/H93,0)</f>
        <v/>
      </c>
      <c r="K93" s="7" t="n">
        <v>44.3736579015881</v>
      </c>
      <c r="L93" s="7" t="n">
        <v>132.71147357459</v>
      </c>
      <c r="M93" s="9">
        <f>IFERROR(L93/K93,0)</f>
        <v/>
      </c>
      <c r="N93" s="7" t="n">
        <v>4.79546992970581</v>
      </c>
      <c r="O93" s="7" t="n">
        <v>10.3639182504556</v>
      </c>
      <c r="P93" s="9">
        <f>IFERROR(O93/N93,0)</f>
        <v/>
      </c>
      <c r="Q93" s="7">
        <f>K93+N93</f>
        <v/>
      </c>
      <c r="R93" s="7">
        <f>L93+O93</f>
        <v/>
      </c>
      <c r="S93" s="9">
        <f>IFERROR(R93/Q93,0)</f>
        <v/>
      </c>
      <c r="T93" s="8">
        <f>IFERROR(Q93/SUMIF($A:$A,A93,$Q:$Q),0)</f>
        <v/>
      </c>
      <c r="U93" s="8">
        <f>IFERROR(Q93/F93,0)</f>
        <v/>
      </c>
      <c r="V93" s="7">
        <f>F93-R93</f>
        <v/>
      </c>
      <c r="W93" s="8">
        <f>IFERROR(V93/F93,0)</f>
        <v/>
      </c>
      <c r="X93" s="7">
        <f>IFERROR(VLOOKUP(A93,周报其他费用!$A:$B,2,FALSE)*I93,0)</f>
        <v/>
      </c>
      <c r="Y93" s="7" t="n">
        <v>19.502</v>
      </c>
      <c r="Z93" s="8">
        <f>IFERROR(Y93/G93,0)</f>
        <v/>
      </c>
      <c r="AA93" s="7">
        <f>Y93-K93/1.06</f>
        <v/>
      </c>
      <c r="AB93" s="8">
        <f>IFERROR(AA93/G93,0)</f>
        <v/>
      </c>
      <c r="AC93" s="7">
        <f>Y93-(Q93+X93)/1.06</f>
        <v/>
      </c>
      <c r="AD93" s="8">
        <f>IFERROR(AC93/G93,0)</f>
        <v/>
      </c>
    </row>
    <row r="94" ht="14.25" customHeight="1" s="69">
      <c r="A94" s="5" t="inlineStr">
        <is>
          <t>6.15-6.21</t>
        </is>
      </c>
      <c r="B94" s="5" t="inlineStr">
        <is>
          <t>6.15-6.21</t>
        </is>
      </c>
      <c r="C94" s="119" t="n">
        <v>886856687067</v>
      </c>
      <c r="D94" s="5" t="inlineStr">
        <is>
          <t>大骨</t>
        </is>
      </c>
      <c r="E94" s="5" t="inlineStr">
        <is>
          <t>营多捞面牛系列大骨牛肉味方便面食品泡面拉面汤面宿舍宵夜旅行</t>
        </is>
      </c>
      <c r="F94" s="7" t="n">
        <v>167.14</v>
      </c>
      <c r="G94" s="7">
        <f>IFERROR(F94/1.13,0)</f>
        <v/>
      </c>
      <c r="H94" s="5" t="n">
        <v>9</v>
      </c>
      <c r="I94" s="8">
        <f>IFERROR(H94/SUMIF($A:$A,A94,$H:$H),0)</f>
        <v/>
      </c>
      <c r="J94" s="9">
        <f>IFERROR(F94/H94,0)</f>
        <v/>
      </c>
      <c r="K94" s="7" t="n">
        <v>8.573657901588129</v>
      </c>
      <c r="L94" s="7" t="n">
        <v>1.75147357459</v>
      </c>
      <c r="M94" s="9">
        <f>IFERROR(L94/K94,0)</f>
        <v/>
      </c>
      <c r="N94" s="7" t="n">
        <v>4.79546992970581</v>
      </c>
      <c r="O94" s="7" t="n">
        <v>10.3639182504556</v>
      </c>
      <c r="P94" s="9">
        <f>IFERROR(O94/N94,0)</f>
        <v/>
      </c>
      <c r="Q94" s="7">
        <f>K94+N94</f>
        <v/>
      </c>
      <c r="R94" s="7">
        <f>L94+O94</f>
        <v/>
      </c>
      <c r="S94" s="9">
        <f>IFERROR(R94/Q94,0)</f>
        <v/>
      </c>
      <c r="T94" s="8">
        <f>IFERROR(Q94/SUMIF($A:$A,A94,$Q:$Q),0)</f>
        <v/>
      </c>
      <c r="U94" s="8">
        <f>IFERROR(Q94/F94,0)</f>
        <v/>
      </c>
      <c r="V94" s="7">
        <f>F94-R94</f>
        <v/>
      </c>
      <c r="W94" s="8">
        <f>IFERROR(V94/F94,0)</f>
        <v/>
      </c>
      <c r="X94" s="7">
        <f>IFERROR(VLOOKUP(A94,周报其他费用!$A:$B,2,FALSE)*I94,0)</f>
        <v/>
      </c>
      <c r="Y94" s="7" t="n">
        <v>16.224</v>
      </c>
      <c r="Z94" s="8">
        <f>IFERROR(Y94/G94,0)</f>
        <v/>
      </c>
      <c r="AA94" s="7">
        <f>Y94-K94/1.06</f>
        <v/>
      </c>
      <c r="AB94" s="8">
        <f>IFERROR(AA94/G94,0)</f>
        <v/>
      </c>
      <c r="AC94" s="7">
        <f>Y94-(Q94+X94)/1.06</f>
        <v/>
      </c>
      <c r="AD94" s="8">
        <f>IFERROR(AC94/G94,0)</f>
        <v/>
      </c>
    </row>
    <row r="95" ht="14.25" customHeight="1" s="69">
      <c r="A95" s="5" t="inlineStr">
        <is>
          <t>6.15-6.21</t>
        </is>
      </c>
      <c r="B95" s="5" t="inlineStr">
        <is>
          <t>6.15-6.21</t>
        </is>
      </c>
      <c r="C95" s="119" t="n">
        <v>976479938842</v>
      </c>
      <c r="D95" s="5" t="inlineStr">
        <is>
          <t>【U选】原味5</t>
        </is>
      </c>
      <c r="E95" s="5" t="inlineStr">
        <is>
          <t>【天猫U选】indomie营多大骨牛肉味捞面拌面5包</t>
        </is>
      </c>
      <c r="F95" s="7" t="n">
        <v>76.75</v>
      </c>
      <c r="G95" s="7">
        <f>IFERROR(F95/1.13,0)</f>
        <v/>
      </c>
      <c r="H95" s="5" t="n">
        <v>8</v>
      </c>
      <c r="I95" s="8">
        <f>IFERROR(H95/SUMIF($A:$A,A95,$H:$H),0)</f>
        <v/>
      </c>
      <c r="J95" s="9">
        <f>IFERROR(F95/H95,0)</f>
        <v/>
      </c>
      <c r="K95" s="7" t="n">
        <v>1.64769591252279</v>
      </c>
      <c r="L95" s="7" t="n">
        <v>1.55686539963555</v>
      </c>
      <c r="M95" s="9">
        <f>IFERROR(L95/K95,0)</f>
        <v/>
      </c>
      <c r="N95" s="7" t="n">
        <v>4.26263993751627</v>
      </c>
      <c r="O95" s="7" t="n">
        <v>9.212371778182771</v>
      </c>
      <c r="P95" s="9">
        <f>IFERROR(O95/N95,0)</f>
        <v/>
      </c>
      <c r="Q95" s="7">
        <f>K95+N95</f>
        <v/>
      </c>
      <c r="R95" s="7">
        <f>L95+O95</f>
        <v/>
      </c>
      <c r="S95" s="9">
        <f>IFERROR(R95/Q95,0)</f>
        <v/>
      </c>
      <c r="T95" s="8">
        <f>IFERROR(Q95/SUMIF($A:$A,A95,$Q:$Q),0)</f>
        <v/>
      </c>
      <c r="U95" s="8">
        <f>IFERROR(Q95/F95,0)</f>
        <v/>
      </c>
      <c r="V95" s="7">
        <f>F95-R95</f>
        <v/>
      </c>
      <c r="W95" s="8">
        <f>IFERROR(V95/F95,0)</f>
        <v/>
      </c>
      <c r="X95" s="7">
        <f>IFERROR(VLOOKUP(A95,周报其他费用!$A:$B,2,FALSE)*I95,0)</f>
        <v/>
      </c>
      <c r="Y95" s="7" t="n">
        <v>-24.114</v>
      </c>
      <c r="Z95" s="8">
        <f>IFERROR(Y95/G95,0)</f>
        <v/>
      </c>
      <c r="AA95" s="7">
        <f>Y95-K95/1.06</f>
        <v/>
      </c>
      <c r="AB95" s="8">
        <f>IFERROR(AA95/G95,0)</f>
        <v/>
      </c>
      <c r="AC95" s="7">
        <f>Y95-(Q95+X95)/1.06</f>
        <v/>
      </c>
      <c r="AD95" s="8">
        <f>IFERROR(AC95/G95,0)</f>
        <v/>
      </c>
    </row>
    <row r="96" ht="14.25" customHeight="1" s="69">
      <c r="A96" s="5" t="inlineStr">
        <is>
          <t>6.15-6.21</t>
        </is>
      </c>
      <c r="B96" s="5" t="inlineStr">
        <is>
          <t>6.15-6.21</t>
        </is>
      </c>
      <c r="C96" s="119" t="n">
        <v>648604228786</v>
      </c>
      <c r="D96" s="5" t="inlineStr">
        <is>
          <t>杯面混搭</t>
        </is>
      </c>
      <c r="E96" s="5" t="inlineStr">
        <is>
          <t>INDOMIE营多日式杯面原味经典泡面整箱批发速食宿舍旅行宵夜宿舍</t>
        </is>
      </c>
      <c r="F96" s="7" t="n">
        <v>221.9</v>
      </c>
      <c r="G96" s="7">
        <f>IFERROR(F96/1.13,0)</f>
        <v/>
      </c>
      <c r="H96" s="5" t="n">
        <v>8</v>
      </c>
      <c r="I96" s="8">
        <f>IFERROR(H96/SUMIF($A:$A,A96,$H:$H),0)</f>
        <v/>
      </c>
      <c r="J96" s="9">
        <f>IFERROR(F96/H96,0)</f>
        <v/>
      </c>
      <c r="K96" s="7" t="n">
        <v>11.4376959125228</v>
      </c>
      <c r="L96" s="7" t="n">
        <v>1.55686539963555</v>
      </c>
      <c r="M96" s="9">
        <f>IFERROR(L96/K96,0)</f>
        <v/>
      </c>
      <c r="N96" s="7" t="n">
        <v>4.26263993751627</v>
      </c>
      <c r="O96" s="7" t="n">
        <v>9.212371778182771</v>
      </c>
      <c r="P96" s="9">
        <f>IFERROR(O96/N96,0)</f>
        <v/>
      </c>
      <c r="Q96" s="7">
        <f>K96+N96</f>
        <v/>
      </c>
      <c r="R96" s="7">
        <f>L96+O96</f>
        <v/>
      </c>
      <c r="S96" s="9">
        <f>IFERROR(R96/Q96,0)</f>
        <v/>
      </c>
      <c r="T96" s="8">
        <f>IFERROR(Q96/SUMIF($A:$A,A96,$Q:$Q),0)</f>
        <v/>
      </c>
      <c r="U96" s="8">
        <f>IFERROR(Q96/F96,0)</f>
        <v/>
      </c>
      <c r="V96" s="7">
        <f>F96-R96</f>
        <v/>
      </c>
      <c r="W96" s="8">
        <f>IFERROR(V96/F96,0)</f>
        <v/>
      </c>
      <c r="X96" s="7">
        <f>IFERROR(VLOOKUP(A96,周报其他费用!$A:$B,2,FALSE)*I96,0)</f>
        <v/>
      </c>
      <c r="Y96" s="7" t="n">
        <v>28.136</v>
      </c>
      <c r="Z96" s="8">
        <f>IFERROR(Y96/G96,0)</f>
        <v/>
      </c>
      <c r="AA96" s="7">
        <f>Y96-K96/1.06</f>
        <v/>
      </c>
      <c r="AB96" s="8">
        <f>IFERROR(AA96/G96,0)</f>
        <v/>
      </c>
      <c r="AC96" s="7">
        <f>Y96-(Q96+X96)/1.06</f>
        <v/>
      </c>
      <c r="AD96" s="8">
        <f>IFERROR(AC96/G96,0)</f>
        <v/>
      </c>
    </row>
    <row r="97" ht="14.25" customHeight="1" s="69">
      <c r="A97" s="5" t="inlineStr">
        <is>
          <t>6.15-6.21</t>
        </is>
      </c>
      <c r="B97" s="5" t="inlineStr">
        <is>
          <t>6.15-6.21</t>
        </is>
      </c>
      <c r="C97" s="119" t="n">
        <v>649729851594</v>
      </c>
      <c r="D97" s="5" t="inlineStr">
        <is>
          <t>小规格</t>
        </is>
      </c>
      <c r="E97" s="5" t="inlineStr">
        <is>
          <t>营多捞面袋装8包装泡面宿舍速食面热干面干拌面方便面火鸡面食品</t>
        </is>
      </c>
      <c r="F97" s="7" t="n">
        <v>130.95</v>
      </c>
      <c r="G97" s="7">
        <f>IFERROR(F97/1.13,0)</f>
        <v/>
      </c>
      <c r="H97" s="5" t="n">
        <v>6</v>
      </c>
      <c r="I97" s="8">
        <f>IFERROR(H97/SUMIF($A:$A,A97,$H:$H),0)</f>
        <v/>
      </c>
      <c r="J97" s="9">
        <f>IFERROR(F97/H97,0)</f>
        <v/>
      </c>
      <c r="K97" s="7" t="n">
        <v>6.81577193439209</v>
      </c>
      <c r="L97" s="7" t="n">
        <v>1.16764904972666</v>
      </c>
      <c r="M97" s="9">
        <f>IFERROR(L97/K97,0)</f>
        <v/>
      </c>
      <c r="N97" s="7" t="n">
        <v>3.1969799531372</v>
      </c>
      <c r="O97" s="7" t="n">
        <v>6.90927883363707</v>
      </c>
      <c r="P97" s="9">
        <f>IFERROR(O97/N97,0)</f>
        <v/>
      </c>
      <c r="Q97" s="7">
        <f>K97+N97</f>
        <v/>
      </c>
      <c r="R97" s="7">
        <f>L97+O97</f>
        <v/>
      </c>
      <c r="S97" s="9">
        <f>IFERROR(R97/Q97,0)</f>
        <v/>
      </c>
      <c r="T97" s="8">
        <f>IFERROR(Q97/SUMIF($A:$A,A97,$Q:$Q),0)</f>
        <v/>
      </c>
      <c r="U97" s="8">
        <f>IFERROR(Q97/F97,0)</f>
        <v/>
      </c>
      <c r="V97" s="7">
        <f>F97-R97</f>
        <v/>
      </c>
      <c r="W97" s="8">
        <f>IFERROR(V97/F97,0)</f>
        <v/>
      </c>
      <c r="X97" s="7">
        <f>IFERROR(VLOOKUP(A97,周报其他费用!$A:$B,2,FALSE)*I97,0)</f>
        <v/>
      </c>
      <c r="Y97" s="7" t="n">
        <v>18.737</v>
      </c>
      <c r="Z97" s="8">
        <f>IFERROR(Y97/G97,0)</f>
        <v/>
      </c>
      <c r="AA97" s="7">
        <f>Y97-K97/1.06</f>
        <v/>
      </c>
      <c r="AB97" s="8">
        <f>IFERROR(AA97/G97,0)</f>
        <v/>
      </c>
      <c r="AC97" s="7">
        <f>Y97-(Q97+X97)/1.06</f>
        <v/>
      </c>
      <c r="AD97" s="8">
        <f>IFERROR(AC97/G97,0)</f>
        <v/>
      </c>
    </row>
    <row r="98" ht="14.25" customHeight="1" s="69">
      <c r="A98" s="5" t="inlineStr">
        <is>
          <t>6.15-6.21</t>
        </is>
      </c>
      <c r="B98" s="5" t="inlineStr">
        <is>
          <t>6.15-6.21</t>
        </is>
      </c>
      <c r="C98" s="119" t="n">
        <v>937005385662</v>
      </c>
      <c r="D98" s="5" t="inlineStr">
        <is>
          <t>日式袋面</t>
        </is>
      </c>
      <c r="E98" s="5" t="inlineStr">
        <is>
          <t>进口营多正品捞面日式鸡肉鸡汤辛辣味袋装泡面辣味速食方便面汤面</t>
        </is>
      </c>
      <c r="F98" s="7" t="n">
        <v>91</v>
      </c>
      <c r="G98" s="7">
        <f>IFERROR(F98/1.13,0)</f>
        <v/>
      </c>
      <c r="H98" s="5" t="n">
        <v>5</v>
      </c>
      <c r="I98" s="8">
        <f>IFERROR(H98/SUMIF($A:$A,A98,$H:$H),0)</f>
        <v/>
      </c>
      <c r="J98" s="9">
        <f>IFERROR(F98/H98,0)</f>
        <v/>
      </c>
      <c r="K98" s="7" t="n">
        <v>40.3298099453267</v>
      </c>
      <c r="L98" s="7" t="n">
        <v>180.273040874772</v>
      </c>
      <c r="M98" s="9">
        <f>IFERROR(L98/K98,0)</f>
        <v/>
      </c>
      <c r="N98" s="7" t="n">
        <v>2.66414996094767</v>
      </c>
      <c r="O98" s="7" t="n">
        <v>5.75773236136423</v>
      </c>
      <c r="P98" s="9">
        <f>IFERROR(O98/N98,0)</f>
        <v/>
      </c>
      <c r="Q98" s="7">
        <f>K98+N98</f>
        <v/>
      </c>
      <c r="R98" s="7">
        <f>L98+O98</f>
        <v/>
      </c>
      <c r="S98" s="9">
        <f>IFERROR(R98/Q98,0)</f>
        <v/>
      </c>
      <c r="T98" s="8">
        <f>IFERROR(Q98/SUMIF($A:$A,A98,$Q:$Q),0)</f>
        <v/>
      </c>
      <c r="U98" s="8">
        <f>IFERROR(Q98/F98,0)</f>
        <v/>
      </c>
      <c r="V98" s="7">
        <f>F98-R98</f>
        <v/>
      </c>
      <c r="W98" s="8">
        <f>IFERROR(V98/F98,0)</f>
        <v/>
      </c>
      <c r="X98" s="7">
        <f>IFERROR(VLOOKUP(A98,周报其他费用!$A:$B,2,FALSE)*I98,0)</f>
        <v/>
      </c>
      <c r="Y98" s="7" t="n">
        <v>8.720000000000001</v>
      </c>
      <c r="Z98" s="8">
        <f>IFERROR(Y98/G98,0)</f>
        <v/>
      </c>
      <c r="AA98" s="7">
        <f>Y98-K98/1.06</f>
        <v/>
      </c>
      <c r="AB98" s="8">
        <f>IFERROR(AA98/G98,0)</f>
        <v/>
      </c>
      <c r="AC98" s="7">
        <f>Y98-(Q98+X98)/1.06</f>
        <v/>
      </c>
      <c r="AD98" s="8">
        <f>IFERROR(AC98/G98,0)</f>
        <v/>
      </c>
    </row>
    <row r="99" ht="14.25" customHeight="1" s="69">
      <c r="A99" s="5" t="inlineStr">
        <is>
          <t>6.15-6.21</t>
        </is>
      </c>
      <c r="B99" s="5" t="inlineStr">
        <is>
          <t>6.15-6.21</t>
        </is>
      </c>
      <c r="C99" s="119" t="n">
        <v>903183018417</v>
      </c>
      <c r="D99" s="5" t="inlineStr">
        <is>
          <t>七口味混搭</t>
        </is>
      </c>
      <c r="E99" s="5" t="inlineStr">
        <is>
          <t>进口营多捞面汤面拌面七口味混合方便面速拉面宿舍拌面泡面食食品</t>
        </is>
      </c>
      <c r="F99" s="7" t="n">
        <v>94.68000000000001</v>
      </c>
      <c r="G99" s="7">
        <f>IFERROR(F99/1.13,0)</f>
        <v/>
      </c>
      <c r="H99" s="5" t="n">
        <v>5</v>
      </c>
      <c r="I99" s="8">
        <f>IFERROR(H99/SUMIF($A:$A,A99,$H:$H),0)</f>
        <v/>
      </c>
      <c r="J99" s="9">
        <f>IFERROR(F99/H99,0)</f>
        <v/>
      </c>
      <c r="K99" s="7" t="n">
        <v>3.78980994532674</v>
      </c>
      <c r="L99" s="7" t="n">
        <v>56.3430408747722</v>
      </c>
      <c r="M99" s="9">
        <f>IFERROR(L99/K99,0)</f>
        <v/>
      </c>
      <c r="N99" s="7" t="n">
        <v>2.66414996094767</v>
      </c>
      <c r="O99" s="7" t="n">
        <v>5.75773236136423</v>
      </c>
      <c r="P99" s="9">
        <f>IFERROR(O99/N99,0)</f>
        <v/>
      </c>
      <c r="Q99" s="7">
        <f>K99+N99</f>
        <v/>
      </c>
      <c r="R99" s="7">
        <f>L99+O99</f>
        <v/>
      </c>
      <c r="S99" s="9">
        <f>IFERROR(R99/Q99,0)</f>
        <v/>
      </c>
      <c r="T99" s="8">
        <f>IFERROR(Q99/SUMIF($A:$A,A99,$Q:$Q),0)</f>
        <v/>
      </c>
      <c r="U99" s="8">
        <f>IFERROR(Q99/F99,0)</f>
        <v/>
      </c>
      <c r="V99" s="7">
        <f>F99-R99</f>
        <v/>
      </c>
      <c r="W99" s="8">
        <f>IFERROR(V99/F99,0)</f>
        <v/>
      </c>
      <c r="X99" s="7">
        <f>IFERROR(VLOOKUP(A99,周报其他费用!$A:$B,2,FALSE)*I99,0)</f>
        <v/>
      </c>
      <c r="Y99" s="7" t="n">
        <v>17.654</v>
      </c>
      <c r="Z99" s="8">
        <f>IFERROR(Y99/G99,0)</f>
        <v/>
      </c>
      <c r="AA99" s="7">
        <f>Y99-K99/1.06</f>
        <v/>
      </c>
      <c r="AB99" s="8">
        <f>IFERROR(AA99/G99,0)</f>
        <v/>
      </c>
      <c r="AC99" s="7">
        <f>Y99-(Q99+X99)/1.06</f>
        <v/>
      </c>
      <c r="AD99" s="8">
        <f>IFERROR(AC99/G99,0)</f>
        <v/>
      </c>
    </row>
    <row r="100" ht="14.25" customHeight="1" s="69">
      <c r="A100" s="5" t="inlineStr">
        <is>
          <t>6.15-6.21</t>
        </is>
      </c>
      <c r="B100" s="5" t="inlineStr">
        <is>
          <t>6.15-6.21</t>
        </is>
      </c>
      <c r="C100" s="119" t="n">
        <v>773972883430</v>
      </c>
      <c r="D100" s="5" t="inlineStr">
        <is>
          <t>日式袋面</t>
        </is>
      </c>
      <c r="E100" s="5" t="inlineStr">
        <is>
          <t>营多捞面韩式火鸡面辣蘑菇汤面袋装泡面辣味速食方便面宿舍宵夜面</t>
        </is>
      </c>
      <c r="F100" s="7" t="n">
        <v>102.88</v>
      </c>
      <c r="G100" s="7">
        <f>IFERROR(F100/1.13,0)</f>
        <v/>
      </c>
      <c r="H100" s="5" t="n">
        <v>5</v>
      </c>
      <c r="I100" s="8">
        <f>IFERROR(H100/SUMIF($A:$A,A100,$H:$H),0)</f>
        <v/>
      </c>
      <c r="J100" s="9">
        <f>IFERROR(F100/H100,0)</f>
        <v/>
      </c>
      <c r="K100" s="7" t="n">
        <v>4.73980994532674</v>
      </c>
      <c r="L100" s="7" t="n">
        <v>32.7630408747722</v>
      </c>
      <c r="M100" s="9">
        <f>IFERROR(L100/K100,0)</f>
        <v/>
      </c>
      <c r="N100" s="7" t="n">
        <v>2.66414996094767</v>
      </c>
      <c r="O100" s="7" t="n">
        <v>5.75773236136423</v>
      </c>
      <c r="P100" s="9">
        <f>IFERROR(O100/N100,0)</f>
        <v/>
      </c>
      <c r="Q100" s="7">
        <f>K100+N100</f>
        <v/>
      </c>
      <c r="R100" s="7">
        <f>L100+O100</f>
        <v/>
      </c>
      <c r="S100" s="9">
        <f>IFERROR(R100/Q100,0)</f>
        <v/>
      </c>
      <c r="T100" s="8">
        <f>IFERROR(Q100/SUMIF($A:$A,A100,$Q:$Q),0)</f>
        <v/>
      </c>
      <c r="U100" s="8">
        <f>IFERROR(Q100/F100,0)</f>
        <v/>
      </c>
      <c r="V100" s="7">
        <f>F100-R100</f>
        <v/>
      </c>
      <c r="W100" s="8">
        <f>IFERROR(V100/F100,0)</f>
        <v/>
      </c>
      <c r="X100" s="7">
        <f>IFERROR(VLOOKUP(A100,周报其他费用!$A:$B,2,FALSE)*I100,0)</f>
        <v/>
      </c>
      <c r="Y100" s="7" t="n">
        <v>11.47</v>
      </c>
      <c r="Z100" s="8">
        <f>IFERROR(Y100/G100,0)</f>
        <v/>
      </c>
      <c r="AA100" s="7">
        <f>Y100-K100/1.06</f>
        <v/>
      </c>
      <c r="AB100" s="8">
        <f>IFERROR(AA100/G100,0)</f>
        <v/>
      </c>
      <c r="AC100" s="7">
        <f>Y100-(Q100+X100)/1.06</f>
        <v/>
      </c>
      <c r="AD100" s="8">
        <f>IFERROR(AC100/G100,0)</f>
        <v/>
      </c>
    </row>
    <row r="101" ht="14.25" customHeight="1" s="69">
      <c r="A101" s="5" t="inlineStr">
        <is>
          <t>6.15-6.21</t>
        </is>
      </c>
      <c r="B101" s="5" t="inlineStr">
        <is>
          <t>6.15-6.21</t>
        </is>
      </c>
      <c r="C101" s="119" t="n">
        <v>649731447266</v>
      </c>
      <c r="D101" s="5" t="inlineStr">
        <is>
          <t>20包经典/牛系列</t>
        </is>
      </c>
      <c r="E101" s="5" t="inlineStr">
        <is>
          <t>营多印尼进口营多捞面方便面火鸡面干拌面20包宿舍速食泡面夜宵</t>
        </is>
      </c>
      <c r="F101" s="7" t="n">
        <v>227.99</v>
      </c>
      <c r="G101" s="7">
        <f>IFERROR(F101/1.13,0)</f>
        <v/>
      </c>
      <c r="H101" s="5" t="n">
        <v>5</v>
      </c>
      <c r="I101" s="8">
        <f>IFERROR(H101/SUMIF($A:$A,A101,$H:$H),0)</f>
        <v/>
      </c>
      <c r="J101" s="9">
        <f>IFERROR(F101/H101,0)</f>
        <v/>
      </c>
      <c r="K101" s="7" t="n">
        <v>17.8598099453267</v>
      </c>
      <c r="L101" s="7" t="n">
        <v>26.2630408747722</v>
      </c>
      <c r="M101" s="9">
        <f>IFERROR(L101/K101,0)</f>
        <v/>
      </c>
      <c r="N101" s="7" t="n">
        <v>2.66414996094767</v>
      </c>
      <c r="O101" s="7" t="n">
        <v>5.75773236136423</v>
      </c>
      <c r="P101" s="9">
        <f>IFERROR(O101/N101,0)</f>
        <v/>
      </c>
      <c r="Q101" s="7">
        <f>K101+N101</f>
        <v/>
      </c>
      <c r="R101" s="7">
        <f>L101+O101</f>
        <v/>
      </c>
      <c r="S101" s="9">
        <f>IFERROR(R101/Q101,0)</f>
        <v/>
      </c>
      <c r="T101" s="8">
        <f>IFERROR(Q101/SUMIF($A:$A,A101,$Q:$Q),0)</f>
        <v/>
      </c>
      <c r="U101" s="8">
        <f>IFERROR(Q101/F101,0)</f>
        <v/>
      </c>
      <c r="V101" s="7">
        <f>F101-R101</f>
        <v/>
      </c>
      <c r="W101" s="8">
        <f>IFERROR(V101/F101,0)</f>
        <v/>
      </c>
      <c r="X101" s="7">
        <f>IFERROR(VLOOKUP(A101,周报其他费用!$A:$B,2,FALSE)*I101,0)</f>
        <v/>
      </c>
      <c r="Y101" s="7" t="n">
        <v>37.497</v>
      </c>
      <c r="Z101" s="8">
        <f>IFERROR(Y101/G101,0)</f>
        <v/>
      </c>
      <c r="AA101" s="7">
        <f>Y101-K101/1.06</f>
        <v/>
      </c>
      <c r="AB101" s="8">
        <f>IFERROR(AA101/G101,0)</f>
        <v/>
      </c>
      <c r="AC101" s="7">
        <f>Y101-(Q101+X101)/1.06</f>
        <v/>
      </c>
      <c r="AD101" s="8">
        <f>IFERROR(AC101/G101,0)</f>
        <v/>
      </c>
    </row>
    <row r="102" ht="14.25" customHeight="1" s="69">
      <c r="A102" s="5" t="inlineStr">
        <is>
          <t>6.15-6.21</t>
        </is>
      </c>
      <c r="B102" s="5" t="inlineStr">
        <is>
          <t>6.15-6.21</t>
        </is>
      </c>
      <c r="C102" s="119" t="n">
        <v>971242260371</v>
      </c>
      <c r="D102" s="5" t="inlineStr">
        <is>
          <t>韩式袋面</t>
        </is>
      </c>
      <c r="E102" s="5" t="inlineStr">
        <is>
          <t>新品营多捞面韩式辣蘑菇汤面泡面方便面速食干拌面宿舍宵夜旅行</t>
        </is>
      </c>
      <c r="F102" s="7" t="n">
        <v>80.68000000000001</v>
      </c>
      <c r="G102" s="7">
        <f>IFERROR(F102/1.13,0)</f>
        <v/>
      </c>
      <c r="H102" s="5" t="n">
        <v>4</v>
      </c>
      <c r="I102" s="8">
        <f>IFERROR(H102/SUMIF($A:$A,A102,$H:$H),0)</f>
        <v/>
      </c>
      <c r="J102" s="9">
        <f>IFERROR(F102/H102,0)</f>
        <v/>
      </c>
      <c r="K102" s="7" t="n">
        <v>18.4538479562614</v>
      </c>
      <c r="L102" s="7" t="n">
        <v>118.378432699818</v>
      </c>
      <c r="M102" s="9">
        <f>IFERROR(L102/K102,0)</f>
        <v/>
      </c>
      <c r="N102" s="7" t="n">
        <v>2.13131996875814</v>
      </c>
      <c r="O102" s="7" t="n">
        <v>4.60618588909138</v>
      </c>
      <c r="P102" s="9">
        <f>IFERROR(O102/N102,0)</f>
        <v/>
      </c>
      <c r="Q102" s="7">
        <f>K102+N102</f>
        <v/>
      </c>
      <c r="R102" s="7">
        <f>L102+O102</f>
        <v/>
      </c>
      <c r="S102" s="9">
        <f>IFERROR(R102/Q102,0)</f>
        <v/>
      </c>
      <c r="T102" s="8">
        <f>IFERROR(Q102/SUMIF($A:$A,A102,$Q:$Q),0)</f>
        <v/>
      </c>
      <c r="U102" s="8">
        <f>IFERROR(Q102/F102,0)</f>
        <v/>
      </c>
      <c r="V102" s="7">
        <f>F102-R102</f>
        <v/>
      </c>
      <c r="W102" s="8">
        <f>IFERROR(V102/F102,0)</f>
        <v/>
      </c>
      <c r="X102" s="7">
        <f>IFERROR(VLOOKUP(A102,周报其他费用!$A:$B,2,FALSE)*I102,0)</f>
        <v/>
      </c>
      <c r="Y102" s="7" t="n">
        <v>11.4</v>
      </c>
      <c r="Z102" s="8">
        <f>IFERROR(Y102/G102,0)</f>
        <v/>
      </c>
      <c r="AA102" s="7">
        <f>Y102-K102/1.06</f>
        <v/>
      </c>
      <c r="AB102" s="8">
        <f>IFERROR(AA102/G102,0)</f>
        <v/>
      </c>
      <c r="AC102" s="7">
        <f>Y102-(Q102+X102)/1.06</f>
        <v/>
      </c>
      <c r="AD102" s="8">
        <f>IFERROR(AC102/G102,0)</f>
        <v/>
      </c>
    </row>
    <row r="103" ht="14.25" customHeight="1" s="69">
      <c r="A103" s="5" t="inlineStr">
        <is>
          <t>6.15-6.21</t>
        </is>
      </c>
      <c r="B103" s="5" t="inlineStr">
        <is>
          <t>6.15-6.21</t>
        </is>
      </c>
      <c r="C103" s="119" t="n">
        <v>949962665617</v>
      </c>
      <c r="D103" s="5" t="inlineStr">
        <is>
          <t>组合</t>
        </is>
      </c>
      <c r="E103" s="5" t="inlineStr">
        <is>
          <t>营多捞面多口味袋装泡面拌面速食面干拌面方便面宿舍宵夜速食旅行</t>
        </is>
      </c>
      <c r="F103" s="7" t="n">
        <v>71.92</v>
      </c>
      <c r="G103" s="7">
        <f>IFERROR(F103/1.13,0)</f>
        <v/>
      </c>
      <c r="H103" s="5" t="n">
        <v>4</v>
      </c>
      <c r="I103" s="8">
        <f>IFERROR(H103/SUMIF($A:$A,A103,$H:$H),0)</f>
        <v/>
      </c>
      <c r="J103" s="9">
        <f>IFERROR(F103/H103,0)</f>
        <v/>
      </c>
      <c r="K103" s="7" t="n">
        <v>47.9138479562614</v>
      </c>
      <c r="L103" s="7" t="n">
        <v>88.1484326998178</v>
      </c>
      <c r="M103" s="9">
        <f>IFERROR(L103/K103,0)</f>
        <v/>
      </c>
      <c r="N103" s="7" t="n">
        <v>2.13131996875814</v>
      </c>
      <c r="O103" s="7" t="n">
        <v>4.60618588909138</v>
      </c>
      <c r="P103" s="9">
        <f>IFERROR(O103/N103,0)</f>
        <v/>
      </c>
      <c r="Q103" s="7">
        <f>K103+N103</f>
        <v/>
      </c>
      <c r="R103" s="7">
        <f>L103+O103</f>
        <v/>
      </c>
      <c r="S103" s="9">
        <f>IFERROR(R103/Q103,0)</f>
        <v/>
      </c>
      <c r="T103" s="8">
        <f>IFERROR(Q103/SUMIF($A:$A,A103,$Q:$Q),0)</f>
        <v/>
      </c>
      <c r="U103" s="8">
        <f>IFERROR(Q103/F103,0)</f>
        <v/>
      </c>
      <c r="V103" s="7">
        <f>F103-R103</f>
        <v/>
      </c>
      <c r="W103" s="8">
        <f>IFERROR(V103/F103,0)</f>
        <v/>
      </c>
      <c r="X103" s="7">
        <f>IFERROR(VLOOKUP(A103,周报其他费用!$A:$B,2,FALSE)*I103,0)</f>
        <v/>
      </c>
      <c r="Y103" s="7" t="n">
        <v>5.715</v>
      </c>
      <c r="Z103" s="8">
        <f>IFERROR(Y103/G103,0)</f>
        <v/>
      </c>
      <c r="AA103" s="7">
        <f>Y103-K103/1.06</f>
        <v/>
      </c>
      <c r="AB103" s="8">
        <f>IFERROR(AA103/G103,0)</f>
        <v/>
      </c>
      <c r="AC103" s="7">
        <f>Y103-(Q103+X103)/1.06</f>
        <v/>
      </c>
      <c r="AD103" s="8">
        <f>IFERROR(AC103/G103,0)</f>
        <v/>
      </c>
    </row>
    <row r="104" ht="14.25" customHeight="1" s="69">
      <c r="A104" s="5" t="inlineStr">
        <is>
          <t>6.15-6.21</t>
        </is>
      </c>
      <c r="B104" s="5" t="inlineStr">
        <is>
          <t>6.15-6.21</t>
        </is>
      </c>
      <c r="C104" s="119" t="n">
        <v>969433743398</v>
      </c>
      <c r="D104" s="5" t="inlineStr">
        <is>
          <t>韩蘑菇</t>
        </is>
      </c>
      <c r="E104" s="5" t="inlineStr">
        <is>
          <t>新品营多捞面韩式辣蘑菇汤面泡面方便面速食干拌面宿舍宵夜旅行</t>
        </is>
      </c>
      <c r="F104" s="7" t="n">
        <v>84.02</v>
      </c>
      <c r="G104" s="7">
        <f>IFERROR(F104/1.13,0)</f>
        <v/>
      </c>
      <c r="H104" s="5" t="n">
        <v>3</v>
      </c>
      <c r="I104" s="8">
        <f>IFERROR(H104/SUMIF($A:$A,A104,$H:$H),0)</f>
        <v/>
      </c>
      <c r="J104" s="9">
        <f>IFERROR(F104/H104,0)</f>
        <v/>
      </c>
      <c r="K104" s="7" t="n">
        <v>9.937885967196051</v>
      </c>
      <c r="L104" s="7" t="n">
        <v>90.1338245248633</v>
      </c>
      <c r="M104" s="9">
        <f>IFERROR(L104/K104,0)</f>
        <v/>
      </c>
      <c r="N104" s="7" t="n">
        <v>1.5984899765686</v>
      </c>
      <c r="O104" s="7" t="n">
        <v>3.45463941681854</v>
      </c>
      <c r="P104" s="9">
        <f>IFERROR(O104/N104,0)</f>
        <v/>
      </c>
      <c r="Q104" s="7">
        <f>K104+N104</f>
        <v/>
      </c>
      <c r="R104" s="7">
        <f>L104+O104</f>
        <v/>
      </c>
      <c r="S104" s="9">
        <f>IFERROR(R104/Q104,0)</f>
        <v/>
      </c>
      <c r="T104" s="8">
        <f>IFERROR(Q104/SUMIF($A:$A,A104,$Q:$Q),0)</f>
        <v/>
      </c>
      <c r="U104" s="8">
        <f>IFERROR(Q104/F104,0)</f>
        <v/>
      </c>
      <c r="V104" s="7">
        <f>F104-R104</f>
        <v/>
      </c>
      <c r="W104" s="8">
        <f>IFERROR(V104/F104,0)</f>
        <v/>
      </c>
      <c r="X104" s="7">
        <f>IFERROR(VLOOKUP(A104,周报其他费用!$A:$B,2,FALSE)*I104,0)</f>
        <v/>
      </c>
      <c r="Y104" s="7" t="n">
        <v>15.365</v>
      </c>
      <c r="Z104" s="8">
        <f>IFERROR(Y104/G104,0)</f>
        <v/>
      </c>
      <c r="AA104" s="7">
        <f>Y104-K104/1.06</f>
        <v/>
      </c>
      <c r="AB104" s="8">
        <f>IFERROR(AA104/G104,0)</f>
        <v/>
      </c>
      <c r="AC104" s="7">
        <f>Y104-(Q104+X104)/1.06</f>
        <v/>
      </c>
      <c r="AD104" s="8">
        <f>IFERROR(AC104/G104,0)</f>
        <v/>
      </c>
    </row>
    <row r="105" ht="14.25" customHeight="1" s="69">
      <c r="A105" s="5" t="inlineStr">
        <is>
          <t>6.15-6.21</t>
        </is>
      </c>
      <c r="B105" s="5" t="inlineStr">
        <is>
          <t>6.15-6.21</t>
        </is>
      </c>
      <c r="C105" s="119" t="n">
        <v>898120785283</v>
      </c>
      <c r="D105" s="5" t="inlineStr">
        <is>
          <t>番茄</t>
        </is>
      </c>
      <c r="E105" s="5" t="inlineStr">
        <is>
          <t>进口意大利面风味奶香番茄牛肉味意式营多早餐儿童宝妈家庭餐拌面</t>
        </is>
      </c>
      <c r="F105" s="7" t="n">
        <v>65.7</v>
      </c>
      <c r="G105" s="7">
        <f>IFERROR(F105/1.13,0)</f>
        <v/>
      </c>
      <c r="H105" s="5" t="n">
        <v>3</v>
      </c>
      <c r="I105" s="8">
        <f>IFERROR(H105/SUMIF($A:$A,A105,$H:$H),0)</f>
        <v/>
      </c>
      <c r="J105" s="9">
        <f>IFERROR(F105/H105,0)</f>
        <v/>
      </c>
      <c r="K105" s="7" t="n">
        <v>1.14788596719604</v>
      </c>
      <c r="L105" s="7" t="n">
        <v>0.583824524863332</v>
      </c>
      <c r="M105" s="9">
        <f>IFERROR(L105/K105,0)</f>
        <v/>
      </c>
      <c r="N105" s="7" t="n">
        <v>1.5984899765686</v>
      </c>
      <c r="O105" s="7" t="n">
        <v>3.45463941681854</v>
      </c>
      <c r="P105" s="9">
        <f>IFERROR(O105/N105,0)</f>
        <v/>
      </c>
      <c r="Q105" s="7">
        <f>K105+N105</f>
        <v/>
      </c>
      <c r="R105" s="7">
        <f>L105+O105</f>
        <v/>
      </c>
      <c r="S105" s="9">
        <f>IFERROR(R105/Q105,0)</f>
        <v/>
      </c>
      <c r="T105" s="8">
        <f>IFERROR(Q105/SUMIF($A:$A,A105,$Q:$Q),0)</f>
        <v/>
      </c>
      <c r="U105" s="8">
        <f>IFERROR(Q105/F105,0)</f>
        <v/>
      </c>
      <c r="V105" s="7">
        <f>F105-R105</f>
        <v/>
      </c>
      <c r="W105" s="8">
        <f>IFERROR(V105/F105,0)</f>
        <v/>
      </c>
      <c r="X105" s="7">
        <f>IFERROR(VLOOKUP(A105,周报其他费用!$A:$B,2,FALSE)*I105,0)</f>
        <v/>
      </c>
      <c r="Y105" s="7" t="n">
        <v>8.631</v>
      </c>
      <c r="Z105" s="8">
        <f>IFERROR(Y105/G105,0)</f>
        <v/>
      </c>
      <c r="AA105" s="7">
        <f>Y105-K105/1.06</f>
        <v/>
      </c>
      <c r="AB105" s="8">
        <f>IFERROR(AA105/G105,0)</f>
        <v/>
      </c>
      <c r="AC105" s="7">
        <f>Y105-(Q105+X105)/1.06</f>
        <v/>
      </c>
      <c r="AD105" s="8">
        <f>IFERROR(AC105/G105,0)</f>
        <v/>
      </c>
    </row>
    <row r="106" ht="14.25" customHeight="1" s="69">
      <c r="A106" s="5" t="inlineStr">
        <is>
          <t>6.15-6.21</t>
        </is>
      </c>
      <c r="B106" s="5" t="inlineStr">
        <is>
          <t>6.15-6.21</t>
        </is>
      </c>
      <c r="C106" s="119" t="n">
        <v>885645733215</v>
      </c>
      <c r="D106" s="5" t="inlineStr">
        <is>
          <t>大骨牛肉</t>
        </is>
      </c>
      <c r="E106" s="5" t="inlineStr">
        <is>
          <t>进口营多大骨番茄牛肉味营多捞面意式泡面宿舍宿舍宵夜速食方便面</t>
        </is>
      </c>
      <c r="F106" s="7" t="n">
        <v>41.06</v>
      </c>
      <c r="G106" s="7">
        <f>IFERROR(F106/1.13,0)</f>
        <v/>
      </c>
      <c r="H106" s="5" t="n">
        <v>3</v>
      </c>
      <c r="I106" s="8">
        <f>IFERROR(H106/SUMIF($A:$A,A106,$H:$H),0)</f>
        <v/>
      </c>
      <c r="J106" s="9">
        <f>IFERROR(F106/H106,0)</f>
        <v/>
      </c>
      <c r="K106" s="7" t="n">
        <v>2.31788596719604</v>
      </c>
      <c r="L106" s="7" t="n">
        <v>0.583824524863332</v>
      </c>
      <c r="M106" s="9">
        <f>IFERROR(L106/K106,0)</f>
        <v/>
      </c>
      <c r="N106" s="7" t="n">
        <v>1.5984899765686</v>
      </c>
      <c r="O106" s="7" t="n">
        <v>3.45463941681854</v>
      </c>
      <c r="P106" s="9">
        <f>IFERROR(O106/N106,0)</f>
        <v/>
      </c>
      <c r="Q106" s="7">
        <f>K106+N106</f>
        <v/>
      </c>
      <c r="R106" s="7">
        <f>L106+O106</f>
        <v/>
      </c>
      <c r="S106" s="9">
        <f>IFERROR(R106/Q106,0)</f>
        <v/>
      </c>
      <c r="T106" s="8">
        <f>IFERROR(Q106/SUMIF($A:$A,A106,$Q:$Q),0)</f>
        <v/>
      </c>
      <c r="U106" s="8">
        <f>IFERROR(Q106/F106,0)</f>
        <v/>
      </c>
      <c r="V106" s="7">
        <f>F106-R106</f>
        <v/>
      </c>
      <c r="W106" s="8">
        <f>IFERROR(V106/F106,0)</f>
        <v/>
      </c>
      <c r="X106" s="7">
        <f>IFERROR(VLOOKUP(A106,周报其他费用!$A:$B,2,FALSE)*I106,0)</f>
        <v/>
      </c>
      <c r="Y106" s="7" t="n">
        <v>1.015</v>
      </c>
      <c r="Z106" s="8">
        <f>IFERROR(Y106/G106,0)</f>
        <v/>
      </c>
      <c r="AA106" s="7">
        <f>Y106-K106/1.06</f>
        <v/>
      </c>
      <c r="AB106" s="8">
        <f>IFERROR(AA106/G106,0)</f>
        <v/>
      </c>
      <c r="AC106" s="7">
        <f>Y106-(Q106+X106)/1.06</f>
        <v/>
      </c>
      <c r="AD106" s="8">
        <f>IFERROR(AC106/G106,0)</f>
        <v/>
      </c>
    </row>
    <row r="107" ht="14.25" customHeight="1" s="69">
      <c r="A107" s="5" t="inlineStr">
        <is>
          <t>6.15-6.21</t>
        </is>
      </c>
      <c r="B107" s="5" t="inlineStr">
        <is>
          <t>6.15-6.21</t>
        </is>
      </c>
      <c r="C107" s="119" t="n">
        <v>1028450344901</v>
      </c>
      <c r="D107" s="5" t="inlineStr">
        <is>
          <t>韩式火鸡</t>
        </is>
      </c>
      <c r="E107" s="5" t="inlineStr">
        <is>
          <t>营多韩式火鸡面袋装拌面干拌面泡面方便面速食面宿舍宵夜旅行</t>
        </is>
      </c>
      <c r="F107" s="7" t="n">
        <v>69.56999999999999</v>
      </c>
      <c r="G107" s="7">
        <f>IFERROR(F107/1.13,0)</f>
        <v/>
      </c>
      <c r="H107" s="5" t="n">
        <v>3</v>
      </c>
      <c r="I107" s="8">
        <f>IFERROR(H107/SUMIF($A:$A,A107,$H:$H),0)</f>
        <v/>
      </c>
      <c r="J107" s="9">
        <f>IFERROR(F107/H107,0)</f>
        <v/>
      </c>
      <c r="K107" s="7" t="n">
        <v>3.61788596719604</v>
      </c>
      <c r="L107" s="7" t="n">
        <v>19.0438245248633</v>
      </c>
      <c r="M107" s="9">
        <f>IFERROR(L107/K107,0)</f>
        <v/>
      </c>
      <c r="N107" s="7" t="n">
        <v>1.5984899765686</v>
      </c>
      <c r="O107" s="7" t="n">
        <v>3.45463941681854</v>
      </c>
      <c r="P107" s="9">
        <f>IFERROR(O107/N107,0)</f>
        <v/>
      </c>
      <c r="Q107" s="7">
        <f>K107+N107</f>
        <v/>
      </c>
      <c r="R107" s="7">
        <f>L107+O107</f>
        <v/>
      </c>
      <c r="S107" s="9">
        <f>IFERROR(R107/Q107,0)</f>
        <v/>
      </c>
      <c r="T107" s="8">
        <f>IFERROR(Q107/SUMIF($A:$A,A107,$Q:$Q),0)</f>
        <v/>
      </c>
      <c r="U107" s="8">
        <f>IFERROR(Q107/F107,0)</f>
        <v/>
      </c>
      <c r="V107" s="7">
        <f>F107-R107</f>
        <v/>
      </c>
      <c r="W107" s="8">
        <f>IFERROR(V107/F107,0)</f>
        <v/>
      </c>
      <c r="X107" s="7">
        <f>IFERROR(VLOOKUP(A107,周报其他费用!$A:$B,2,FALSE)*I107,0)</f>
        <v/>
      </c>
      <c r="Y107" s="7" t="n">
        <v>8.861000000000001</v>
      </c>
      <c r="Z107" s="8">
        <f>IFERROR(Y107/G107,0)</f>
        <v/>
      </c>
      <c r="AA107" s="7">
        <f>Y107-K107/1.06</f>
        <v/>
      </c>
      <c r="AB107" s="8">
        <f>IFERROR(AA107/G107,0)</f>
        <v/>
      </c>
      <c r="AC107" s="7">
        <f>Y107-(Q107+X107)/1.06</f>
        <v/>
      </c>
      <c r="AD107" s="8">
        <f>IFERROR(AC107/G107,0)</f>
        <v/>
      </c>
    </row>
    <row r="108" ht="14.25" customHeight="1" s="69">
      <c r="A108" s="5" t="inlineStr">
        <is>
          <t>6.15-6.21</t>
        </is>
      </c>
      <c r="B108" s="5" t="inlineStr">
        <is>
          <t>6.15-6.21</t>
        </is>
      </c>
      <c r="C108" s="119" t="n">
        <v>932687928859</v>
      </c>
      <c r="D108" s="5" t="inlineStr">
        <is>
          <t>8包组合</t>
        </is>
      </c>
      <c r="E108" s="5" t="inlineStr">
        <is>
          <t>营多捞面八口味袋装泡面拌面速食面干拌面方便面宿舍宵夜速食家用</t>
        </is>
      </c>
      <c r="F108" s="7" t="n">
        <v>54.24</v>
      </c>
      <c r="G108" s="7">
        <f>IFERROR(F108/1.13,0)</f>
        <v/>
      </c>
      <c r="H108" s="5" t="n">
        <v>2</v>
      </c>
      <c r="I108" s="8">
        <f>IFERROR(H108/SUMIF($A:$A,A108,$H:$H),0)</f>
        <v/>
      </c>
      <c r="J108" s="9">
        <f>IFERROR(F108/H108,0)</f>
        <v/>
      </c>
      <c r="K108" s="7" t="n">
        <v>0.721923978130696</v>
      </c>
      <c r="L108" s="7" t="n">
        <v>0.389216349908888</v>
      </c>
      <c r="M108" s="9">
        <f>IFERROR(L108/K108,0)</f>
        <v/>
      </c>
      <c r="N108" s="7" t="n">
        <v>1.06565998437907</v>
      </c>
      <c r="O108" s="7" t="n">
        <v>2.30309294454569</v>
      </c>
      <c r="P108" s="9">
        <f>IFERROR(O108/N108,0)</f>
        <v/>
      </c>
      <c r="Q108" s="7">
        <f>K108+N108</f>
        <v/>
      </c>
      <c r="R108" s="7">
        <f>L108+O108</f>
        <v/>
      </c>
      <c r="S108" s="9">
        <f>IFERROR(R108/Q108,0)</f>
        <v/>
      </c>
      <c r="T108" s="8">
        <f>IFERROR(Q108/SUMIF($A:$A,A108,$Q:$Q),0)</f>
        <v/>
      </c>
      <c r="U108" s="8">
        <f>IFERROR(Q108/F108,0)</f>
        <v/>
      </c>
      <c r="V108" s="7">
        <f>F108-R108</f>
        <v/>
      </c>
      <c r="W108" s="8">
        <f>IFERROR(V108/F108,0)</f>
        <v/>
      </c>
      <c r="X108" s="7">
        <f>IFERROR(VLOOKUP(A108,周报其他费用!$A:$B,2,FALSE)*I108,0)</f>
        <v/>
      </c>
      <c r="Y108" s="7" t="n">
        <v>9.538</v>
      </c>
      <c r="Z108" s="8">
        <f>IFERROR(Y108/G108,0)</f>
        <v/>
      </c>
      <c r="AA108" s="7">
        <f>Y108-K108/1.06</f>
        <v/>
      </c>
      <c r="AB108" s="8">
        <f>IFERROR(AA108/G108,0)</f>
        <v/>
      </c>
      <c r="AC108" s="7">
        <f>Y108-(Q108+X108)/1.06</f>
        <v/>
      </c>
      <c r="AD108" s="8">
        <f>IFERROR(AC108/G108,0)</f>
        <v/>
      </c>
    </row>
    <row r="109" ht="14.25" customHeight="1" s="69">
      <c r="A109" s="5" t="inlineStr">
        <is>
          <t>6.15-6.21</t>
        </is>
      </c>
      <c r="B109" s="5" t="inlineStr">
        <is>
          <t>6.15-6.21</t>
        </is>
      </c>
      <c r="C109" s="119" t="n">
        <v>976466902934</v>
      </c>
      <c r="D109" s="5" t="inlineStr">
        <is>
          <t>【U选】日式原杯1+日式辣杯1</t>
        </is>
      </c>
      <c r="E109" s="5" t="inlineStr">
        <is>
          <t>【天猫U选】indomie营多捞面辣火鸡味日式鸡肉原味杯面</t>
        </is>
      </c>
      <c r="F109" s="7" t="n">
        <v>18.81</v>
      </c>
      <c r="G109" s="7">
        <f>IFERROR(F109/1.13,0)</f>
        <v/>
      </c>
      <c r="H109" s="5" t="n">
        <v>2</v>
      </c>
      <c r="I109" s="8">
        <f>IFERROR(H109/SUMIF($A:$A,A109,$H:$H),0)</f>
        <v/>
      </c>
      <c r="J109" s="9">
        <f>IFERROR(F109/H109,0)</f>
        <v/>
      </c>
      <c r="K109" s="7" t="n">
        <v>0.411923978130696</v>
      </c>
      <c r="L109" s="7" t="n">
        <v>0.389216349908888</v>
      </c>
      <c r="M109" s="9">
        <f>IFERROR(L109/K109,0)</f>
        <v/>
      </c>
      <c r="N109" s="7" t="n">
        <v>1.06565998437907</v>
      </c>
      <c r="O109" s="7" t="n">
        <v>2.30309294454569</v>
      </c>
      <c r="P109" s="9">
        <f>IFERROR(O109/N109,0)</f>
        <v/>
      </c>
      <c r="Q109" s="7">
        <f>K109+N109</f>
        <v/>
      </c>
      <c r="R109" s="7">
        <f>L109+O109</f>
        <v/>
      </c>
      <c r="S109" s="9">
        <f>IFERROR(R109/Q109,0)</f>
        <v/>
      </c>
      <c r="T109" s="8">
        <f>IFERROR(Q109/SUMIF($A:$A,A109,$Q:$Q),0)</f>
        <v/>
      </c>
      <c r="U109" s="8">
        <f>IFERROR(Q109/F109,0)</f>
        <v/>
      </c>
      <c r="V109" s="7">
        <f>F109-R109</f>
        <v/>
      </c>
      <c r="W109" s="8">
        <f>IFERROR(V109/F109,0)</f>
        <v/>
      </c>
      <c r="X109" s="7">
        <f>IFERROR(VLOOKUP(A109,周报其他费用!$A:$B,2,FALSE)*I109,0)</f>
        <v/>
      </c>
      <c r="Y109" s="7" t="n">
        <v>-3.528</v>
      </c>
      <c r="Z109" s="8">
        <f>IFERROR(Y109/G109,0)</f>
        <v/>
      </c>
      <c r="AA109" s="7">
        <f>Y109-K109/1.06</f>
        <v/>
      </c>
      <c r="AB109" s="8">
        <f>IFERROR(AA109/G109,0)</f>
        <v/>
      </c>
      <c r="AC109" s="7">
        <f>Y109-(Q109+X109)/1.06</f>
        <v/>
      </c>
      <c r="AD109" s="8">
        <f>IFERROR(AC109/G109,0)</f>
        <v/>
      </c>
    </row>
    <row r="110" ht="14.25" customHeight="1" s="69">
      <c r="A110" s="5" t="inlineStr">
        <is>
          <t>6.15-6.21</t>
        </is>
      </c>
      <c r="B110" s="5" t="inlineStr">
        <is>
          <t>6.15-6.21</t>
        </is>
      </c>
      <c r="C110" s="119" t="n">
        <v>947413291596</v>
      </c>
      <c r="D110" s="5" t="inlineStr">
        <is>
          <t>杯面</t>
        </is>
      </c>
      <c r="E110" s="5" t="inlineStr">
        <is>
          <t>营多捞面杯装方便面泡面速食干拌面原味整箱批发印尼进口桶装拌面</t>
        </is>
      </c>
      <c r="F110" s="7" t="n">
        <v>54.5</v>
      </c>
      <c r="G110" s="7">
        <f>IFERROR(F110/1.13,0)</f>
        <v/>
      </c>
      <c r="H110" s="5" t="n">
        <v>2</v>
      </c>
      <c r="I110" s="8">
        <f>IFERROR(H110/SUMIF($A:$A,A110,$H:$H),0)</f>
        <v/>
      </c>
      <c r="J110" s="9">
        <f>IFERROR(F110/H110,0)</f>
        <v/>
      </c>
      <c r="K110" s="7" t="n">
        <v>9.6719239781307</v>
      </c>
      <c r="L110" s="7" t="n">
        <v>54.8892163499089</v>
      </c>
      <c r="M110" s="9">
        <f>IFERROR(L110/K110,0)</f>
        <v/>
      </c>
      <c r="N110" s="7" t="n">
        <v>1.06565998437907</v>
      </c>
      <c r="O110" s="7" t="n">
        <v>2.30309294454569</v>
      </c>
      <c r="P110" s="9">
        <f>IFERROR(O110/N110,0)</f>
        <v/>
      </c>
      <c r="Q110" s="7">
        <f>K110+N110</f>
        <v/>
      </c>
      <c r="R110" s="7">
        <f>L110+O110</f>
        <v/>
      </c>
      <c r="S110" s="9">
        <f>IFERROR(R110/Q110,0)</f>
        <v/>
      </c>
      <c r="T110" s="8">
        <f>IFERROR(Q110/SUMIF($A:$A,A110,$Q:$Q),0)</f>
        <v/>
      </c>
      <c r="U110" s="8">
        <f>IFERROR(Q110/F110,0)</f>
        <v/>
      </c>
      <c r="V110" s="7">
        <f>F110-R110</f>
        <v/>
      </c>
      <c r="W110" s="8">
        <f>IFERROR(V110/F110,0)</f>
        <v/>
      </c>
      <c r="X110" s="7">
        <f>IFERROR(VLOOKUP(A110,周报其他费用!$A:$B,2,FALSE)*I110,0)</f>
        <v/>
      </c>
      <c r="Y110" s="7" t="n">
        <v>6.236</v>
      </c>
      <c r="Z110" s="8">
        <f>IFERROR(Y110/G110,0)</f>
        <v/>
      </c>
      <c r="AA110" s="7">
        <f>Y110-K110/1.06</f>
        <v/>
      </c>
      <c r="AB110" s="8">
        <f>IFERROR(AA110/G110,0)</f>
        <v/>
      </c>
      <c r="AC110" s="7">
        <f>Y110-(Q110+X110)/1.06</f>
        <v/>
      </c>
      <c r="AD110" s="8">
        <f>IFERROR(AC110/G110,0)</f>
        <v/>
      </c>
    </row>
    <row r="111" ht="14.25" customHeight="1" s="69">
      <c r="A111" s="5" t="inlineStr">
        <is>
          <t>6.15-6.21</t>
        </is>
      </c>
      <c r="B111" s="5" t="inlineStr">
        <is>
          <t>6.15-6.21</t>
        </is>
      </c>
      <c r="C111" s="119" t="n">
        <v>1056927747753</v>
      </c>
      <c r="D111" s="5" t="inlineStr">
        <is>
          <t>巴东</t>
        </is>
      </c>
      <c r="E111" s="5" t="inlineStr">
        <is>
          <t>【新口味】印尼进口营多捞面巴东炖牛肉味泡面方便面宿舍速食宵夜</t>
        </is>
      </c>
      <c r="F111" s="7" t="n">
        <v>12.33</v>
      </c>
      <c r="G111" s="7">
        <f>IFERROR(F111/1.13,0)</f>
        <v/>
      </c>
      <c r="H111" s="5" t="n">
        <v>1</v>
      </c>
      <c r="I111" s="8">
        <f>IFERROR(H111/SUMIF($A:$A,A111,$H:$H),0)</f>
        <v/>
      </c>
      <c r="J111" s="9">
        <f>IFERROR(F111/H111,0)</f>
        <v/>
      </c>
      <c r="K111" s="7" t="n">
        <v>0.215961989065348</v>
      </c>
      <c r="L111" s="7" t="n">
        <v>0.194608174954444</v>
      </c>
      <c r="M111" s="9">
        <f>IFERROR(L111/K111,0)</f>
        <v/>
      </c>
      <c r="N111" s="7" t="n">
        <v>0.532829992189534</v>
      </c>
      <c r="O111" s="7" t="n">
        <v>1.15154647227285</v>
      </c>
      <c r="P111" s="9">
        <f>IFERROR(O111/N111,0)</f>
        <v/>
      </c>
      <c r="Q111" s="7">
        <f>K111+N111</f>
        <v/>
      </c>
      <c r="R111" s="7">
        <f>L111+O111</f>
        <v/>
      </c>
      <c r="S111" s="9">
        <f>IFERROR(R111/Q111,0)</f>
        <v/>
      </c>
      <c r="T111" s="8">
        <f>IFERROR(Q111/SUMIF($A:$A,A111,$Q:$Q),0)</f>
        <v/>
      </c>
      <c r="U111" s="8">
        <f>IFERROR(Q111/F111,0)</f>
        <v/>
      </c>
      <c r="V111" s="7">
        <f>F111-R111</f>
        <v/>
      </c>
      <c r="W111" s="8">
        <f>IFERROR(V111/F111,0)</f>
        <v/>
      </c>
      <c r="X111" s="7">
        <f>IFERROR(VLOOKUP(A111,周报其他费用!$A:$B,2,FALSE)*I111,0)</f>
        <v/>
      </c>
      <c r="Y111" s="7" t="n">
        <v>-0.773</v>
      </c>
      <c r="Z111" s="8">
        <f>IFERROR(Y111/G111,0)</f>
        <v/>
      </c>
      <c r="AA111" s="7">
        <f>Y111-K111/1.06</f>
        <v/>
      </c>
      <c r="AB111" s="8">
        <f>IFERROR(AA111/G111,0)</f>
        <v/>
      </c>
      <c r="AC111" s="7">
        <f>Y111-(Q111+X111)/1.06</f>
        <v/>
      </c>
      <c r="AD111" s="8">
        <f>IFERROR(AC111/G111,0)</f>
        <v/>
      </c>
    </row>
    <row r="112" ht="14.25" customHeight="1" s="69">
      <c r="A112" s="5" t="inlineStr">
        <is>
          <t>6.15-6.21</t>
        </is>
      </c>
      <c r="B112" s="5" t="inlineStr">
        <is>
          <t>6.15-6.21</t>
        </is>
      </c>
      <c r="C112" s="119" t="n">
        <v>975092562679</v>
      </c>
      <c r="D112" s="5" t="inlineStr">
        <is>
          <t>杯面混搭</t>
        </is>
      </c>
      <c r="E112" s="5" t="inlineStr">
        <is>
          <t>营多韩式甜辣炸鸡火鸡面辣蘑菇杯面拌面泡面方便面速食宵夜旅行</t>
        </is>
      </c>
      <c r="F112" s="7" t="n">
        <v>46.72</v>
      </c>
      <c r="G112" s="7">
        <f>IFERROR(F112/1.13,0)</f>
        <v/>
      </c>
      <c r="H112" s="5" t="n">
        <v>1</v>
      </c>
      <c r="I112" s="8">
        <f>IFERROR(H112/SUMIF($A:$A,A112,$H:$H),0)</f>
        <v/>
      </c>
      <c r="J112" s="9">
        <f>IFERROR(F112/H112,0)</f>
        <v/>
      </c>
      <c r="K112" s="7" t="n">
        <v>2.04596198906535</v>
      </c>
      <c r="L112" s="7" t="n">
        <v>46.9146081749544</v>
      </c>
      <c r="M112" s="9">
        <f>IFERROR(L112/K112,0)</f>
        <v/>
      </c>
      <c r="N112" s="7" t="n">
        <v>0.532829992189534</v>
      </c>
      <c r="O112" s="7" t="n">
        <v>1.15154647227285</v>
      </c>
      <c r="P112" s="9">
        <f>IFERROR(O112/N112,0)</f>
        <v/>
      </c>
      <c r="Q112" s="7">
        <f>K112+N112</f>
        <v/>
      </c>
      <c r="R112" s="7">
        <f>L112+O112</f>
        <v/>
      </c>
      <c r="S112" s="9">
        <f>IFERROR(R112/Q112,0)</f>
        <v/>
      </c>
      <c r="T112" s="8">
        <f>IFERROR(Q112/SUMIF($A:$A,A112,$Q:$Q),0)</f>
        <v/>
      </c>
      <c r="U112" s="8">
        <f>IFERROR(Q112/F112,0)</f>
        <v/>
      </c>
      <c r="V112" s="7">
        <f>F112-R112</f>
        <v/>
      </c>
      <c r="W112" s="8">
        <f>IFERROR(V112/F112,0)</f>
        <v/>
      </c>
      <c r="X112" s="7">
        <f>IFERROR(VLOOKUP(A112,周报其他费用!$A:$B,2,FALSE)*I112,0)</f>
        <v/>
      </c>
      <c r="Y112" s="7" t="n">
        <v>14.079</v>
      </c>
      <c r="Z112" s="8">
        <f>IFERROR(Y112/G112,0)</f>
        <v/>
      </c>
      <c r="AA112" s="7">
        <f>Y112-K112/1.06</f>
        <v/>
      </c>
      <c r="AB112" s="8">
        <f>IFERROR(AA112/G112,0)</f>
        <v/>
      </c>
      <c r="AC112" s="7">
        <f>Y112-(Q112+X112)/1.06</f>
        <v/>
      </c>
      <c r="AD112" s="8">
        <f>IFERROR(AC112/G112,0)</f>
        <v/>
      </c>
    </row>
    <row r="113" ht="14.25" customHeight="1" s="69">
      <c r="A113" s="5" t="inlineStr">
        <is>
          <t>6.15-6.21</t>
        </is>
      </c>
      <c r="B113" s="5" t="inlineStr">
        <is>
          <t>6.15-6.21</t>
        </is>
      </c>
      <c r="C113" s="119" t="n">
        <v>775016827115</v>
      </c>
      <c r="D113" s="5" t="inlineStr">
        <is>
          <t>杯面混搭</t>
        </is>
      </c>
      <c r="E113" s="5" t="inlineStr">
        <is>
          <t>进口营多原味杯面日式杯面韩式杯面泡面方便面汤面宿舍速食夜宵</t>
        </is>
      </c>
      <c r="F113" s="7" t="n">
        <v>27.9</v>
      </c>
      <c r="G113" s="7">
        <f>IFERROR(F113/1.13,0)</f>
        <v/>
      </c>
      <c r="H113" s="5" t="n">
        <v>1</v>
      </c>
      <c r="I113" s="8">
        <f>IFERROR(H113/SUMIF($A:$A,A113,$H:$H),0)</f>
        <v/>
      </c>
      <c r="J113" s="9">
        <f>IFERROR(F113/H113,0)</f>
        <v/>
      </c>
      <c r="K113" s="7" t="n">
        <v>3.36596198906535</v>
      </c>
      <c r="L113" s="7" t="n">
        <v>0.194608174954444</v>
      </c>
      <c r="M113" s="9">
        <f>IFERROR(L113/K113,0)</f>
        <v/>
      </c>
      <c r="N113" s="7" t="n">
        <v>0.532829992189534</v>
      </c>
      <c r="O113" s="7" t="n">
        <v>1.15154647227285</v>
      </c>
      <c r="P113" s="9">
        <f>IFERROR(O113/N113,0)</f>
        <v/>
      </c>
      <c r="Q113" s="7">
        <f>K113+N113</f>
        <v/>
      </c>
      <c r="R113" s="7">
        <f>L113+O113</f>
        <v/>
      </c>
      <c r="S113" s="9">
        <f>IFERROR(R113/Q113,0)</f>
        <v/>
      </c>
      <c r="T113" s="8">
        <f>IFERROR(Q113/SUMIF($A:$A,A113,$Q:$Q),0)</f>
        <v/>
      </c>
      <c r="U113" s="8">
        <f>IFERROR(Q113/F113,0)</f>
        <v/>
      </c>
      <c r="V113" s="7">
        <f>F113-R113</f>
        <v/>
      </c>
      <c r="W113" s="8">
        <f>IFERROR(V113/F113,0)</f>
        <v/>
      </c>
      <c r="X113" s="7">
        <f>IFERROR(VLOOKUP(A113,周报其他费用!$A:$B,2,FALSE)*I113,0)</f>
        <v/>
      </c>
      <c r="Y113" s="7" t="n">
        <v>3.65</v>
      </c>
      <c r="Z113" s="8">
        <f>IFERROR(Y113/G113,0)</f>
        <v/>
      </c>
      <c r="AA113" s="7">
        <f>Y113-K113/1.06</f>
        <v/>
      </c>
      <c r="AB113" s="8">
        <f>IFERROR(AA113/G113,0)</f>
        <v/>
      </c>
      <c r="AC113" s="7">
        <f>Y113-(Q113+X113)/1.06</f>
        <v/>
      </c>
      <c r="AD113" s="8">
        <f>IFERROR(AC113/G113,0)</f>
        <v/>
      </c>
    </row>
    <row r="114" ht="14.25" customHeight="1" s="69">
      <c r="A114" s="5" t="inlineStr">
        <is>
          <t>6.22-6.28</t>
        </is>
      </c>
      <c r="B114" s="5" t="inlineStr">
        <is>
          <t>6.22-6.28</t>
        </is>
      </c>
      <c r="C114" s="119" t="n">
        <v>668566625747</v>
      </c>
      <c r="D114" s="5" t="inlineStr">
        <is>
          <t>袋面主链接</t>
        </is>
      </c>
      <c r="E114" s="5" t="inlineStr">
        <is>
          <t>印尼营多捞面进口网红泡面袋装方便面速食食品拉面火鸡面拌面整箱</t>
        </is>
      </c>
      <c r="F114" s="7" t="n">
        <v>25765.0100000003</v>
      </c>
      <c r="G114" s="7">
        <f>IFERROR(F114/1.13,0)</f>
        <v/>
      </c>
      <c r="H114" s="5" t="n">
        <v>1020</v>
      </c>
      <c r="I114" s="8">
        <f>IFERROR(H114/SUMIF($A:$A,A114,$H:$H),0)</f>
        <v/>
      </c>
      <c r="J114" s="9">
        <f>IFERROR(F114/H114,0)</f>
        <v/>
      </c>
      <c r="K114" s="7" t="n">
        <v>3802.10334986055</v>
      </c>
      <c r="L114" s="7" t="n">
        <v>19884.7344468547</v>
      </c>
      <c r="M114" s="9">
        <f>IFERROR(L114/K114,0)</f>
        <v/>
      </c>
      <c r="N114" s="7" t="n">
        <v>601.1488689185001</v>
      </c>
      <c r="O114" s="7" t="n">
        <v>1309.30133250697</v>
      </c>
      <c r="P114" s="9">
        <f>IFERROR(O114/N114,0)</f>
        <v/>
      </c>
      <c r="Q114" s="7">
        <f>K114+N114</f>
        <v/>
      </c>
      <c r="R114" s="7">
        <f>L114+O114</f>
        <v/>
      </c>
      <c r="S114" s="9">
        <f>IFERROR(R114/Q114,0)</f>
        <v/>
      </c>
      <c r="T114" s="8">
        <f>IFERROR(Q114/SUMIF($A:$A,A114,$Q:$Q),0)</f>
        <v/>
      </c>
      <c r="U114" s="8">
        <f>IFERROR(Q114/F114,0)</f>
        <v/>
      </c>
      <c r="V114" s="7">
        <f>F114-R114</f>
        <v/>
      </c>
      <c r="W114" s="8">
        <f>IFERROR(V114/F114,0)</f>
        <v/>
      </c>
      <c r="X114" s="7">
        <f>IFERROR(VLOOKUP(A114,周报其他费用!$A:$B,2,FALSE)*I114,0)</f>
        <v/>
      </c>
      <c r="Y114" s="7" t="n">
        <v>3381.64200000002</v>
      </c>
      <c r="Z114" s="8">
        <f>IFERROR(Y114/G114,0)</f>
        <v/>
      </c>
      <c r="AA114" s="7">
        <f>Y114-K114/1.06</f>
        <v/>
      </c>
      <c r="AB114" s="8">
        <f>IFERROR(AA114/G114,0)</f>
        <v/>
      </c>
      <c r="AC114" s="7">
        <f>Y114-(Q114+X114)/1.06</f>
        <v/>
      </c>
      <c r="AD114" s="8">
        <f>IFERROR(AC114/G114,0)</f>
        <v/>
      </c>
    </row>
    <row r="115" ht="14.25" customHeight="1" s="69">
      <c r="A115" s="5" t="inlineStr">
        <is>
          <t>6.22-6.28</t>
        </is>
      </c>
      <c r="B115" s="5" t="inlineStr">
        <is>
          <t>6.22-6.28</t>
        </is>
      </c>
      <c r="C115" s="119" t="n">
        <v>649361890551</v>
      </c>
      <c r="D115" s="5" t="inlineStr">
        <is>
          <t>袋面次链接</t>
        </is>
      </c>
      <c r="E115" s="5" t="inlineStr">
        <is>
          <t>营多捞面印尼进口Indomie网红夜宵早餐方便面火鸡面泡面拌面</t>
        </is>
      </c>
      <c r="F115" s="7" t="n">
        <v>16505.8399999999</v>
      </c>
      <c r="G115" s="7">
        <f>IFERROR(F115/1.13,0)</f>
        <v/>
      </c>
      <c r="H115" s="5" t="n">
        <v>882</v>
      </c>
      <c r="I115" s="8">
        <f>IFERROR(H115/SUMIF($A:$A,A115,$H:$H),0)</f>
        <v/>
      </c>
      <c r="J115" s="9">
        <f>IFERROR(F115/H115,0)</f>
        <v/>
      </c>
      <c r="K115" s="7" t="n">
        <v>2715.06872017354</v>
      </c>
      <c r="L115" s="7" t="n">
        <v>13447.150021692</v>
      </c>
      <c r="M115" s="9">
        <f>IFERROR(L115/K115,0)</f>
        <v/>
      </c>
      <c r="N115" s="7" t="n">
        <v>519.816963123644</v>
      </c>
      <c r="O115" s="7" t="n">
        <v>1132.16056399132</v>
      </c>
      <c r="P115" s="9">
        <f>IFERROR(O115/N115,0)</f>
        <v/>
      </c>
      <c r="Q115" s="7">
        <f>K115+N115</f>
        <v/>
      </c>
      <c r="R115" s="7">
        <f>L115+O115</f>
        <v/>
      </c>
      <c r="S115" s="9">
        <f>IFERROR(R115/Q115,0)</f>
        <v/>
      </c>
      <c r="T115" s="8">
        <f>IFERROR(Q115/SUMIF($A:$A,A115,$Q:$Q),0)</f>
        <v/>
      </c>
      <c r="U115" s="8">
        <f>IFERROR(Q115/F115,0)</f>
        <v/>
      </c>
      <c r="V115" s="7">
        <f>F115-R115</f>
        <v/>
      </c>
      <c r="W115" s="8">
        <f>IFERROR(V115/F115,0)</f>
        <v/>
      </c>
      <c r="X115" s="7">
        <f>IFERROR(VLOOKUP(A115,周报其他费用!$A:$B,2,FALSE)*I115,0)</f>
        <v/>
      </c>
      <c r="Y115" s="7" t="n">
        <v>1487.82099999999</v>
      </c>
      <c r="Z115" s="8">
        <f>IFERROR(Y115/G115,0)</f>
        <v/>
      </c>
      <c r="AA115" s="7">
        <f>Y115-K115/1.06</f>
        <v/>
      </c>
      <c r="AB115" s="8">
        <f>IFERROR(AA115/G115,0)</f>
        <v/>
      </c>
      <c r="AC115" s="7">
        <f>Y115-(Q115+X115)/1.06</f>
        <v/>
      </c>
      <c r="AD115" s="8">
        <f>IFERROR(AC115/G115,0)</f>
        <v/>
      </c>
    </row>
    <row r="116" ht="14.25" customHeight="1" s="69">
      <c r="A116" s="5" t="inlineStr">
        <is>
          <t>6.22-6.28</t>
        </is>
      </c>
      <c r="B116" s="5" t="inlineStr">
        <is>
          <t>6.22-6.28</t>
        </is>
      </c>
      <c r="C116" s="119" t="n">
        <v>649735171438</v>
      </c>
      <c r="D116" s="5" t="inlineStr">
        <is>
          <t>杯面主链接</t>
        </is>
      </c>
      <c r="E116" s="5" t="inlineStr">
        <is>
          <t>印尼进口indomie营多捞面杯面速食泡面干拌面盒桶装方便面火鸡面</t>
        </is>
      </c>
      <c r="F116" s="7" t="n">
        <v>14641.33</v>
      </c>
      <c r="G116" s="7">
        <f>IFERROR(F116/1.13,0)</f>
        <v/>
      </c>
      <c r="H116" s="5" t="n">
        <v>582</v>
      </c>
      <c r="I116" s="8">
        <f>IFERROR(H116/SUMIF($A:$A,A116,$H:$H),0)</f>
        <v/>
      </c>
      <c r="J116" s="9">
        <f>IFERROR(F116/H116,0)</f>
        <v/>
      </c>
      <c r="K116" s="7" t="n">
        <v>2548.2112643322</v>
      </c>
      <c r="L116" s="7" t="n">
        <v>10941.1051843818</v>
      </c>
      <c r="M116" s="9">
        <f>IFERROR(L116/K116,0)</f>
        <v/>
      </c>
      <c r="N116" s="7" t="n">
        <v>343.008472265262</v>
      </c>
      <c r="O116" s="7" t="n">
        <v>747.07193678339</v>
      </c>
      <c r="P116" s="9">
        <f>IFERROR(O116/N116,0)</f>
        <v/>
      </c>
      <c r="Q116" s="7">
        <f>K116+N116</f>
        <v/>
      </c>
      <c r="R116" s="7">
        <f>L116+O116</f>
        <v/>
      </c>
      <c r="S116" s="9">
        <f>IFERROR(R116/Q116,0)</f>
        <v/>
      </c>
      <c r="T116" s="8">
        <f>IFERROR(Q116/SUMIF($A:$A,A116,$Q:$Q),0)</f>
        <v/>
      </c>
      <c r="U116" s="8">
        <f>IFERROR(Q116/F116,0)</f>
        <v/>
      </c>
      <c r="V116" s="7">
        <f>F116-R116</f>
        <v/>
      </c>
      <c r="W116" s="8">
        <f>IFERROR(V116/F116,0)</f>
        <v/>
      </c>
      <c r="X116" s="7">
        <f>IFERROR(VLOOKUP(A116,周报其他费用!$A:$B,2,FALSE)*I116,0)</f>
        <v/>
      </c>
      <c r="Y116" s="7" t="n">
        <v>1627.495</v>
      </c>
      <c r="Z116" s="8">
        <f>IFERROR(Y116/G116,0)</f>
        <v/>
      </c>
      <c r="AA116" s="7">
        <f>Y116-K116/1.06</f>
        <v/>
      </c>
      <c r="AB116" s="8">
        <f>IFERROR(AA116/G116,0)</f>
        <v/>
      </c>
      <c r="AC116" s="7">
        <f>Y116-(Q116+X116)/1.06</f>
        <v/>
      </c>
      <c r="AD116" s="8">
        <f>IFERROR(AC116/G116,0)</f>
        <v/>
      </c>
    </row>
    <row r="117" ht="14.25" customHeight="1" s="69">
      <c r="A117" s="5" t="inlineStr">
        <is>
          <t>6.22-6.28</t>
        </is>
      </c>
      <c r="B117" s="5" t="inlineStr">
        <is>
          <t>6.22-6.28</t>
        </is>
      </c>
      <c r="C117" s="119" t="n">
        <v>648600900806</v>
      </c>
      <c r="D117" s="5" t="inlineStr">
        <is>
          <t>30包</t>
        </is>
      </c>
      <c r="E117" s="5" t="inlineStr">
        <is>
          <t>进口营多捞面一整箱30包网红速食方便面宿舍速食泡面干拌面拉面</t>
        </is>
      </c>
      <c r="F117" s="7" t="n">
        <v>8216.639999999999</v>
      </c>
      <c r="G117" s="7">
        <f>IFERROR(F117/1.13,0)</f>
        <v/>
      </c>
      <c r="H117" s="5" t="n">
        <v>119</v>
      </c>
      <c r="I117" s="8">
        <f>IFERROR(H117/SUMIF($A:$A,A117,$H:$H),0)</f>
        <v/>
      </c>
      <c r="J117" s="9">
        <f>IFERROR(F117/H117,0)</f>
        <v/>
      </c>
      <c r="K117" s="7" t="n">
        <v>1816.61355748373</v>
      </c>
      <c r="L117" s="7" t="n">
        <v>8969.03468546638</v>
      </c>
      <c r="M117" s="9">
        <f>IFERROR(L117/K117,0)</f>
        <v/>
      </c>
      <c r="N117" s="7" t="n">
        <v>70.13403470715831</v>
      </c>
      <c r="O117" s="7" t="n">
        <v>152.751822125813</v>
      </c>
      <c r="P117" s="9">
        <f>IFERROR(O117/N117,0)</f>
        <v/>
      </c>
      <c r="Q117" s="7">
        <f>K117+N117</f>
        <v/>
      </c>
      <c r="R117" s="7">
        <f>L117+O117</f>
        <v/>
      </c>
      <c r="S117" s="9">
        <f>IFERROR(R117/Q117,0)</f>
        <v/>
      </c>
      <c r="T117" s="8">
        <f>IFERROR(Q117/SUMIF($A:$A,A117,$Q:$Q),0)</f>
        <v/>
      </c>
      <c r="U117" s="8">
        <f>IFERROR(Q117/F117,0)</f>
        <v/>
      </c>
      <c r="V117" s="7">
        <f>F117-R117</f>
        <v/>
      </c>
      <c r="W117" s="8">
        <f>IFERROR(V117/F117,0)</f>
        <v/>
      </c>
      <c r="X117" s="7">
        <f>IFERROR(VLOOKUP(A117,周报其他费用!$A:$B,2,FALSE)*I117,0)</f>
        <v/>
      </c>
      <c r="Y117" s="7" t="n">
        <v>1595.262</v>
      </c>
      <c r="Z117" s="8">
        <f>IFERROR(Y117/G117,0)</f>
        <v/>
      </c>
      <c r="AA117" s="7">
        <f>Y117-K117/1.06</f>
        <v/>
      </c>
      <c r="AB117" s="8">
        <f>IFERROR(AA117/G117,0)</f>
        <v/>
      </c>
      <c r="AC117" s="7">
        <f>Y117-(Q117+X117)/1.06</f>
        <v/>
      </c>
      <c r="AD117" s="8">
        <f>IFERROR(AC117/G117,0)</f>
        <v/>
      </c>
    </row>
    <row r="118" ht="14.25" customHeight="1" s="69">
      <c r="A118" s="5" t="inlineStr">
        <is>
          <t>6.22-6.28</t>
        </is>
      </c>
      <c r="B118" s="5" t="inlineStr">
        <is>
          <t>6.22-6.28</t>
        </is>
      </c>
      <c r="C118" s="119" t="n">
        <v>649369494424</v>
      </c>
      <c r="D118" s="5" t="inlineStr">
        <is>
          <t>24包经典/牛系列</t>
        </is>
      </c>
      <c r="E118" s="5" t="inlineStr">
        <is>
          <t>营多捞面干拌面一整箱24袋装批发泡面混搭宿舍速食方便面火鸡面</t>
        </is>
      </c>
      <c r="F118" s="7" t="n">
        <v>4641.89</v>
      </c>
      <c r="G118" s="7">
        <f>IFERROR(F118/1.13,0)</f>
        <v/>
      </c>
      <c r="H118" s="5" t="n">
        <v>84</v>
      </c>
      <c r="I118" s="8">
        <f>IFERROR(H118/SUMIF($A:$A,A118,$H:$H),0)</f>
        <v/>
      </c>
      <c r="J118" s="9">
        <f>IFERROR(F118/H118,0)</f>
        <v/>
      </c>
      <c r="K118" s="7" t="n">
        <v>931.063687635575</v>
      </c>
      <c r="L118" s="7" t="n">
        <v>3680.16095444686</v>
      </c>
      <c r="M118" s="9">
        <f>IFERROR(L118/K118,0)</f>
        <v/>
      </c>
      <c r="N118" s="7" t="n">
        <v>49.5063774403471</v>
      </c>
      <c r="O118" s="7" t="n">
        <v>107.824815618221</v>
      </c>
      <c r="P118" s="9">
        <f>IFERROR(O118/N118,0)</f>
        <v/>
      </c>
      <c r="Q118" s="7">
        <f>K118+N118</f>
        <v/>
      </c>
      <c r="R118" s="7">
        <f>L118+O118</f>
        <v/>
      </c>
      <c r="S118" s="9">
        <f>IFERROR(R118/Q118,0)</f>
        <v/>
      </c>
      <c r="T118" s="8">
        <f>IFERROR(Q118/SUMIF($A:$A,A118,$Q:$Q),0)</f>
        <v/>
      </c>
      <c r="U118" s="8">
        <f>IFERROR(Q118/F118,0)</f>
        <v/>
      </c>
      <c r="V118" s="7">
        <f>F118-R118</f>
        <v/>
      </c>
      <c r="W118" s="8">
        <f>IFERROR(V118/F118,0)</f>
        <v/>
      </c>
      <c r="X118" s="7">
        <f>IFERROR(VLOOKUP(A118,周报其他费用!$A:$B,2,FALSE)*I118,0)</f>
        <v/>
      </c>
      <c r="Y118" s="7" t="n">
        <v>869.492000000001</v>
      </c>
      <c r="Z118" s="8">
        <f>IFERROR(Y118/G118,0)</f>
        <v/>
      </c>
      <c r="AA118" s="7">
        <f>Y118-K118/1.06</f>
        <v/>
      </c>
      <c r="AB118" s="8">
        <f>IFERROR(AA118/G118,0)</f>
        <v/>
      </c>
      <c r="AC118" s="7">
        <f>Y118-(Q118+X118)/1.06</f>
        <v/>
      </c>
      <c r="AD118" s="8">
        <f>IFERROR(AC118/G118,0)</f>
        <v/>
      </c>
    </row>
    <row r="119" ht="14.25" customHeight="1" s="69">
      <c r="A119" s="5" t="inlineStr">
        <is>
          <t>6.22-6.28</t>
        </is>
      </c>
      <c r="B119" s="5" t="inlineStr">
        <is>
          <t>6.22-6.28</t>
        </is>
      </c>
      <c r="C119" s="119" t="n">
        <v>648598580775</v>
      </c>
      <c r="D119" s="5" t="inlineStr">
        <is>
          <t>15包</t>
        </is>
      </c>
      <c r="E119" s="5" t="inlineStr">
        <is>
          <t>进口营多捞面15包Indomie方便面干拌面夜宵方便速食五连包85g*5</t>
        </is>
      </c>
      <c r="F119" s="7" t="n">
        <v>2908.07</v>
      </c>
      <c r="G119" s="7">
        <f>IFERROR(F119/1.13,0)</f>
        <v/>
      </c>
      <c r="H119" s="5" t="n">
        <v>79</v>
      </c>
      <c r="I119" s="8">
        <f>IFERROR(H119/SUMIF($A:$A,A119,$H:$H),0)</f>
        <v/>
      </c>
      <c r="J119" s="9">
        <f>IFERROR(F119/H119,0)</f>
        <v/>
      </c>
      <c r="K119" s="7" t="n">
        <v>573.086563371552</v>
      </c>
      <c r="L119" s="7" t="n">
        <v>2270.85470715835</v>
      </c>
      <c r="M119" s="9">
        <f>IFERROR(L119/K119,0)</f>
        <v/>
      </c>
      <c r="N119" s="7" t="n">
        <v>46.559569259374</v>
      </c>
      <c r="O119" s="7" t="n">
        <v>101.406671831422</v>
      </c>
      <c r="P119" s="9">
        <f>IFERROR(O119/N119,0)</f>
        <v/>
      </c>
      <c r="Q119" s="7">
        <f>K119+N119</f>
        <v/>
      </c>
      <c r="R119" s="7">
        <f>L119+O119</f>
        <v/>
      </c>
      <c r="S119" s="9">
        <f>IFERROR(R119/Q119,0)</f>
        <v/>
      </c>
      <c r="T119" s="8">
        <f>IFERROR(Q119/SUMIF($A:$A,A119,$Q:$Q),0)</f>
        <v/>
      </c>
      <c r="U119" s="8">
        <f>IFERROR(Q119/F119,0)</f>
        <v/>
      </c>
      <c r="V119" s="7">
        <f>F119-R119</f>
        <v/>
      </c>
      <c r="W119" s="8">
        <f>IFERROR(V119/F119,0)</f>
        <v/>
      </c>
      <c r="X119" s="7">
        <f>IFERROR(VLOOKUP(A119,周报其他费用!$A:$B,2,FALSE)*I119,0)</f>
        <v/>
      </c>
      <c r="Y119" s="7" t="n">
        <v>516.707</v>
      </c>
      <c r="Z119" s="8">
        <f>IFERROR(Y119/G119,0)</f>
        <v/>
      </c>
      <c r="AA119" s="7">
        <f>Y119-K119/1.06</f>
        <v/>
      </c>
      <c r="AB119" s="8">
        <f>IFERROR(AA119/G119,0)</f>
        <v/>
      </c>
      <c r="AC119" s="7">
        <f>Y119-(Q119+X119)/1.06</f>
        <v/>
      </c>
      <c r="AD119" s="8">
        <f>IFERROR(AC119/G119,0)</f>
        <v/>
      </c>
    </row>
    <row r="120" ht="14.25" customHeight="1" s="69">
      <c r="A120" s="5" t="inlineStr">
        <is>
          <t>6.22-6.28</t>
        </is>
      </c>
      <c r="B120" s="5" t="inlineStr">
        <is>
          <t>6.22-6.28</t>
        </is>
      </c>
      <c r="C120" s="119" t="n">
        <v>649014937782</v>
      </c>
      <c r="D120" s="5" t="inlineStr">
        <is>
          <t>24包</t>
        </is>
      </c>
      <c r="E120" s="5" t="inlineStr">
        <is>
          <t>印尼营多捞面干拌面一整箱24袋装批发泡面宿舍速食方便面火鸡面</t>
        </is>
      </c>
      <c r="F120" s="7" t="n">
        <v>3690.03</v>
      </c>
      <c r="G120" s="7">
        <f>IFERROR(F120/1.13,0)</f>
        <v/>
      </c>
      <c r="H120" s="5" t="n">
        <v>65</v>
      </c>
      <c r="I120" s="8">
        <f>IFERROR(H120/SUMIF($A:$A,A120,$H:$H),0)</f>
        <v/>
      </c>
      <c r="J120" s="9">
        <f>IFERROR(F120/H120,0)</f>
        <v/>
      </c>
      <c r="K120" s="7" t="n">
        <v>870.93261543229</v>
      </c>
      <c r="L120" s="7" t="n">
        <v>3114.97121475054</v>
      </c>
      <c r="M120" s="9">
        <f>IFERROR(L120/K120,0)</f>
        <v/>
      </c>
      <c r="N120" s="7" t="n">
        <v>38.3085063526495</v>
      </c>
      <c r="O120" s="7" t="n">
        <v>83.4358692283855</v>
      </c>
      <c r="P120" s="9">
        <f>IFERROR(O120/N120,0)</f>
        <v/>
      </c>
      <c r="Q120" s="7">
        <f>K120+N120</f>
        <v/>
      </c>
      <c r="R120" s="7">
        <f>L120+O120</f>
        <v/>
      </c>
      <c r="S120" s="9">
        <f>IFERROR(R120/Q120,0)</f>
        <v/>
      </c>
      <c r="T120" s="8">
        <f>IFERROR(Q120/SUMIF($A:$A,A120,$Q:$Q),0)</f>
        <v/>
      </c>
      <c r="U120" s="8">
        <f>IFERROR(Q120/F120,0)</f>
        <v/>
      </c>
      <c r="V120" s="7">
        <f>F120-R120</f>
        <v/>
      </c>
      <c r="W120" s="8">
        <f>IFERROR(V120/F120,0)</f>
        <v/>
      </c>
      <c r="X120" s="7">
        <f>IFERROR(VLOOKUP(A120,周报其他费用!$A:$B,2,FALSE)*I120,0)</f>
        <v/>
      </c>
      <c r="Y120" s="7" t="n">
        <v>743.049000000001</v>
      </c>
      <c r="Z120" s="8">
        <f>IFERROR(Y120/G120,0)</f>
        <v/>
      </c>
      <c r="AA120" s="7">
        <f>Y120-K120/1.06</f>
        <v/>
      </c>
      <c r="AB120" s="8">
        <f>IFERROR(AA120/G120,0)</f>
        <v/>
      </c>
      <c r="AC120" s="7">
        <f>Y120-(Q120+X120)/1.06</f>
        <v/>
      </c>
      <c r="AD120" s="8">
        <f>IFERROR(AC120/G120,0)</f>
        <v/>
      </c>
    </row>
    <row r="121" ht="14.25" customHeight="1" s="69">
      <c r="A121" s="5" t="inlineStr">
        <is>
          <t>6.22-6.28</t>
        </is>
      </c>
      <c r="B121" s="5" t="inlineStr">
        <is>
          <t>6.22-6.28</t>
        </is>
      </c>
      <c r="C121" s="119" t="n">
        <v>1057479227624</v>
      </c>
      <c r="D121" s="5" t="inlineStr">
        <is>
          <t>巴东</t>
        </is>
      </c>
      <c r="E121" s="5" t="inlineStr">
        <is>
          <t>【新口味】印尼进口营多捞面巴东炖牛肉味泡面方便面宿舍速食宵夜</t>
        </is>
      </c>
      <c r="F121" s="7" t="n">
        <v>831.339999999999</v>
      </c>
      <c r="G121" s="7">
        <f>IFERROR(F121/1.13,0)</f>
        <v/>
      </c>
      <c r="H121" s="5" t="n">
        <v>45</v>
      </c>
      <c r="I121" s="8">
        <f>IFERROR(H121/SUMIF($A:$A,A121,$H:$H),0)</f>
        <v/>
      </c>
      <c r="J121" s="9">
        <f>IFERROR(F121/H121,0)</f>
        <v/>
      </c>
      <c r="K121" s="7" t="n">
        <v>243.604118376201</v>
      </c>
      <c r="L121" s="7" t="n">
        <v>1033.65622559653</v>
      </c>
      <c r="M121" s="9">
        <f>IFERROR(L121/K121,0)</f>
        <v/>
      </c>
      <c r="N121" s="7" t="n">
        <v>26.5212736287574</v>
      </c>
      <c r="O121" s="7" t="n">
        <v>57.76329408119</v>
      </c>
      <c r="P121" s="9">
        <f>IFERROR(O121/N121,0)</f>
        <v/>
      </c>
      <c r="Q121" s="7">
        <f>K121+N121</f>
        <v/>
      </c>
      <c r="R121" s="7">
        <f>L121+O121</f>
        <v/>
      </c>
      <c r="S121" s="9">
        <f>IFERROR(R121/Q121,0)</f>
        <v/>
      </c>
      <c r="T121" s="8">
        <f>IFERROR(Q121/SUMIF($A:$A,A121,$Q:$Q),0)</f>
        <v/>
      </c>
      <c r="U121" s="8">
        <f>IFERROR(Q121/F121,0)</f>
        <v/>
      </c>
      <c r="V121" s="7">
        <f>F121-R121</f>
        <v/>
      </c>
      <c r="W121" s="8">
        <f>IFERROR(V121/F121,0)</f>
        <v/>
      </c>
      <c r="X121" s="7">
        <f>IFERROR(VLOOKUP(A121,周报其他费用!$A:$B,2,FALSE)*I121,0)</f>
        <v/>
      </c>
      <c r="Y121" s="7" t="n">
        <v>97.11</v>
      </c>
      <c r="Z121" s="8">
        <f>IFERROR(Y121/G121,0)</f>
        <v/>
      </c>
      <c r="AA121" s="7">
        <f>Y121-K121/1.06</f>
        <v/>
      </c>
      <c r="AB121" s="8">
        <f>IFERROR(AA121/G121,0)</f>
        <v/>
      </c>
      <c r="AC121" s="7">
        <f>Y121-(Q121+X121)/1.06</f>
        <v/>
      </c>
      <c r="AD121" s="8">
        <f>IFERROR(AC121/G121,0)</f>
        <v/>
      </c>
    </row>
    <row r="122" ht="14.25" customHeight="1" s="69">
      <c r="A122" s="5" t="inlineStr">
        <is>
          <t>6.22-6.28</t>
        </is>
      </c>
      <c r="B122" s="5" t="inlineStr">
        <is>
          <t>6.22-6.28</t>
        </is>
      </c>
      <c r="C122" s="119" t="n">
        <v>1058280415678</v>
      </c>
      <c r="D122" s="5" t="inlineStr">
        <is>
          <t>大大</t>
        </is>
      </c>
      <c r="E122" s="5" t="inlineStr">
        <is>
          <t>印尼进口大大包营多原味捞面5包干拌面速食超大包方便面速食宵夜</t>
        </is>
      </c>
      <c r="F122" s="7" t="n">
        <v>1207</v>
      </c>
      <c r="G122" s="7">
        <f>IFERROR(F122/1.13,0)</f>
        <v/>
      </c>
      <c r="H122" s="5" t="n">
        <v>44</v>
      </c>
      <c r="I122" s="8">
        <f>IFERROR(H122/SUMIF($A:$A,A122,$H:$H),0)</f>
        <v/>
      </c>
      <c r="J122" s="9">
        <f>IFERROR(F122/H122,0)</f>
        <v/>
      </c>
      <c r="K122" s="7" t="n">
        <v>130.676693523396</v>
      </c>
      <c r="L122" s="7" t="n">
        <v>1164.61097613883</v>
      </c>
      <c r="M122" s="9">
        <f>IFERROR(L122/K122,0)</f>
        <v/>
      </c>
      <c r="N122" s="7" t="n">
        <v>25.9319119925627</v>
      </c>
      <c r="O122" s="7" t="n">
        <v>56.4796653238302</v>
      </c>
      <c r="P122" s="9">
        <f>IFERROR(O122/N122,0)</f>
        <v/>
      </c>
      <c r="Q122" s="7">
        <f>K122+N122</f>
        <v/>
      </c>
      <c r="R122" s="7">
        <f>L122+O122</f>
        <v/>
      </c>
      <c r="S122" s="9">
        <f>IFERROR(R122/Q122,0)</f>
        <v/>
      </c>
      <c r="T122" s="8">
        <f>IFERROR(Q122/SUMIF($A:$A,A122,$Q:$Q),0)</f>
        <v/>
      </c>
      <c r="U122" s="8">
        <f>IFERROR(Q122/F122,0)</f>
        <v/>
      </c>
      <c r="V122" s="7">
        <f>F122-R122</f>
        <v/>
      </c>
      <c r="W122" s="8">
        <f>IFERROR(V122/F122,0)</f>
        <v/>
      </c>
      <c r="X122" s="7">
        <f>IFERROR(VLOOKUP(A122,周报其他费用!$A:$B,2,FALSE)*I122,0)</f>
        <v/>
      </c>
      <c r="Y122" s="7" t="n">
        <v>253.564</v>
      </c>
      <c r="Z122" s="8">
        <f>IFERROR(Y122/G122,0)</f>
        <v/>
      </c>
      <c r="AA122" s="7">
        <f>Y122-K122/1.06</f>
        <v/>
      </c>
      <c r="AB122" s="8">
        <f>IFERROR(AA122/G122,0)</f>
        <v/>
      </c>
      <c r="AC122" s="7">
        <f>Y122-(Q122+X122)/1.06</f>
        <v/>
      </c>
      <c r="AD122" s="8">
        <f>IFERROR(AC122/G122,0)</f>
        <v/>
      </c>
    </row>
    <row r="123" ht="14.25" customHeight="1" s="69">
      <c r="A123" s="5" t="inlineStr">
        <is>
          <t>6.22-6.28</t>
        </is>
      </c>
      <c r="B123" s="5" t="inlineStr">
        <is>
          <t>6.22-6.28</t>
        </is>
      </c>
      <c r="C123" s="119" t="n">
        <v>648681860568</v>
      </c>
      <c r="D123" s="5" t="inlineStr">
        <is>
          <t>杯面次链接</t>
        </is>
      </c>
      <c r="E123" s="5" t="inlineStr">
        <is>
          <t>营多捞面杯装方便面泡面速食干拌面原味整箱批发印尼进口桶装拌面</t>
        </is>
      </c>
      <c r="F123" s="7" t="n">
        <v>1171.64</v>
      </c>
      <c r="G123" s="7">
        <f>IFERROR(F123/1.13,0)</f>
        <v/>
      </c>
      <c r="H123" s="5" t="n">
        <v>40</v>
      </c>
      <c r="I123" s="8">
        <f>IFERROR(H123/SUMIF($A:$A,A123,$H:$H),0)</f>
        <v/>
      </c>
      <c r="J123" s="9">
        <f>IFERROR(F123/H123,0)</f>
        <v/>
      </c>
      <c r="K123" s="7" t="n">
        <v>167.796994112178</v>
      </c>
      <c r="L123" s="7" t="n">
        <v>767.559978308026</v>
      </c>
      <c r="M123" s="9">
        <f>IFERROR(L123/K123,0)</f>
        <v/>
      </c>
      <c r="N123" s="7" t="n">
        <v>23.5744654477843</v>
      </c>
      <c r="O123" s="7" t="n">
        <v>51.3451502943911</v>
      </c>
      <c r="P123" s="9">
        <f>IFERROR(O123/N123,0)</f>
        <v/>
      </c>
      <c r="Q123" s="7">
        <f>K123+N123</f>
        <v/>
      </c>
      <c r="R123" s="7">
        <f>L123+O123</f>
        <v/>
      </c>
      <c r="S123" s="9">
        <f>IFERROR(R123/Q123,0)</f>
        <v/>
      </c>
      <c r="T123" s="8">
        <f>IFERROR(Q123/SUMIF($A:$A,A123,$Q:$Q),0)</f>
        <v/>
      </c>
      <c r="U123" s="8">
        <f>IFERROR(Q123/F123,0)</f>
        <v/>
      </c>
      <c r="V123" s="7">
        <f>F123-R123</f>
        <v/>
      </c>
      <c r="W123" s="8">
        <f>IFERROR(V123/F123,0)</f>
        <v/>
      </c>
      <c r="X123" s="7">
        <f>IFERROR(VLOOKUP(A123,周报其他费用!$A:$B,2,FALSE)*I123,0)</f>
        <v/>
      </c>
      <c r="Y123" s="7" t="n">
        <v>135.955</v>
      </c>
      <c r="Z123" s="8">
        <f>IFERROR(Y123/G123,0)</f>
        <v/>
      </c>
      <c r="AA123" s="7">
        <f>Y123-K123/1.06</f>
        <v/>
      </c>
      <c r="AB123" s="8">
        <f>IFERROR(AA123/G123,0)</f>
        <v/>
      </c>
      <c r="AC123" s="7">
        <f>Y123-(Q123+X123)/1.06</f>
        <v/>
      </c>
      <c r="AD123" s="8">
        <f>IFERROR(AC123/G123,0)</f>
        <v/>
      </c>
    </row>
    <row r="124" ht="14.25" customHeight="1" s="69">
      <c r="A124" s="5" t="inlineStr">
        <is>
          <t>6.22-6.28</t>
        </is>
      </c>
      <c r="B124" s="5" t="inlineStr">
        <is>
          <t>6.22-6.28</t>
        </is>
      </c>
      <c r="C124" s="119" t="n">
        <v>1059563993918</v>
      </c>
      <c r="D124" s="5" t="inlineStr">
        <is>
          <t>巴东</t>
        </is>
      </c>
      <c r="E124" s="5" t="inlineStr">
        <is>
          <t>营多进口新口味巴东炖牛肉味捞面印尼料理方便面泡面捞面夜宵速食</t>
        </is>
      </c>
      <c r="F124" s="7" t="n">
        <v>564.61</v>
      </c>
      <c r="G124" s="7">
        <f>IFERROR(F124/1.13,0)</f>
        <v/>
      </c>
      <c r="H124" s="5" t="n">
        <v>39</v>
      </c>
      <c r="I124" s="8">
        <f>IFERROR(H124/SUMIF($A:$A,A124,$H:$H),0)</f>
        <v/>
      </c>
      <c r="J124" s="9">
        <f>IFERROR(F124/H124,0)</f>
        <v/>
      </c>
      <c r="K124" s="7" t="n">
        <v>125.749569259374</v>
      </c>
      <c r="L124" s="7" t="n">
        <v>528.704728850326</v>
      </c>
      <c r="M124" s="9">
        <f>IFERROR(L124/K124,0)</f>
        <v/>
      </c>
      <c r="N124" s="7" t="n">
        <v>22.9851038115897</v>
      </c>
      <c r="O124" s="7" t="n">
        <v>50.0615215370313</v>
      </c>
      <c r="P124" s="9">
        <f>IFERROR(O124/N124,0)</f>
        <v/>
      </c>
      <c r="Q124" s="7">
        <f>K124+N124</f>
        <v/>
      </c>
      <c r="R124" s="7">
        <f>L124+O124</f>
        <v/>
      </c>
      <c r="S124" s="9">
        <f>IFERROR(R124/Q124,0)</f>
        <v/>
      </c>
      <c r="T124" s="8">
        <f>IFERROR(Q124/SUMIF($A:$A,A124,$Q:$Q),0)</f>
        <v/>
      </c>
      <c r="U124" s="8">
        <f>IFERROR(Q124/F124,0)</f>
        <v/>
      </c>
      <c r="V124" s="7">
        <f>F124-R124</f>
        <v/>
      </c>
      <c r="W124" s="8">
        <f>IFERROR(V124/F124,0)</f>
        <v/>
      </c>
      <c r="X124" s="7">
        <f>IFERROR(VLOOKUP(A124,周报其他费用!$A:$B,2,FALSE)*I124,0)</f>
        <v/>
      </c>
      <c r="Y124" s="7" t="n">
        <v>56.699</v>
      </c>
      <c r="Z124" s="8">
        <f>IFERROR(Y124/G124,0)</f>
        <v/>
      </c>
      <c r="AA124" s="7">
        <f>Y124-K124/1.06</f>
        <v/>
      </c>
      <c r="AB124" s="8">
        <f>IFERROR(AA124/G124,0)</f>
        <v/>
      </c>
      <c r="AC124" s="7">
        <f>Y124-(Q124+X124)/1.06</f>
        <v/>
      </c>
      <c r="AD124" s="8">
        <f>IFERROR(AC124/G124,0)</f>
        <v/>
      </c>
    </row>
    <row r="125" ht="14.25" customHeight="1" s="69">
      <c r="A125" s="5" t="inlineStr">
        <is>
          <t>6.22-6.28</t>
        </is>
      </c>
      <c r="B125" s="5" t="inlineStr">
        <is>
          <t>6.22-6.28</t>
        </is>
      </c>
      <c r="C125" s="119" t="n">
        <v>929504658691</v>
      </c>
      <c r="D125" s="5" t="inlineStr">
        <is>
          <t>日韩袋面</t>
        </is>
      </c>
      <c r="E125" s="5" t="inlineStr">
        <is>
          <t>营多捞面日式鸡肉汤面原味辛辣味袋装泡面方便面速食宿舍夜宵食品</t>
        </is>
      </c>
      <c r="F125" s="7" t="n">
        <v>681.88</v>
      </c>
      <c r="G125" s="7">
        <f>IFERROR(F125/1.13,0)</f>
        <v/>
      </c>
      <c r="H125" s="5" t="n">
        <v>31</v>
      </c>
      <c r="I125" s="8">
        <f>IFERROR(H125/SUMIF($A:$A,A125,$H:$H),0)</f>
        <v/>
      </c>
      <c r="J125" s="9">
        <f>IFERROR(F125/H125,0)</f>
        <v/>
      </c>
      <c r="K125" s="7" t="n">
        <v>394.660170436938</v>
      </c>
      <c r="L125" s="7" t="n">
        <v>761.75273318872</v>
      </c>
      <c r="M125" s="9">
        <f>IFERROR(L125/K125,0)</f>
        <v/>
      </c>
      <c r="N125" s="7" t="n">
        <v>18.2702107220328</v>
      </c>
      <c r="O125" s="7" t="n">
        <v>39.7924914781531</v>
      </c>
      <c r="P125" s="9">
        <f>IFERROR(O125/N125,0)</f>
        <v/>
      </c>
      <c r="Q125" s="7">
        <f>K125+N125</f>
        <v/>
      </c>
      <c r="R125" s="7">
        <f>L125+O125</f>
        <v/>
      </c>
      <c r="S125" s="9">
        <f>IFERROR(R125/Q125,0)</f>
        <v/>
      </c>
      <c r="T125" s="8">
        <f>IFERROR(Q125/SUMIF($A:$A,A125,$Q:$Q),0)</f>
        <v/>
      </c>
      <c r="U125" s="8">
        <f>IFERROR(Q125/F125,0)</f>
        <v/>
      </c>
      <c r="V125" s="7">
        <f>F125-R125</f>
        <v/>
      </c>
      <c r="W125" s="8">
        <f>IFERROR(V125/F125,0)</f>
        <v/>
      </c>
      <c r="X125" s="7">
        <f>IFERROR(VLOOKUP(A125,周报其他费用!$A:$B,2,FALSE)*I125,0)</f>
        <v/>
      </c>
      <c r="Y125" s="7" t="n">
        <v>96.63</v>
      </c>
      <c r="Z125" s="8">
        <f>IFERROR(Y125/G125,0)</f>
        <v/>
      </c>
      <c r="AA125" s="7">
        <f>Y125-K125/1.06</f>
        <v/>
      </c>
      <c r="AB125" s="8">
        <f>IFERROR(AA125/G125,0)</f>
        <v/>
      </c>
      <c r="AC125" s="7">
        <f>Y125-(Q125+X125)/1.06</f>
        <v/>
      </c>
      <c r="AD125" s="8">
        <f>IFERROR(AC125/G125,0)</f>
        <v/>
      </c>
    </row>
    <row r="126" ht="14.25" customHeight="1" s="69">
      <c r="A126" s="5" t="inlineStr">
        <is>
          <t>6.22-6.28</t>
        </is>
      </c>
      <c r="B126" s="5" t="inlineStr">
        <is>
          <t>6.22-6.28</t>
        </is>
      </c>
      <c r="C126" s="119" t="n">
        <v>766165464414</v>
      </c>
      <c r="D126" s="5" t="inlineStr">
        <is>
          <t>12包</t>
        </is>
      </c>
      <c r="E126" s="5" t="inlineStr">
        <is>
          <t>营多印尼进口营多捞面方便面火鸡面干拌面12包宿舍速食泡面夜宵</t>
        </is>
      </c>
      <c r="F126" s="7" t="n">
        <v>938.61</v>
      </c>
      <c r="G126" s="7">
        <f>IFERROR(F126/1.13,0)</f>
        <v/>
      </c>
      <c r="H126" s="5" t="n">
        <v>31</v>
      </c>
      <c r="I126" s="8">
        <f>IFERROR(H126/SUMIF($A:$A,A126,$H:$H),0)</f>
        <v/>
      </c>
      <c r="J126" s="9">
        <f>IFERROR(F126/H126,0)</f>
        <v/>
      </c>
      <c r="K126" s="7" t="n">
        <v>59.6201704369383</v>
      </c>
      <c r="L126" s="7" t="n">
        <v>116.61273318872</v>
      </c>
      <c r="M126" s="9">
        <f>IFERROR(L126/K126,0)</f>
        <v/>
      </c>
      <c r="N126" s="7" t="n">
        <v>18.2702107220328</v>
      </c>
      <c r="O126" s="7" t="n">
        <v>39.7924914781531</v>
      </c>
      <c r="P126" s="9">
        <f>IFERROR(O126/N126,0)</f>
        <v/>
      </c>
      <c r="Q126" s="7">
        <f>K126+N126</f>
        <v/>
      </c>
      <c r="R126" s="7">
        <f>L126+O126</f>
        <v/>
      </c>
      <c r="S126" s="9">
        <f>IFERROR(R126/Q126,0)</f>
        <v/>
      </c>
      <c r="T126" s="8">
        <f>IFERROR(Q126/SUMIF($A:$A,A126,$Q:$Q),0)</f>
        <v/>
      </c>
      <c r="U126" s="8">
        <f>IFERROR(Q126/F126,0)</f>
        <v/>
      </c>
      <c r="V126" s="7">
        <f>F126-R126</f>
        <v/>
      </c>
      <c r="W126" s="8">
        <f>IFERROR(V126/F126,0)</f>
        <v/>
      </c>
      <c r="X126" s="7">
        <f>IFERROR(VLOOKUP(A126,周报其他费用!$A:$B,2,FALSE)*I126,0)</f>
        <v/>
      </c>
      <c r="Y126" s="7" t="n">
        <v>147.233</v>
      </c>
      <c r="Z126" s="8">
        <f>IFERROR(Y126/G126,0)</f>
        <v/>
      </c>
      <c r="AA126" s="7">
        <f>Y126-K126/1.06</f>
        <v/>
      </c>
      <c r="AB126" s="8">
        <f>IFERROR(AA126/G126,0)</f>
        <v/>
      </c>
      <c r="AC126" s="7">
        <f>Y126-(Q126+X126)/1.06</f>
        <v/>
      </c>
      <c r="AD126" s="8">
        <f>IFERROR(AC126/G126,0)</f>
        <v/>
      </c>
    </row>
    <row r="127" ht="14.25" customHeight="1" s="69">
      <c r="A127" s="5" t="inlineStr">
        <is>
          <t>6.22-6.28</t>
        </is>
      </c>
      <c r="B127" s="5" t="inlineStr">
        <is>
          <t>6.22-6.28</t>
        </is>
      </c>
      <c r="C127" s="119" t="n">
        <v>1013887677295</v>
      </c>
      <c r="D127" s="5" t="inlineStr">
        <is>
          <t>混搭5杯</t>
        </is>
      </c>
      <c r="E127" s="5" t="inlineStr">
        <is>
          <t>进口营多原味杯面日式杯面韩式杯面泡面方便面汤面宿舍速食夜宵</t>
        </is>
      </c>
      <c r="F127" s="7" t="n">
        <v>711.4</v>
      </c>
      <c r="G127" s="7">
        <f>IFERROR(F127/1.13,0)</f>
        <v/>
      </c>
      <c r="H127" s="5" t="n">
        <v>25</v>
      </c>
      <c r="I127" s="8">
        <f>IFERROR(H127/SUMIF($A:$A,A127,$H:$H),0)</f>
        <v/>
      </c>
      <c r="J127" s="9">
        <f>IFERROR(F127/H127,0)</f>
        <v/>
      </c>
      <c r="K127" s="7" t="n">
        <v>194.085621320112</v>
      </c>
      <c r="L127" s="7" t="n">
        <v>585.711236442516</v>
      </c>
      <c r="M127" s="9">
        <f>IFERROR(L127/K127,0)</f>
        <v/>
      </c>
      <c r="N127" s="7" t="n">
        <v>14.7340409048652</v>
      </c>
      <c r="O127" s="7" t="n">
        <v>32.0907189339944</v>
      </c>
      <c r="P127" s="9">
        <f>IFERROR(O127/N127,0)</f>
        <v/>
      </c>
      <c r="Q127" s="7">
        <f>K127+N127</f>
        <v/>
      </c>
      <c r="R127" s="7">
        <f>L127+O127</f>
        <v/>
      </c>
      <c r="S127" s="9">
        <f>IFERROR(R127/Q127,0)</f>
        <v/>
      </c>
      <c r="T127" s="8">
        <f>IFERROR(Q127/SUMIF($A:$A,A127,$Q:$Q),0)</f>
        <v/>
      </c>
      <c r="U127" s="8">
        <f>IFERROR(Q127/F127,0)</f>
        <v/>
      </c>
      <c r="V127" s="7">
        <f>F127-R127</f>
        <v/>
      </c>
      <c r="W127" s="8">
        <f>IFERROR(V127/F127,0)</f>
        <v/>
      </c>
      <c r="X127" s="7">
        <f>IFERROR(VLOOKUP(A127,周报其他费用!$A:$B,2,FALSE)*I127,0)</f>
        <v/>
      </c>
      <c r="Y127" s="7" t="n">
        <v>76.851</v>
      </c>
      <c r="Z127" s="8">
        <f>IFERROR(Y127/G127,0)</f>
        <v/>
      </c>
      <c r="AA127" s="7">
        <f>Y127-K127/1.06</f>
        <v/>
      </c>
      <c r="AB127" s="8">
        <f>IFERROR(AA127/G127,0)</f>
        <v/>
      </c>
      <c r="AC127" s="7">
        <f>Y127-(Q127+X127)/1.06</f>
        <v/>
      </c>
      <c r="AD127" s="8">
        <f>IFERROR(AC127/G127,0)</f>
        <v/>
      </c>
    </row>
    <row r="128" ht="14.25" customHeight="1" s="69">
      <c r="A128" s="5" t="inlineStr">
        <is>
          <t>6.22-6.28</t>
        </is>
      </c>
      <c r="B128" s="5" t="inlineStr">
        <is>
          <t>6.22-6.28</t>
        </is>
      </c>
      <c r="C128" s="119" t="n">
        <v>735014804839</v>
      </c>
      <c r="D128" s="5" t="inlineStr">
        <is>
          <t>24/30包</t>
        </is>
      </c>
      <c r="E128" s="5" t="inlineStr">
        <is>
          <t>进口营多捞面多口味Indomie网红方便面干拌面泡面30包整箱批发面</t>
        </is>
      </c>
      <c r="F128" s="7" t="n">
        <v>1369.45</v>
      </c>
      <c r="G128" s="7">
        <f>IFERROR(F128/1.13,0)</f>
        <v/>
      </c>
      <c r="H128" s="5" t="n">
        <v>20</v>
      </c>
      <c r="I128" s="8">
        <f>IFERROR(H128/SUMIF($A:$A,A128,$H:$H),0)</f>
        <v/>
      </c>
      <c r="J128" s="9">
        <f>IFERROR(F128/H128,0)</f>
        <v/>
      </c>
      <c r="K128" s="7" t="n">
        <v>266.028497056089</v>
      </c>
      <c r="L128" s="7" t="n">
        <v>1146.19498915401</v>
      </c>
      <c r="M128" s="9">
        <f>IFERROR(L128/K128,0)</f>
        <v/>
      </c>
      <c r="N128" s="7" t="n">
        <v>11.7872327238922</v>
      </c>
      <c r="O128" s="7" t="n">
        <v>25.6725751471955</v>
      </c>
      <c r="P128" s="9">
        <f>IFERROR(O128/N128,0)</f>
        <v/>
      </c>
      <c r="Q128" s="7">
        <f>K128+N128</f>
        <v/>
      </c>
      <c r="R128" s="7">
        <f>L128+O128</f>
        <v/>
      </c>
      <c r="S128" s="9">
        <f>IFERROR(R128/Q128,0)</f>
        <v/>
      </c>
      <c r="T128" s="8">
        <f>IFERROR(Q128/SUMIF($A:$A,A128,$Q:$Q),0)</f>
        <v/>
      </c>
      <c r="U128" s="8">
        <f>IFERROR(Q128/F128,0)</f>
        <v/>
      </c>
      <c r="V128" s="7">
        <f>F128-R128</f>
        <v/>
      </c>
      <c r="W128" s="8">
        <f>IFERROR(V128/F128,0)</f>
        <v/>
      </c>
      <c r="X128" s="7">
        <f>IFERROR(VLOOKUP(A128,周报其他费用!$A:$B,2,FALSE)*I128,0)</f>
        <v/>
      </c>
      <c r="Y128" s="7" t="n">
        <v>269.461</v>
      </c>
      <c r="Z128" s="8">
        <f>IFERROR(Y128/G128,0)</f>
        <v/>
      </c>
      <c r="AA128" s="7">
        <f>Y128-K128/1.06</f>
        <v/>
      </c>
      <c r="AB128" s="8">
        <f>IFERROR(AA128/G128,0)</f>
        <v/>
      </c>
      <c r="AC128" s="7">
        <f>Y128-(Q128+X128)/1.06</f>
        <v/>
      </c>
      <c r="AD128" s="8">
        <f>IFERROR(AC128/G128,0)</f>
        <v/>
      </c>
    </row>
    <row r="129" ht="14.25" customHeight="1" s="69">
      <c r="A129" s="5" t="inlineStr">
        <is>
          <t>6.22-6.28</t>
        </is>
      </c>
      <c r="B129" s="5" t="inlineStr">
        <is>
          <t>6.22-6.28</t>
        </is>
      </c>
      <c r="C129" s="119" t="n">
        <v>1060999732877</v>
      </c>
      <c r="D129" s="5" t="inlineStr">
        <is>
          <t>大大</t>
        </is>
      </c>
      <c r="E129" s="5" t="inlineStr">
        <is>
          <t>indomie印尼进口营多原味大大包129g捞面方便面速食食品宵夜小吃</t>
        </is>
      </c>
      <c r="F129" s="7" t="n">
        <v>321.95</v>
      </c>
      <c r="G129" s="7">
        <f>IFERROR(F129/1.13,0)</f>
        <v/>
      </c>
      <c r="H129" s="5" t="n">
        <v>12</v>
      </c>
      <c r="I129" s="8">
        <f>IFERROR(H129/SUMIF($A:$A,A129,$H:$H),0)</f>
        <v/>
      </c>
      <c r="J129" s="9">
        <f>IFERROR(F129/H129,0)</f>
        <v/>
      </c>
      <c r="K129" s="7" t="n">
        <v>19.6490982336535</v>
      </c>
      <c r="L129" s="7" t="n">
        <v>181.992993492408</v>
      </c>
      <c r="M129" s="9">
        <f>IFERROR(L129/K129,0)</f>
        <v/>
      </c>
      <c r="N129" s="7" t="n">
        <v>7.0723396343353</v>
      </c>
      <c r="O129" s="7" t="n">
        <v>15.4035450883173</v>
      </c>
      <c r="P129" s="9">
        <f>IFERROR(O129/N129,0)</f>
        <v/>
      </c>
      <c r="Q129" s="7">
        <f>K129+N129</f>
        <v/>
      </c>
      <c r="R129" s="7">
        <f>L129+O129</f>
        <v/>
      </c>
      <c r="S129" s="9">
        <f>IFERROR(R129/Q129,0)</f>
        <v/>
      </c>
      <c r="T129" s="8">
        <f>IFERROR(Q129/SUMIF($A:$A,A129,$Q:$Q),0)</f>
        <v/>
      </c>
      <c r="U129" s="8">
        <f>IFERROR(Q129/F129,0)</f>
        <v/>
      </c>
      <c r="V129" s="7">
        <f>F129-R129</f>
        <v/>
      </c>
      <c r="W129" s="8">
        <f>IFERROR(V129/F129,0)</f>
        <v/>
      </c>
      <c r="X129" s="7">
        <f>IFERROR(VLOOKUP(A129,周报其他费用!$A:$B,2,FALSE)*I129,0)</f>
        <v/>
      </c>
      <c r="Y129" s="7" t="n">
        <v>63.558</v>
      </c>
      <c r="Z129" s="8">
        <f>IFERROR(Y129/G129,0)</f>
        <v/>
      </c>
      <c r="AA129" s="7">
        <f>Y129-K129/1.06</f>
        <v/>
      </c>
      <c r="AB129" s="8">
        <f>IFERROR(AA129/G129,0)</f>
        <v/>
      </c>
      <c r="AC129" s="7">
        <f>Y129-(Q129+X129)/1.06</f>
        <v/>
      </c>
      <c r="AD129" s="8">
        <f>IFERROR(AC129/G129,0)</f>
        <v/>
      </c>
    </row>
    <row r="130" ht="14.25" customHeight="1" s="69">
      <c r="A130" s="5" t="inlineStr">
        <is>
          <t>6.22-6.28</t>
        </is>
      </c>
      <c r="B130" s="5" t="inlineStr">
        <is>
          <t>6.22-6.28</t>
        </is>
      </c>
      <c r="C130" s="119" t="n">
        <v>648604228786</v>
      </c>
      <c r="D130" s="5" t="inlineStr">
        <is>
          <t>日韩杯面</t>
        </is>
      </c>
      <c r="E130" s="5" t="inlineStr">
        <is>
          <t>INDOMIE营多日式杯面原味经典泡面整箱批发速食宿舍旅行宵夜宿舍</t>
        </is>
      </c>
      <c r="F130" s="7" t="n">
        <v>308.47</v>
      </c>
      <c r="G130" s="7">
        <f>IFERROR(F130/1.13,0)</f>
        <v/>
      </c>
      <c r="H130" s="5" t="n">
        <v>12</v>
      </c>
      <c r="I130" s="8">
        <f>IFERROR(H130/SUMIF($A:$A,A130,$H:$H),0)</f>
        <v/>
      </c>
      <c r="J130" s="9">
        <f>IFERROR(F130/H130,0)</f>
        <v/>
      </c>
      <c r="K130" s="7" t="n">
        <v>21.7990982336535</v>
      </c>
      <c r="L130" s="7" t="n">
        <v>65.3629934924079</v>
      </c>
      <c r="M130" s="9">
        <f>IFERROR(L130/K130,0)</f>
        <v/>
      </c>
      <c r="N130" s="7" t="n">
        <v>7.0723396343353</v>
      </c>
      <c r="O130" s="7" t="n">
        <v>15.4035450883173</v>
      </c>
      <c r="P130" s="9">
        <f>IFERROR(O130/N130,0)</f>
        <v/>
      </c>
      <c r="Q130" s="7">
        <f>K130+N130</f>
        <v/>
      </c>
      <c r="R130" s="7">
        <f>L130+O130</f>
        <v/>
      </c>
      <c r="S130" s="9">
        <f>IFERROR(R130/Q130,0)</f>
        <v/>
      </c>
      <c r="T130" s="8">
        <f>IFERROR(Q130/SUMIF($A:$A,A130,$Q:$Q),0)</f>
        <v/>
      </c>
      <c r="U130" s="8">
        <f>IFERROR(Q130/F130,0)</f>
        <v/>
      </c>
      <c r="V130" s="7">
        <f>F130-R130</f>
        <v/>
      </c>
      <c r="W130" s="8">
        <f>IFERROR(V130/F130,0)</f>
        <v/>
      </c>
      <c r="X130" s="7">
        <f>IFERROR(VLOOKUP(A130,周报其他费用!$A:$B,2,FALSE)*I130,0)</f>
        <v/>
      </c>
      <c r="Y130" s="7" t="n">
        <v>28.588</v>
      </c>
      <c r="Z130" s="8">
        <f>IFERROR(Y130/G130,0)</f>
        <v/>
      </c>
      <c r="AA130" s="7">
        <f>Y130-K130/1.06</f>
        <v/>
      </c>
      <c r="AB130" s="8">
        <f>IFERROR(AA130/G130,0)</f>
        <v/>
      </c>
      <c r="AC130" s="7">
        <f>Y130-(Q130+X130)/1.06</f>
        <v/>
      </c>
      <c r="AD130" s="8">
        <f>IFERROR(AC130/G130,0)</f>
        <v/>
      </c>
    </row>
    <row r="131" ht="14.25" customHeight="1" s="69">
      <c r="A131" s="5" t="inlineStr">
        <is>
          <t>6.22-6.28</t>
        </is>
      </c>
      <c r="B131" s="5" t="inlineStr">
        <is>
          <t>6.22-6.28</t>
        </is>
      </c>
      <c r="C131" s="119" t="n">
        <v>971242260371</v>
      </c>
      <c r="D131" s="5" t="inlineStr">
        <is>
          <t>韩式袋面</t>
        </is>
      </c>
      <c r="E131" s="5" t="inlineStr">
        <is>
          <t>新品营多捞面韩式辣蘑菇汤面泡面方便面速食干拌面宿舍宵夜旅行</t>
        </is>
      </c>
      <c r="F131" s="7" t="n">
        <v>260.63</v>
      </c>
      <c r="G131" s="7">
        <f>IFERROR(F131/1.13,0)</f>
        <v/>
      </c>
      <c r="H131" s="5" t="n">
        <v>12</v>
      </c>
      <c r="I131" s="8">
        <f>IFERROR(H131/SUMIF($A:$A,A131,$H:$H),0)</f>
        <v/>
      </c>
      <c r="J131" s="9">
        <f>IFERROR(F131/H131,0)</f>
        <v/>
      </c>
      <c r="K131" s="7" t="n">
        <v>59.6590982336535</v>
      </c>
      <c r="L131" s="7" t="n">
        <v>332.512993492408</v>
      </c>
      <c r="M131" s="9">
        <f>IFERROR(L131/K131,0)</f>
        <v/>
      </c>
      <c r="N131" s="7" t="n">
        <v>7.0723396343353</v>
      </c>
      <c r="O131" s="7" t="n">
        <v>15.4035450883173</v>
      </c>
      <c r="P131" s="9">
        <f>IFERROR(O131/N131,0)</f>
        <v/>
      </c>
      <c r="Q131" s="7">
        <f>K131+N131</f>
        <v/>
      </c>
      <c r="R131" s="7">
        <f>L131+O131</f>
        <v/>
      </c>
      <c r="S131" s="9">
        <f>IFERROR(R131/Q131,0)</f>
        <v/>
      </c>
      <c r="T131" s="8">
        <f>IFERROR(Q131/SUMIF($A:$A,A131,$Q:$Q),0)</f>
        <v/>
      </c>
      <c r="U131" s="8">
        <f>IFERROR(Q131/F131,0)</f>
        <v/>
      </c>
      <c r="V131" s="7">
        <f>F131-R131</f>
        <v/>
      </c>
      <c r="W131" s="8">
        <f>IFERROR(V131/F131,0)</f>
        <v/>
      </c>
      <c r="X131" s="7">
        <f>IFERROR(VLOOKUP(A131,周报其他费用!$A:$B,2,FALSE)*I131,0)</f>
        <v/>
      </c>
      <c r="Y131" s="7" t="n">
        <v>32.922</v>
      </c>
      <c r="Z131" s="8">
        <f>IFERROR(Y131/G131,0)</f>
        <v/>
      </c>
      <c r="AA131" s="7">
        <f>Y131-K131/1.06</f>
        <v/>
      </c>
      <c r="AB131" s="8">
        <f>IFERROR(AA131/G131,0)</f>
        <v/>
      </c>
      <c r="AC131" s="7">
        <f>Y131-(Q131+X131)/1.06</f>
        <v/>
      </c>
      <c r="AD131" s="8">
        <f>IFERROR(AC131/G131,0)</f>
        <v/>
      </c>
    </row>
    <row r="132" ht="14.25" customHeight="1" s="69">
      <c r="A132" s="5" t="inlineStr">
        <is>
          <t>6.22-6.28</t>
        </is>
      </c>
      <c r="B132" s="5" t="inlineStr">
        <is>
          <t>6.22-6.28</t>
        </is>
      </c>
      <c r="C132" s="119" t="n">
        <v>969423151512</v>
      </c>
      <c r="D132" s="5" t="inlineStr">
        <is>
          <t>日韩混搭</t>
        </is>
      </c>
      <c r="E132" s="5" t="inlineStr">
        <is>
          <t>营多捞面甜辣炸鸡火鸡面辣蘑菇泡面方便面速食干拌面宿舍宵夜旅行</t>
        </is>
      </c>
      <c r="F132" s="7" t="n">
        <v>244.94</v>
      </c>
      <c r="G132" s="7">
        <f>IFERROR(F132/1.13,0)</f>
        <v/>
      </c>
      <c r="H132" s="5" t="n">
        <v>11</v>
      </c>
      <c r="I132" s="8">
        <f>IFERROR(H132/SUMIF($A:$A,A132,$H:$H),0)</f>
        <v/>
      </c>
      <c r="J132" s="9">
        <f>IFERROR(F132/H132,0)</f>
        <v/>
      </c>
      <c r="K132" s="7" t="n">
        <v>61.5716733808491</v>
      </c>
      <c r="L132" s="7" t="n">
        <v>303.757744034707</v>
      </c>
      <c r="M132" s="9">
        <f>IFERROR(L132/K132,0)</f>
        <v/>
      </c>
      <c r="N132" s="7" t="n">
        <v>6.48297799814069</v>
      </c>
      <c r="O132" s="7" t="n">
        <v>14.1199163309575</v>
      </c>
      <c r="P132" s="9">
        <f>IFERROR(O132/N132,0)</f>
        <v/>
      </c>
      <c r="Q132" s="7">
        <f>K132+N132</f>
        <v/>
      </c>
      <c r="R132" s="7">
        <f>L132+O132</f>
        <v/>
      </c>
      <c r="S132" s="9">
        <f>IFERROR(R132/Q132,0)</f>
        <v/>
      </c>
      <c r="T132" s="8">
        <f>IFERROR(Q132/SUMIF($A:$A,A132,$Q:$Q),0)</f>
        <v/>
      </c>
      <c r="U132" s="8">
        <f>IFERROR(Q132/F132,0)</f>
        <v/>
      </c>
      <c r="V132" s="7">
        <f>F132-R132</f>
        <v/>
      </c>
      <c r="W132" s="8">
        <f>IFERROR(V132/F132,0)</f>
        <v/>
      </c>
      <c r="X132" s="7">
        <f>IFERROR(VLOOKUP(A132,周报其他费用!$A:$B,2,FALSE)*I132,0)</f>
        <v/>
      </c>
      <c r="Y132" s="7" t="n">
        <v>29.933</v>
      </c>
      <c r="Z132" s="8">
        <f>IFERROR(Y132/G132,0)</f>
        <v/>
      </c>
      <c r="AA132" s="7">
        <f>Y132-K132/1.06</f>
        <v/>
      </c>
      <c r="AB132" s="8">
        <f>IFERROR(AA132/G132,0)</f>
        <v/>
      </c>
      <c r="AC132" s="7">
        <f>Y132-(Q132+X132)/1.06</f>
        <v/>
      </c>
      <c r="AD132" s="8">
        <f>IFERROR(AC132/G132,0)</f>
        <v/>
      </c>
    </row>
    <row r="133" ht="14.25" customHeight="1" s="69">
      <c r="A133" s="5" t="inlineStr">
        <is>
          <t>6.22-6.28</t>
        </is>
      </c>
      <c r="B133" s="5" t="inlineStr">
        <is>
          <t>6.22-6.28</t>
        </is>
      </c>
      <c r="C133" s="119" t="n">
        <v>744317232690</v>
      </c>
      <c r="D133" s="5" t="inlineStr">
        <is>
          <t>多规格</t>
        </is>
      </c>
      <c r="E133" s="5" t="inlineStr">
        <is>
          <t>营多捞面汤面清香牛肉味方便面泡面速食食品泡面拉面整箱旅行宿舍</t>
        </is>
      </c>
      <c r="F133" s="7" t="n">
        <v>232.09</v>
      </c>
      <c r="G133" s="7">
        <f>IFERROR(F133/1.13,0)</f>
        <v/>
      </c>
      <c r="H133" s="5" t="n">
        <v>10</v>
      </c>
      <c r="I133" s="8">
        <f>IFERROR(H133/SUMIF($A:$A,A133,$H:$H),0)</f>
        <v/>
      </c>
      <c r="J133" s="9">
        <f>IFERROR(F133/H133,0)</f>
        <v/>
      </c>
      <c r="K133" s="7" t="n">
        <v>20.8142485280446</v>
      </c>
      <c r="L133" s="7" t="n">
        <v>137.282494577007</v>
      </c>
      <c r="M133" s="9">
        <f>IFERROR(L133/K133,0)</f>
        <v/>
      </c>
      <c r="N133" s="7" t="n">
        <v>5.89361636194608</v>
      </c>
      <c r="O133" s="7" t="n">
        <v>12.8362875735978</v>
      </c>
      <c r="P133" s="9">
        <f>IFERROR(O133/N133,0)</f>
        <v/>
      </c>
      <c r="Q133" s="7">
        <f>K133+N133</f>
        <v/>
      </c>
      <c r="R133" s="7">
        <f>L133+O133</f>
        <v/>
      </c>
      <c r="S133" s="9">
        <f>IFERROR(R133/Q133,0)</f>
        <v/>
      </c>
      <c r="T133" s="8">
        <f>IFERROR(Q133/SUMIF($A:$A,A133,$Q:$Q),0)</f>
        <v/>
      </c>
      <c r="U133" s="8">
        <f>IFERROR(Q133/F133,0)</f>
        <v/>
      </c>
      <c r="V133" s="7">
        <f>F133-R133</f>
        <v/>
      </c>
      <c r="W133" s="8">
        <f>IFERROR(V133/F133,0)</f>
        <v/>
      </c>
      <c r="X133" s="7">
        <f>IFERROR(VLOOKUP(A133,周报其他费用!$A:$B,2,FALSE)*I133,0)</f>
        <v/>
      </c>
      <c r="Y133" s="7" t="n">
        <v>27.032</v>
      </c>
      <c r="Z133" s="8">
        <f>IFERROR(Y133/G133,0)</f>
        <v/>
      </c>
      <c r="AA133" s="7">
        <f>Y133-K133/1.06</f>
        <v/>
      </c>
      <c r="AB133" s="8">
        <f>IFERROR(AA133/G133,0)</f>
        <v/>
      </c>
      <c r="AC133" s="7">
        <f>Y133-(Q133+X133)/1.06</f>
        <v/>
      </c>
      <c r="AD133" s="8">
        <f>IFERROR(AC133/G133,0)</f>
        <v/>
      </c>
    </row>
    <row r="134" ht="14.25" customHeight="1" s="69">
      <c r="A134" s="5" t="inlineStr">
        <is>
          <t>6.22-6.28</t>
        </is>
      </c>
      <c r="B134" s="5" t="inlineStr">
        <is>
          <t>6.22-6.28</t>
        </is>
      </c>
      <c r="C134" s="119" t="n">
        <v>947413291596</v>
      </c>
      <c r="D134" s="5" t="inlineStr">
        <is>
          <t>杯面</t>
        </is>
      </c>
      <c r="E134" s="5" t="inlineStr">
        <is>
          <t>营多捞面杯装方便面泡面速食干拌面原味整箱批发印尼进口桶装拌面</t>
        </is>
      </c>
      <c r="F134" s="7" t="n">
        <v>190.18</v>
      </c>
      <c r="G134" s="7">
        <f>IFERROR(F134/1.13,0)</f>
        <v/>
      </c>
      <c r="H134" s="5" t="n">
        <v>7</v>
      </c>
      <c r="I134" s="8">
        <f>IFERROR(H134/SUMIF($A:$A,A134,$H:$H),0)</f>
        <v/>
      </c>
      <c r="J134" s="9">
        <f>IFERROR(F134/H134,0)</f>
        <v/>
      </c>
      <c r="K134" s="7" t="n">
        <v>15.3119739696312</v>
      </c>
      <c r="L134" s="7" t="n">
        <v>66.3167462039046</v>
      </c>
      <c r="M134" s="9">
        <f>IFERROR(L134/K134,0)</f>
        <v/>
      </c>
      <c r="N134" s="7" t="n">
        <v>4.12553145336226</v>
      </c>
      <c r="O134" s="7" t="n">
        <v>8.98540130151844</v>
      </c>
      <c r="P134" s="9">
        <f>IFERROR(O134/N134,0)</f>
        <v/>
      </c>
      <c r="Q134" s="7">
        <f>K134+N134</f>
        <v/>
      </c>
      <c r="R134" s="7">
        <f>L134+O134</f>
        <v/>
      </c>
      <c r="S134" s="9">
        <f>IFERROR(R134/Q134,0)</f>
        <v/>
      </c>
      <c r="T134" s="8">
        <f>IFERROR(Q134/SUMIF($A:$A,A134,$Q:$Q),0)</f>
        <v/>
      </c>
      <c r="U134" s="8">
        <f>IFERROR(Q134/F134,0)</f>
        <v/>
      </c>
      <c r="V134" s="7">
        <f>F134-R134</f>
        <v/>
      </c>
      <c r="W134" s="8">
        <f>IFERROR(V134/F134,0)</f>
        <v/>
      </c>
      <c r="X134" s="7">
        <f>IFERROR(VLOOKUP(A134,周报其他费用!$A:$B,2,FALSE)*I134,0)</f>
        <v/>
      </c>
      <c r="Y134" s="7" t="n">
        <v>21.448</v>
      </c>
      <c r="Z134" s="8">
        <f>IFERROR(Y134/G134,0)</f>
        <v/>
      </c>
      <c r="AA134" s="7">
        <f>Y134-K134/1.06</f>
        <v/>
      </c>
      <c r="AB134" s="8">
        <f>IFERROR(AA134/G134,0)</f>
        <v/>
      </c>
      <c r="AC134" s="7">
        <f>Y134-(Q134+X134)/1.06</f>
        <v/>
      </c>
      <c r="AD134" s="8">
        <f>IFERROR(AC134/G134,0)</f>
        <v/>
      </c>
    </row>
    <row r="135" ht="14.25" customHeight="1" s="69">
      <c r="A135" s="5" t="inlineStr">
        <is>
          <t>6.22-6.28</t>
        </is>
      </c>
      <c r="B135" s="5" t="inlineStr">
        <is>
          <t>6.22-6.28</t>
        </is>
      </c>
      <c r="C135" s="119" t="n">
        <v>937005385662</v>
      </c>
      <c r="D135" s="5" t="inlineStr">
        <is>
          <t>日式袋面</t>
        </is>
      </c>
      <c r="E135" s="5" t="inlineStr">
        <is>
          <t>进口营多正品捞面日式鸡肉鸡汤辛辣味袋装泡面辣味速食方便面汤面</t>
        </is>
      </c>
      <c r="F135" s="7" t="n">
        <v>190.45</v>
      </c>
      <c r="G135" s="7">
        <f>IFERROR(F135/1.13,0)</f>
        <v/>
      </c>
      <c r="H135" s="5" t="n">
        <v>7</v>
      </c>
      <c r="I135" s="8">
        <f>IFERROR(H135/SUMIF($A:$A,A135,$H:$H),0)</f>
        <v/>
      </c>
      <c r="J135" s="9">
        <f>IFERROR(F135/H135,0)</f>
        <v/>
      </c>
      <c r="K135" s="7" t="n">
        <v>12.8119739696312</v>
      </c>
      <c r="L135" s="7" t="n">
        <v>43.6967462039046</v>
      </c>
      <c r="M135" s="9">
        <f>IFERROR(L135/K135,0)</f>
        <v/>
      </c>
      <c r="N135" s="7" t="n">
        <v>4.12553145336226</v>
      </c>
      <c r="O135" s="7" t="n">
        <v>8.98540130151844</v>
      </c>
      <c r="P135" s="9">
        <f>IFERROR(O135/N135,0)</f>
        <v/>
      </c>
      <c r="Q135" s="7">
        <f>K135+N135</f>
        <v/>
      </c>
      <c r="R135" s="7">
        <f>L135+O135</f>
        <v/>
      </c>
      <c r="S135" s="9">
        <f>IFERROR(R135/Q135,0)</f>
        <v/>
      </c>
      <c r="T135" s="8">
        <f>IFERROR(Q135/SUMIF($A:$A,A135,$Q:$Q),0)</f>
        <v/>
      </c>
      <c r="U135" s="8">
        <f>IFERROR(Q135/F135,0)</f>
        <v/>
      </c>
      <c r="V135" s="7">
        <f>F135-R135</f>
        <v/>
      </c>
      <c r="W135" s="8">
        <f>IFERROR(V135/F135,0)</f>
        <v/>
      </c>
      <c r="X135" s="7">
        <f>IFERROR(VLOOKUP(A135,周报其他费用!$A:$B,2,FALSE)*I135,0)</f>
        <v/>
      </c>
      <c r="Y135" s="7" t="n">
        <v>35.053</v>
      </c>
      <c r="Z135" s="8">
        <f>IFERROR(Y135/G135,0)</f>
        <v/>
      </c>
      <c r="AA135" s="7">
        <f>Y135-K135/1.06</f>
        <v/>
      </c>
      <c r="AB135" s="8">
        <f>IFERROR(AA135/G135,0)</f>
        <v/>
      </c>
      <c r="AC135" s="7">
        <f>Y135-(Q135+X135)/1.06</f>
        <v/>
      </c>
      <c r="AD135" s="8">
        <f>IFERROR(AC135/G135,0)</f>
        <v/>
      </c>
    </row>
    <row r="136" ht="14.25" customHeight="1" s="69">
      <c r="A136" s="5" t="inlineStr">
        <is>
          <t>6.22-6.28</t>
        </is>
      </c>
      <c r="B136" s="5" t="inlineStr">
        <is>
          <t>6.22-6.28</t>
        </is>
      </c>
      <c r="C136" s="119" t="n">
        <v>649731447266</v>
      </c>
      <c r="D136" s="5" t="inlineStr">
        <is>
          <t>20包经典/牛系列</t>
        </is>
      </c>
      <c r="E136" s="5" t="inlineStr">
        <is>
          <t>营多印尼进口营多捞面方便面火鸡面干拌面20包宿舍速食泡面夜宵</t>
        </is>
      </c>
      <c r="F136" s="7" t="n">
        <v>291.55</v>
      </c>
      <c r="G136" s="7">
        <f>IFERROR(F136/1.13,0)</f>
        <v/>
      </c>
      <c r="H136" s="5" t="n">
        <v>6</v>
      </c>
      <c r="I136" s="8">
        <f>IFERROR(H136/SUMIF($A:$A,A136,$H:$H),0)</f>
        <v/>
      </c>
      <c r="J136" s="9">
        <f>IFERROR(F136/H136,0)</f>
        <v/>
      </c>
      <c r="K136" s="7" t="n">
        <v>7.50454911682677</v>
      </c>
      <c r="L136" s="7" t="n">
        <v>5.43149674620394</v>
      </c>
      <c r="M136" s="9">
        <f>IFERROR(L136/K136,0)</f>
        <v/>
      </c>
      <c r="N136" s="7" t="n">
        <v>3.53616981716765</v>
      </c>
      <c r="O136" s="7" t="n">
        <v>7.70177254415866</v>
      </c>
      <c r="P136" s="9">
        <f>IFERROR(O136/N136,0)</f>
        <v/>
      </c>
      <c r="Q136" s="7">
        <f>K136+N136</f>
        <v/>
      </c>
      <c r="R136" s="7">
        <f>L136+O136</f>
        <v/>
      </c>
      <c r="S136" s="9">
        <f>IFERROR(R136/Q136,0)</f>
        <v/>
      </c>
      <c r="T136" s="8">
        <f>IFERROR(Q136/SUMIF($A:$A,A136,$Q:$Q),0)</f>
        <v/>
      </c>
      <c r="U136" s="8">
        <f>IFERROR(Q136/F136,0)</f>
        <v/>
      </c>
      <c r="V136" s="7">
        <f>F136-R136</f>
        <v/>
      </c>
      <c r="W136" s="8">
        <f>IFERROR(V136/F136,0)</f>
        <v/>
      </c>
      <c r="X136" s="7">
        <f>IFERROR(VLOOKUP(A136,周报其他费用!$A:$B,2,FALSE)*I136,0)</f>
        <v/>
      </c>
      <c r="Y136" s="7" t="n">
        <v>59.903</v>
      </c>
      <c r="Z136" s="8">
        <f>IFERROR(Y136/G136,0)</f>
        <v/>
      </c>
      <c r="AA136" s="7">
        <f>Y136-K136/1.06</f>
        <v/>
      </c>
      <c r="AB136" s="8">
        <f>IFERROR(AA136/G136,0)</f>
        <v/>
      </c>
      <c r="AC136" s="7">
        <f>Y136-(Q136+X136)/1.06</f>
        <v/>
      </c>
      <c r="AD136" s="8">
        <f>IFERROR(AC136/G136,0)</f>
        <v/>
      </c>
    </row>
    <row r="137" ht="14.25" customHeight="1" s="69">
      <c r="A137" s="5" t="inlineStr">
        <is>
          <t>6.22-6.28</t>
        </is>
      </c>
      <c r="B137" s="5" t="inlineStr">
        <is>
          <t>6.22-6.28</t>
        </is>
      </c>
      <c r="C137" s="119" t="n">
        <v>773972883430</v>
      </c>
      <c r="D137" s="5" t="inlineStr">
        <is>
          <t>日式袋面</t>
        </is>
      </c>
      <c r="E137" s="5" t="inlineStr">
        <is>
          <t>营多捞面韩式火鸡面辣蘑菇汤面袋装泡面辣味速食方便面宿舍宵夜面</t>
        </is>
      </c>
      <c r="F137" s="7" t="n">
        <v>140.71</v>
      </c>
      <c r="G137" s="7">
        <f>IFERROR(F137/1.13,0)</f>
        <v/>
      </c>
      <c r="H137" s="5" t="n">
        <v>6</v>
      </c>
      <c r="I137" s="8">
        <f>IFERROR(H137/SUMIF($A:$A,A137,$H:$H),0)</f>
        <v/>
      </c>
      <c r="J137" s="9">
        <f>IFERROR(F137/H137,0)</f>
        <v/>
      </c>
      <c r="K137" s="7" t="n">
        <v>7.09454911682677</v>
      </c>
      <c r="L137" s="7" t="n">
        <v>37.6414967462039</v>
      </c>
      <c r="M137" s="9">
        <f>IFERROR(L137/K137,0)</f>
        <v/>
      </c>
      <c r="N137" s="7" t="n">
        <v>3.53616981716765</v>
      </c>
      <c r="O137" s="7" t="n">
        <v>7.70177254415866</v>
      </c>
      <c r="P137" s="9">
        <f>IFERROR(O137/N137,0)</f>
        <v/>
      </c>
      <c r="Q137" s="7">
        <f>K137+N137</f>
        <v/>
      </c>
      <c r="R137" s="7">
        <f>L137+O137</f>
        <v/>
      </c>
      <c r="S137" s="9">
        <f>IFERROR(R137/Q137,0)</f>
        <v/>
      </c>
      <c r="T137" s="8">
        <f>IFERROR(Q137/SUMIF($A:$A,A137,$Q:$Q),0)</f>
        <v/>
      </c>
      <c r="U137" s="8">
        <f>IFERROR(Q137/F137,0)</f>
        <v/>
      </c>
      <c r="V137" s="7">
        <f>F137-R137</f>
        <v/>
      </c>
      <c r="W137" s="8">
        <f>IFERROR(V137/F137,0)</f>
        <v/>
      </c>
      <c r="X137" s="7">
        <f>IFERROR(VLOOKUP(A137,周报其他费用!$A:$B,2,FALSE)*I137,0)</f>
        <v/>
      </c>
      <c r="Y137" s="7" t="n">
        <v>19.009</v>
      </c>
      <c r="Z137" s="8">
        <f>IFERROR(Y137/G137,0)</f>
        <v/>
      </c>
      <c r="AA137" s="7">
        <f>Y137-K137/1.06</f>
        <v/>
      </c>
      <c r="AB137" s="8">
        <f>IFERROR(AA137/G137,0)</f>
        <v/>
      </c>
      <c r="AC137" s="7">
        <f>Y137-(Q137+X137)/1.06</f>
        <v/>
      </c>
      <c r="AD137" s="8">
        <f>IFERROR(AC137/G137,0)</f>
        <v/>
      </c>
    </row>
    <row r="138" ht="14.25" customHeight="1" s="69">
      <c r="A138" s="5" t="inlineStr">
        <is>
          <t>6.22-6.28</t>
        </is>
      </c>
      <c r="B138" s="5" t="inlineStr">
        <is>
          <t>6.22-6.28</t>
        </is>
      </c>
      <c r="C138" s="119" t="n">
        <v>976466902934</v>
      </c>
      <c r="D138" s="5" t="inlineStr">
        <is>
          <t>【U选】日式原杯1+日式辣杯1</t>
        </is>
      </c>
      <c r="E138" s="5" t="inlineStr">
        <is>
          <t>【天猫U选】indomie营多捞面辣火鸡味日式鸡肉原味杯面</t>
        </is>
      </c>
      <c r="F138" s="7" t="n">
        <v>48.52</v>
      </c>
      <c r="G138" s="7">
        <f>IFERROR(F138/1.13,0)</f>
        <v/>
      </c>
      <c r="H138" s="5" t="n">
        <v>5</v>
      </c>
      <c r="I138" s="8">
        <f>IFERROR(H138/SUMIF($A:$A,A138,$H:$H),0)</f>
        <v/>
      </c>
      <c r="J138" s="9">
        <f>IFERROR(F138/H138,0)</f>
        <v/>
      </c>
      <c r="K138" s="7" t="n">
        <v>1.23712426402231</v>
      </c>
      <c r="L138" s="7" t="n">
        <v>4.52624728850328</v>
      </c>
      <c r="M138" s="9">
        <f>IFERROR(L138/K138,0)</f>
        <v/>
      </c>
      <c r="N138" s="7" t="n">
        <v>2.94680818097304</v>
      </c>
      <c r="O138" s="7" t="n">
        <v>6.41814378679888</v>
      </c>
      <c r="P138" s="9">
        <f>IFERROR(O138/N138,0)</f>
        <v/>
      </c>
      <c r="Q138" s="7">
        <f>K138+N138</f>
        <v/>
      </c>
      <c r="R138" s="7">
        <f>L138+O138</f>
        <v/>
      </c>
      <c r="S138" s="9">
        <f>IFERROR(R138/Q138,0)</f>
        <v/>
      </c>
      <c r="T138" s="8">
        <f>IFERROR(Q138/SUMIF($A:$A,A138,$Q:$Q),0)</f>
        <v/>
      </c>
      <c r="U138" s="8">
        <f>IFERROR(Q138/F138,0)</f>
        <v/>
      </c>
      <c r="V138" s="7">
        <f>F138-R138</f>
        <v/>
      </c>
      <c r="W138" s="8">
        <f>IFERROR(V138/F138,0)</f>
        <v/>
      </c>
      <c r="X138" s="7">
        <f>IFERROR(VLOOKUP(A138,周报其他费用!$A:$B,2,FALSE)*I138,0)</f>
        <v/>
      </c>
      <c r="Y138" s="7" t="n">
        <v>-7.599</v>
      </c>
      <c r="Z138" s="8">
        <f>IFERROR(Y138/G138,0)</f>
        <v/>
      </c>
      <c r="AA138" s="7">
        <f>Y138-K138/1.06</f>
        <v/>
      </c>
      <c r="AB138" s="8">
        <f>IFERROR(AA138/G138,0)</f>
        <v/>
      </c>
      <c r="AC138" s="7">
        <f>Y138-(Q138+X138)/1.06</f>
        <v/>
      </c>
      <c r="AD138" s="8">
        <f>IFERROR(AC138/G138,0)</f>
        <v/>
      </c>
    </row>
    <row r="139" ht="14.25" customHeight="1" s="69">
      <c r="A139" s="5" t="inlineStr">
        <is>
          <t>6.22-6.28</t>
        </is>
      </c>
      <c r="B139" s="5" t="inlineStr">
        <is>
          <t>6.22-6.28</t>
        </is>
      </c>
      <c r="C139" s="119" t="n">
        <v>898076297965</v>
      </c>
      <c r="D139" s="5" t="inlineStr">
        <is>
          <t>番茄牛肉</t>
        </is>
      </c>
      <c r="E139" s="5" t="inlineStr">
        <is>
          <t>进口正品意面风味奶香番茄牛肉味意式拌面营多捞面早餐儿童宝妈餐</t>
        </is>
      </c>
      <c r="F139" s="7" t="n">
        <v>90.64</v>
      </c>
      <c r="G139" s="7">
        <f>IFERROR(F139/1.13,0)</f>
        <v/>
      </c>
      <c r="H139" s="5" t="n">
        <v>5</v>
      </c>
      <c r="I139" s="8">
        <f>IFERROR(H139/SUMIF($A:$A,A139,$H:$H),0)</f>
        <v/>
      </c>
      <c r="J139" s="9">
        <f>IFERROR(F139/H139,0)</f>
        <v/>
      </c>
      <c r="K139" s="7" t="n">
        <v>18.5571242640223</v>
      </c>
      <c r="L139" s="7" t="n">
        <v>55.7962472885033</v>
      </c>
      <c r="M139" s="9">
        <f>IFERROR(L139/K139,0)</f>
        <v/>
      </c>
      <c r="N139" s="7" t="n">
        <v>2.94680818097304</v>
      </c>
      <c r="O139" s="7" t="n">
        <v>6.41814378679888</v>
      </c>
      <c r="P139" s="9">
        <f>IFERROR(O139/N139,0)</f>
        <v/>
      </c>
      <c r="Q139" s="7">
        <f>K139+N139</f>
        <v/>
      </c>
      <c r="R139" s="7">
        <f>L139+O139</f>
        <v/>
      </c>
      <c r="S139" s="9">
        <f>IFERROR(R139/Q139,0)</f>
        <v/>
      </c>
      <c r="T139" s="8">
        <f>IFERROR(Q139/SUMIF($A:$A,A139,$Q:$Q),0)</f>
        <v/>
      </c>
      <c r="U139" s="8">
        <f>IFERROR(Q139/F139,0)</f>
        <v/>
      </c>
      <c r="V139" s="7">
        <f>F139-R139</f>
        <v/>
      </c>
      <c r="W139" s="8">
        <f>IFERROR(V139/F139,0)</f>
        <v/>
      </c>
      <c r="X139" s="7">
        <f>IFERROR(VLOOKUP(A139,周报其他费用!$A:$B,2,FALSE)*I139,0)</f>
        <v/>
      </c>
      <c r="Y139" s="7" t="n">
        <v>7.317</v>
      </c>
      <c r="Z139" s="8">
        <f>IFERROR(Y139/G139,0)</f>
        <v/>
      </c>
      <c r="AA139" s="7">
        <f>Y139-K139/1.06</f>
        <v/>
      </c>
      <c r="AB139" s="8">
        <f>IFERROR(AA139/G139,0)</f>
        <v/>
      </c>
      <c r="AC139" s="7">
        <f>Y139-(Q139+X139)/1.06</f>
        <v/>
      </c>
      <c r="AD139" s="8">
        <f>IFERROR(AC139/G139,0)</f>
        <v/>
      </c>
    </row>
    <row r="140" ht="14.25" customHeight="1" s="69">
      <c r="A140" s="5" t="inlineStr">
        <is>
          <t>6.22-6.28</t>
        </is>
      </c>
      <c r="B140" s="5" t="inlineStr">
        <is>
          <t>6.22-6.28</t>
        </is>
      </c>
      <c r="C140" s="119" t="n">
        <v>886856687067</v>
      </c>
      <c r="D140" s="5" t="inlineStr">
        <is>
          <t>大骨</t>
        </is>
      </c>
      <c r="E140" s="5" t="inlineStr">
        <is>
          <t>营多捞面牛系列大骨牛肉味方便面食品泡面拉面汤面宿舍宵夜旅行</t>
        </is>
      </c>
      <c r="F140" s="7" t="n">
        <v>101.97</v>
      </c>
      <c r="G140" s="7">
        <f>IFERROR(F140/1.13,0)</f>
        <v/>
      </c>
      <c r="H140" s="5" t="n">
        <v>5</v>
      </c>
      <c r="I140" s="8">
        <f>IFERROR(H140/SUMIF($A:$A,A140,$H:$H),0)</f>
        <v/>
      </c>
      <c r="J140" s="9">
        <f>IFERROR(F140/H140,0)</f>
        <v/>
      </c>
      <c r="K140" s="7" t="n">
        <v>15.9471242640223</v>
      </c>
      <c r="L140" s="7" t="n">
        <v>18.1062472885033</v>
      </c>
      <c r="M140" s="9">
        <f>IFERROR(L140/K140,0)</f>
        <v/>
      </c>
      <c r="N140" s="7" t="n">
        <v>2.94680818097304</v>
      </c>
      <c r="O140" s="7" t="n">
        <v>6.41814378679888</v>
      </c>
      <c r="P140" s="9">
        <f>IFERROR(O140/N140,0)</f>
        <v/>
      </c>
      <c r="Q140" s="7">
        <f>K140+N140</f>
        <v/>
      </c>
      <c r="R140" s="7">
        <f>L140+O140</f>
        <v/>
      </c>
      <c r="S140" s="9">
        <f>IFERROR(R140/Q140,0)</f>
        <v/>
      </c>
      <c r="T140" s="8">
        <f>IFERROR(Q140/SUMIF($A:$A,A140,$Q:$Q),0)</f>
        <v/>
      </c>
      <c r="U140" s="8">
        <f>IFERROR(Q140/F140,0)</f>
        <v/>
      </c>
      <c r="V140" s="7">
        <f>F140-R140</f>
        <v/>
      </c>
      <c r="W140" s="8">
        <f>IFERROR(V140/F140,0)</f>
        <v/>
      </c>
      <c r="X140" s="7">
        <f>IFERROR(VLOOKUP(A140,周报其他费用!$A:$B,2,FALSE)*I140,0)</f>
        <v/>
      </c>
      <c r="Y140" s="7" t="n">
        <v>10.315</v>
      </c>
      <c r="Z140" s="8">
        <f>IFERROR(Y140/G140,0)</f>
        <v/>
      </c>
      <c r="AA140" s="7">
        <f>Y140-K140/1.06</f>
        <v/>
      </c>
      <c r="AB140" s="8">
        <f>IFERROR(AA140/G140,0)</f>
        <v/>
      </c>
      <c r="AC140" s="7">
        <f>Y140-(Q140+X140)/1.06</f>
        <v/>
      </c>
      <c r="AD140" s="8">
        <f>IFERROR(AC140/G140,0)</f>
        <v/>
      </c>
    </row>
    <row r="141" ht="14.25" customHeight="1" s="69">
      <c r="A141" s="5" t="inlineStr">
        <is>
          <t>6.22-6.28</t>
        </is>
      </c>
      <c r="B141" s="5" t="inlineStr">
        <is>
          <t>6.22-6.28</t>
        </is>
      </c>
      <c r="C141" s="119" t="n">
        <v>1028450344901</v>
      </c>
      <c r="D141" s="5" t="inlineStr">
        <is>
          <t>韩火鸡</t>
        </is>
      </c>
      <c r="E141" s="5" t="inlineStr">
        <is>
          <t>营多韩式火鸡面袋装拌面干拌面泡面方便面速食面宿舍宵夜旅行</t>
        </is>
      </c>
      <c r="F141" s="7" t="n">
        <v>65.81999999999999</v>
      </c>
      <c r="G141" s="7">
        <f>IFERROR(F141/1.13,0)</f>
        <v/>
      </c>
      <c r="H141" s="5" t="n">
        <v>4</v>
      </c>
      <c r="I141" s="8">
        <f>IFERROR(H141/SUMIF($A:$A,A141,$H:$H),0)</f>
        <v/>
      </c>
      <c r="J141" s="9">
        <f>IFERROR(F141/H141,0)</f>
        <v/>
      </c>
      <c r="K141" s="7" t="n">
        <v>8.719699411217849</v>
      </c>
      <c r="L141" s="7" t="n">
        <v>40.9809978308026</v>
      </c>
      <c r="M141" s="9">
        <f>IFERROR(L141/K141,0)</f>
        <v/>
      </c>
      <c r="N141" s="7" t="n">
        <v>2.35744654477843</v>
      </c>
      <c r="O141" s="7" t="n">
        <v>5.13451502943911</v>
      </c>
      <c r="P141" s="9">
        <f>IFERROR(O141/N141,0)</f>
        <v/>
      </c>
      <c r="Q141" s="7">
        <f>K141+N141</f>
        <v/>
      </c>
      <c r="R141" s="7">
        <f>L141+O141</f>
        <v/>
      </c>
      <c r="S141" s="9">
        <f>IFERROR(R141/Q141,0)</f>
        <v/>
      </c>
      <c r="T141" s="8">
        <f>IFERROR(Q141/SUMIF($A:$A,A141,$Q:$Q),0)</f>
        <v/>
      </c>
      <c r="U141" s="8">
        <f>IFERROR(Q141/F141,0)</f>
        <v/>
      </c>
      <c r="V141" s="7">
        <f>F141-R141</f>
        <v/>
      </c>
      <c r="W141" s="8">
        <f>IFERROR(V141/F141,0)</f>
        <v/>
      </c>
      <c r="X141" s="7">
        <f>IFERROR(VLOOKUP(A141,周报其他费用!$A:$B,2,FALSE)*I141,0)</f>
        <v/>
      </c>
      <c r="Y141" s="7" t="n">
        <v>4.56</v>
      </c>
      <c r="Z141" s="8">
        <f>IFERROR(Y141/G141,0)</f>
        <v/>
      </c>
      <c r="AA141" s="7">
        <f>Y141-K141/1.06</f>
        <v/>
      </c>
      <c r="AB141" s="8">
        <f>IFERROR(AA141/G141,0)</f>
        <v/>
      </c>
      <c r="AC141" s="7">
        <f>Y141-(Q141+X141)/1.06</f>
        <v/>
      </c>
      <c r="AD141" s="8">
        <f>IFERROR(AC141/G141,0)</f>
        <v/>
      </c>
    </row>
    <row r="142" ht="14.25" customHeight="1" s="69">
      <c r="A142" s="5" t="inlineStr">
        <is>
          <t>6.22-6.28</t>
        </is>
      </c>
      <c r="B142" s="5" t="inlineStr">
        <is>
          <t>6.22-6.28</t>
        </is>
      </c>
      <c r="C142" s="119" t="n">
        <v>932687928859</v>
      </c>
      <c r="D142" s="5" t="inlineStr">
        <is>
          <t>8包组合</t>
        </is>
      </c>
      <c r="E142" s="5" t="inlineStr">
        <is>
          <t>营多捞面八口味袋装泡面拌面速食面干拌面方便面宿舍宵夜速食家用</t>
        </is>
      </c>
      <c r="F142" s="7" t="n">
        <v>59.08</v>
      </c>
      <c r="G142" s="7">
        <f>IFERROR(F142/1.13,0)</f>
        <v/>
      </c>
      <c r="H142" s="5" t="n">
        <v>2</v>
      </c>
      <c r="I142" s="8">
        <f>IFERROR(H142/SUMIF($A:$A,A142,$H:$H),0)</f>
        <v/>
      </c>
      <c r="J142" s="9">
        <f>IFERROR(F142/H142,0)</f>
        <v/>
      </c>
      <c r="K142" s="7" t="n">
        <v>2.38484970560892</v>
      </c>
      <c r="L142" s="7" t="n">
        <v>30.7104989154013</v>
      </c>
      <c r="M142" s="9">
        <f>IFERROR(L142/K142,0)</f>
        <v/>
      </c>
      <c r="N142" s="7" t="n">
        <v>1.17872327238922</v>
      </c>
      <c r="O142" s="7" t="n">
        <v>2.56725751471955</v>
      </c>
      <c r="P142" s="9">
        <f>IFERROR(O142/N142,0)</f>
        <v/>
      </c>
      <c r="Q142" s="7">
        <f>K142+N142</f>
        <v/>
      </c>
      <c r="R142" s="7">
        <f>L142+O142</f>
        <v/>
      </c>
      <c r="S142" s="9">
        <f>IFERROR(R142/Q142,0)</f>
        <v/>
      </c>
      <c r="T142" s="8">
        <f>IFERROR(Q142/SUMIF($A:$A,A142,$Q:$Q),0)</f>
        <v/>
      </c>
      <c r="U142" s="8">
        <f>IFERROR(Q142/F142,0)</f>
        <v/>
      </c>
      <c r="V142" s="7">
        <f>F142-R142</f>
        <v/>
      </c>
      <c r="W142" s="8">
        <f>IFERROR(V142/F142,0)</f>
        <v/>
      </c>
      <c r="X142" s="7">
        <f>IFERROR(VLOOKUP(A142,周报其他费用!$A:$B,2,FALSE)*I142,0)</f>
        <v/>
      </c>
      <c r="Y142" s="7" t="n">
        <v>10.202</v>
      </c>
      <c r="Z142" s="8">
        <f>IFERROR(Y142/G142,0)</f>
        <v/>
      </c>
      <c r="AA142" s="7">
        <f>Y142-K142/1.06</f>
        <v/>
      </c>
      <c r="AB142" s="8">
        <f>IFERROR(AA142/G142,0)</f>
        <v/>
      </c>
      <c r="AC142" s="7">
        <f>Y142-(Q142+X142)/1.06</f>
        <v/>
      </c>
      <c r="AD142" s="8">
        <f>IFERROR(AC142/G142,0)</f>
        <v/>
      </c>
    </row>
    <row r="143" ht="14.25" customHeight="1" s="69">
      <c r="A143" s="5" t="inlineStr">
        <is>
          <t>6.22-6.28</t>
        </is>
      </c>
      <c r="B143" s="5" t="inlineStr">
        <is>
          <t>6.22-6.28</t>
        </is>
      </c>
      <c r="C143" s="119" t="n">
        <v>903183018417</v>
      </c>
      <c r="D143" s="5" t="inlineStr">
        <is>
          <t>七口味混搭</t>
        </is>
      </c>
      <c r="E143" s="5" t="inlineStr">
        <is>
          <t>进口营多捞面汤面拌面七口味混合方便面速拉面宿舍拌面泡面食食品</t>
        </is>
      </c>
      <c r="F143" s="7" t="n">
        <v>40.16</v>
      </c>
      <c r="G143" s="7">
        <f>IFERROR(F143/1.13,0)</f>
        <v/>
      </c>
      <c r="H143" s="5" t="n">
        <v>2</v>
      </c>
      <c r="I143" s="8">
        <f>IFERROR(H143/SUMIF($A:$A,A143,$H:$H),0)</f>
        <v/>
      </c>
      <c r="J143" s="9">
        <f>IFERROR(F143/H143,0)</f>
        <v/>
      </c>
      <c r="K143" s="7" t="n">
        <v>2.72484970560892</v>
      </c>
      <c r="L143" s="7" t="n">
        <v>1.81049891540131</v>
      </c>
      <c r="M143" s="9">
        <f>IFERROR(L143/K143,0)</f>
        <v/>
      </c>
      <c r="N143" s="7" t="n">
        <v>1.17872327238922</v>
      </c>
      <c r="O143" s="7" t="n">
        <v>2.56725751471955</v>
      </c>
      <c r="P143" s="9">
        <f>IFERROR(O143/N143,0)</f>
        <v/>
      </c>
      <c r="Q143" s="7">
        <f>K143+N143</f>
        <v/>
      </c>
      <c r="R143" s="7">
        <f>L143+O143</f>
        <v/>
      </c>
      <c r="S143" s="9">
        <f>IFERROR(R143/Q143,0)</f>
        <v/>
      </c>
      <c r="T143" s="8">
        <f>IFERROR(Q143/SUMIF($A:$A,A143,$Q:$Q),0)</f>
        <v/>
      </c>
      <c r="U143" s="8">
        <f>IFERROR(Q143/F143,0)</f>
        <v/>
      </c>
      <c r="V143" s="7">
        <f>F143-R143</f>
        <v/>
      </c>
      <c r="W143" s="8">
        <f>IFERROR(V143/F143,0)</f>
        <v/>
      </c>
      <c r="X143" s="7">
        <f>IFERROR(VLOOKUP(A143,周报其他费用!$A:$B,2,FALSE)*I143,0)</f>
        <v/>
      </c>
      <c r="Y143" s="7" t="n">
        <v>4.157</v>
      </c>
      <c r="Z143" s="8">
        <f>IFERROR(Y143/G143,0)</f>
        <v/>
      </c>
      <c r="AA143" s="7">
        <f>Y143-K143/1.06</f>
        <v/>
      </c>
      <c r="AB143" s="8">
        <f>IFERROR(AA143/G143,0)</f>
        <v/>
      </c>
      <c r="AC143" s="7">
        <f>Y143-(Q143+X143)/1.06</f>
        <v/>
      </c>
      <c r="AD143" s="8">
        <f>IFERROR(AC143/G143,0)</f>
        <v/>
      </c>
    </row>
    <row r="144" ht="14.25" customHeight="1" s="69">
      <c r="A144" s="5" t="inlineStr">
        <is>
          <t>6.22-6.28</t>
        </is>
      </c>
      <c r="B144" s="5" t="inlineStr">
        <is>
          <t>6.22-6.28</t>
        </is>
      </c>
      <c r="C144" s="119" t="n">
        <v>976479938842</v>
      </c>
      <c r="D144" s="5" t="inlineStr">
        <is>
          <t>【U选】原味5</t>
        </is>
      </c>
      <c r="E144" s="5" t="inlineStr">
        <is>
          <t>【天猫U选】indomie营多大骨牛肉味捞面拌面5包</t>
        </is>
      </c>
      <c r="F144" s="7" t="n">
        <v>19.8</v>
      </c>
      <c r="G144" s="7">
        <f>IFERROR(F144/1.13,0)</f>
        <v/>
      </c>
      <c r="H144" s="5" t="n">
        <v>2</v>
      </c>
      <c r="I144" s="8">
        <f>IFERROR(H144/SUMIF($A:$A,A144,$H:$H),0)</f>
        <v/>
      </c>
      <c r="J144" s="9">
        <f>IFERROR(F144/H144,0)</f>
        <v/>
      </c>
      <c r="K144" s="7" t="n">
        <v>0.494849705608924</v>
      </c>
      <c r="L144" s="7" t="n">
        <v>1.81049891540131</v>
      </c>
      <c r="M144" s="9">
        <f>IFERROR(L144/K144,0)</f>
        <v/>
      </c>
      <c r="N144" s="7" t="n">
        <v>1.17872327238922</v>
      </c>
      <c r="O144" s="7" t="n">
        <v>2.56725751471955</v>
      </c>
      <c r="P144" s="9">
        <f>IFERROR(O144/N144,0)</f>
        <v/>
      </c>
      <c r="Q144" s="7">
        <f>K144+N144</f>
        <v/>
      </c>
      <c r="R144" s="7">
        <f>L144+O144</f>
        <v/>
      </c>
      <c r="S144" s="9">
        <f>IFERROR(R144/Q144,0)</f>
        <v/>
      </c>
      <c r="T144" s="8">
        <f>IFERROR(Q144/SUMIF($A:$A,A144,$Q:$Q),0)</f>
        <v/>
      </c>
      <c r="U144" s="8">
        <f>IFERROR(Q144/F144,0)</f>
        <v/>
      </c>
      <c r="V144" s="7">
        <f>F144-R144</f>
        <v/>
      </c>
      <c r="W144" s="8">
        <f>IFERROR(V144/F144,0)</f>
        <v/>
      </c>
      <c r="X144" s="7">
        <f>IFERROR(VLOOKUP(A144,周报其他费用!$A:$B,2,FALSE)*I144,0)</f>
        <v/>
      </c>
      <c r="Y144" s="7" t="n">
        <v>-5.526</v>
      </c>
      <c r="Z144" s="8">
        <f>IFERROR(Y144/G144,0)</f>
        <v/>
      </c>
      <c r="AA144" s="7">
        <f>Y144-K144/1.06</f>
        <v/>
      </c>
      <c r="AB144" s="8">
        <f>IFERROR(AA144/G144,0)</f>
        <v/>
      </c>
      <c r="AC144" s="7">
        <f>Y144-(Q144+X144)/1.06</f>
        <v/>
      </c>
      <c r="AD144" s="8">
        <f>IFERROR(AC144/G144,0)</f>
        <v/>
      </c>
    </row>
    <row r="145" ht="14.25" customHeight="1" s="69">
      <c r="A145" s="5" t="inlineStr">
        <is>
          <t>6.22-6.28</t>
        </is>
      </c>
      <c r="B145" s="5" t="inlineStr">
        <is>
          <t>6.22-6.28</t>
        </is>
      </c>
      <c r="C145" s="119" t="n">
        <v>969433743398</v>
      </c>
      <c r="D145" s="5" t="inlineStr">
        <is>
          <t>韩蘑菇</t>
        </is>
      </c>
      <c r="E145" s="5" t="inlineStr">
        <is>
          <t>新品营多捞面韩式辣蘑菇汤面泡面方便面速食干拌面宿舍宵夜旅行</t>
        </is>
      </c>
      <c r="F145" s="7" t="n">
        <v>30.54</v>
      </c>
      <c r="G145" s="7">
        <f>IFERROR(F145/1.13,0)</f>
        <v/>
      </c>
      <c r="H145" s="5" t="n">
        <v>2</v>
      </c>
      <c r="I145" s="8">
        <f>IFERROR(H145/SUMIF($A:$A,A145,$H:$H),0)</f>
        <v/>
      </c>
      <c r="J145" s="9">
        <f>IFERROR(F145/H145,0)</f>
        <v/>
      </c>
      <c r="K145" s="7" t="n">
        <v>7.10484970560892</v>
      </c>
      <c r="L145" s="7" t="n">
        <v>29.6804989154013</v>
      </c>
      <c r="M145" s="9">
        <f>IFERROR(L145/K145,0)</f>
        <v/>
      </c>
      <c r="N145" s="7" t="n">
        <v>1.17872327238922</v>
      </c>
      <c r="O145" s="7" t="n">
        <v>2.56725751471955</v>
      </c>
      <c r="P145" s="9">
        <f>IFERROR(O145/N145,0)</f>
        <v/>
      </c>
      <c r="Q145" s="7">
        <f>K145+N145</f>
        <v/>
      </c>
      <c r="R145" s="7">
        <f>L145+O145</f>
        <v/>
      </c>
      <c r="S145" s="9">
        <f>IFERROR(R145/Q145,0)</f>
        <v/>
      </c>
      <c r="T145" s="8">
        <f>IFERROR(Q145/SUMIF($A:$A,A145,$Q:$Q),0)</f>
        <v/>
      </c>
      <c r="U145" s="8">
        <f>IFERROR(Q145/F145,0)</f>
        <v/>
      </c>
      <c r="V145" s="7">
        <f>F145-R145</f>
        <v/>
      </c>
      <c r="W145" s="8">
        <f>IFERROR(V145/F145,0)</f>
        <v/>
      </c>
      <c r="X145" s="7">
        <f>IFERROR(VLOOKUP(A145,周报其他费用!$A:$B,2,FALSE)*I145,0)</f>
        <v/>
      </c>
      <c r="Y145" s="7" t="n">
        <v>1.989</v>
      </c>
      <c r="Z145" s="8">
        <f>IFERROR(Y145/G145,0)</f>
        <v/>
      </c>
      <c r="AA145" s="7">
        <f>Y145-K145/1.06</f>
        <v/>
      </c>
      <c r="AB145" s="8">
        <f>IFERROR(AA145/G145,0)</f>
        <v/>
      </c>
      <c r="AC145" s="7">
        <f>Y145-(Q145+X145)/1.06</f>
        <v/>
      </c>
      <c r="AD145" s="8">
        <f>IFERROR(AC145/G145,0)</f>
        <v/>
      </c>
    </row>
    <row r="146" ht="14.25" customHeight="1" s="69">
      <c r="A146" s="5" t="inlineStr">
        <is>
          <t>6.22-6.28</t>
        </is>
      </c>
      <c r="B146" s="5" t="inlineStr">
        <is>
          <t>6.22-6.28</t>
        </is>
      </c>
      <c r="C146" s="119" t="n">
        <v>916072786304</v>
      </c>
      <c r="D146" s="5" t="inlineStr">
        <is>
          <t>小规格</t>
        </is>
      </c>
      <c r="E146" s="5" t="inlineStr">
        <is>
          <t>营多印尼进口营多捞面方便面火鸡面干拌面10包宿舍速食泡面夜宵</t>
        </is>
      </c>
      <c r="F146" s="7" t="n">
        <v>27.16</v>
      </c>
      <c r="G146" s="7">
        <f>IFERROR(F146/1.13,0)</f>
        <v/>
      </c>
      <c r="H146" s="5" t="n">
        <v>2</v>
      </c>
      <c r="I146" s="8">
        <f>IFERROR(H146/SUMIF($A:$A,A146,$H:$H),0)</f>
        <v/>
      </c>
      <c r="J146" s="9">
        <f>IFERROR(F146/H146,0)</f>
        <v/>
      </c>
      <c r="K146" s="7" t="n">
        <v>0.724849705608924</v>
      </c>
      <c r="L146" s="7" t="n">
        <v>1.81049891540131</v>
      </c>
      <c r="M146" s="9">
        <f>IFERROR(L146/K146,0)</f>
        <v/>
      </c>
      <c r="N146" s="7" t="n">
        <v>1.17872327238922</v>
      </c>
      <c r="O146" s="7" t="n">
        <v>2.56725751471955</v>
      </c>
      <c r="P146" s="9">
        <f>IFERROR(O146/N146,0)</f>
        <v/>
      </c>
      <c r="Q146" s="7">
        <f>K146+N146</f>
        <v/>
      </c>
      <c r="R146" s="7">
        <f>L146+O146</f>
        <v/>
      </c>
      <c r="S146" s="9">
        <f>IFERROR(R146/Q146,0)</f>
        <v/>
      </c>
      <c r="T146" s="8">
        <f>IFERROR(Q146/SUMIF($A:$A,A146,$Q:$Q),0)</f>
        <v/>
      </c>
      <c r="U146" s="8">
        <f>IFERROR(Q146/F146,0)</f>
        <v/>
      </c>
      <c r="V146" s="7">
        <f>F146-R146</f>
        <v/>
      </c>
      <c r="W146" s="8">
        <f>IFERROR(V146/F146,0)</f>
        <v/>
      </c>
      <c r="X146" s="7">
        <f>IFERROR(VLOOKUP(A146,周报其他费用!$A:$B,2,FALSE)*I146,0)</f>
        <v/>
      </c>
      <c r="Y146" s="7" t="n">
        <v>0.502</v>
      </c>
      <c r="Z146" s="8">
        <f>IFERROR(Y146/G146,0)</f>
        <v/>
      </c>
      <c r="AA146" s="7">
        <f>Y146-K146/1.06</f>
        <v/>
      </c>
      <c r="AB146" s="8">
        <f>IFERROR(AA146/G146,0)</f>
        <v/>
      </c>
      <c r="AC146" s="7">
        <f>Y146-(Q146+X146)/1.06</f>
        <v/>
      </c>
      <c r="AD146" s="8">
        <f>IFERROR(AC146/G146,0)</f>
        <v/>
      </c>
    </row>
    <row r="147" ht="14.25" customHeight="1" s="69">
      <c r="A147" s="5" t="inlineStr">
        <is>
          <t>6.22-6.28</t>
        </is>
      </c>
      <c r="B147" s="5" t="inlineStr">
        <is>
          <t>6.22-6.28</t>
        </is>
      </c>
      <c r="C147" s="119" t="n">
        <v>898120785283</v>
      </c>
      <c r="D147" s="5" t="inlineStr">
        <is>
          <t>番茄</t>
        </is>
      </c>
      <c r="E147" s="5" t="inlineStr">
        <is>
          <t>进口意大利面风味奶香番茄牛肉味意式营多早餐儿童宝妈家庭餐拌面</t>
        </is>
      </c>
      <c r="F147" s="7" t="n">
        <v>39.19</v>
      </c>
      <c r="G147" s="7">
        <f>IFERROR(F147/1.13,0)</f>
        <v/>
      </c>
      <c r="H147" s="5" t="n">
        <v>2</v>
      </c>
      <c r="I147" s="8">
        <f>IFERROR(H147/SUMIF($A:$A,A147,$H:$H),0)</f>
        <v/>
      </c>
      <c r="J147" s="9">
        <f>IFERROR(F147/H147,0)</f>
        <v/>
      </c>
      <c r="K147" s="7" t="n">
        <v>0.974849705608924</v>
      </c>
      <c r="L147" s="7" t="n">
        <v>1.81049891540131</v>
      </c>
      <c r="M147" s="9">
        <f>IFERROR(L147/K147,0)</f>
        <v/>
      </c>
      <c r="N147" s="7" t="n">
        <v>1.17872327238922</v>
      </c>
      <c r="O147" s="7" t="n">
        <v>2.56725751471955</v>
      </c>
      <c r="P147" s="9">
        <f>IFERROR(O147/N147,0)</f>
        <v/>
      </c>
      <c r="Q147" s="7">
        <f>K147+N147</f>
        <v/>
      </c>
      <c r="R147" s="7">
        <f>L147+O147</f>
        <v/>
      </c>
      <c r="S147" s="9">
        <f>IFERROR(R147/Q147,0)</f>
        <v/>
      </c>
      <c r="T147" s="8">
        <f>IFERROR(Q147/SUMIF($A:$A,A147,$Q:$Q),0)</f>
        <v/>
      </c>
      <c r="U147" s="8">
        <f>IFERROR(Q147/F147,0)</f>
        <v/>
      </c>
      <c r="V147" s="7">
        <f>F147-R147</f>
        <v/>
      </c>
      <c r="W147" s="8">
        <f>IFERROR(V147/F147,0)</f>
        <v/>
      </c>
      <c r="X147" s="7">
        <f>IFERROR(VLOOKUP(A147,周报其他费用!$A:$B,2,FALSE)*I147,0)</f>
        <v/>
      </c>
      <c r="Y147" s="7" t="n">
        <v>4.074</v>
      </c>
      <c r="Z147" s="8">
        <f>IFERROR(Y147/G147,0)</f>
        <v/>
      </c>
      <c r="AA147" s="7">
        <f>Y147-K147/1.06</f>
        <v/>
      </c>
      <c r="AB147" s="8">
        <f>IFERROR(AA147/G147,0)</f>
        <v/>
      </c>
      <c r="AC147" s="7">
        <f>Y147-(Q147+X147)/1.06</f>
        <v/>
      </c>
      <c r="AD147" s="8">
        <f>IFERROR(AC147/G147,0)</f>
        <v/>
      </c>
    </row>
    <row r="148" ht="14.25" customHeight="1" s="69">
      <c r="A148" s="5" t="inlineStr">
        <is>
          <t>6.22-6.28</t>
        </is>
      </c>
      <c r="B148" s="5" t="inlineStr">
        <is>
          <t>6.22-6.28</t>
        </is>
      </c>
      <c r="C148" s="119" t="n">
        <v>885645733215</v>
      </c>
      <c r="D148" s="5" t="inlineStr">
        <is>
          <t>大骨牛肉</t>
        </is>
      </c>
      <c r="E148" s="5" t="inlineStr">
        <is>
          <t>进口营多大骨番茄牛肉味营多捞面意式泡面宿舍宿舍宵夜速食方便面</t>
        </is>
      </c>
      <c r="F148" s="7" t="n">
        <v>28.48</v>
      </c>
      <c r="G148" s="7">
        <f>IFERROR(F148/1.13,0)</f>
        <v/>
      </c>
      <c r="H148" s="5" t="n">
        <v>2</v>
      </c>
      <c r="I148" s="8">
        <f>IFERROR(H148/SUMIF($A:$A,A148,$H:$H),0)</f>
        <v/>
      </c>
      <c r="J148" s="9">
        <f>IFERROR(F148/H148,0)</f>
        <v/>
      </c>
      <c r="K148" s="7" t="n">
        <v>9.494849705608919</v>
      </c>
      <c r="L148" s="7" t="n">
        <v>15.7104989154013</v>
      </c>
      <c r="M148" s="9">
        <f>IFERROR(L148/K148,0)</f>
        <v/>
      </c>
      <c r="N148" s="7" t="n">
        <v>1.17872327238922</v>
      </c>
      <c r="O148" s="7" t="n">
        <v>2.56725751471955</v>
      </c>
      <c r="P148" s="9">
        <f>IFERROR(O148/N148,0)</f>
        <v/>
      </c>
      <c r="Q148" s="7">
        <f>K148+N148</f>
        <v/>
      </c>
      <c r="R148" s="7">
        <f>L148+O148</f>
        <v/>
      </c>
      <c r="S148" s="9">
        <f>IFERROR(R148/Q148,0)</f>
        <v/>
      </c>
      <c r="T148" s="8">
        <f>IFERROR(Q148/SUMIF($A:$A,A148,$Q:$Q),0)</f>
        <v/>
      </c>
      <c r="U148" s="8">
        <f>IFERROR(Q148/F148,0)</f>
        <v/>
      </c>
      <c r="V148" s="7">
        <f>F148-R148</f>
        <v/>
      </c>
      <c r="W148" s="8">
        <f>IFERROR(V148/F148,0)</f>
        <v/>
      </c>
      <c r="X148" s="7">
        <f>IFERROR(VLOOKUP(A148,周报其他费用!$A:$B,2,FALSE)*I148,0)</f>
        <v/>
      </c>
      <c r="Y148" s="7" t="n">
        <v>1.093</v>
      </c>
      <c r="Z148" s="8">
        <f>IFERROR(Y148/G148,0)</f>
        <v/>
      </c>
      <c r="AA148" s="7">
        <f>Y148-K148/1.06</f>
        <v/>
      </c>
      <c r="AB148" s="8">
        <f>IFERROR(AA148/G148,0)</f>
        <v/>
      </c>
      <c r="AC148" s="7">
        <f>Y148-(Q148+X148)/1.06</f>
        <v/>
      </c>
      <c r="AD148" s="8">
        <f>IFERROR(AC148/G148,0)</f>
        <v/>
      </c>
    </row>
    <row r="149" ht="14.25" customHeight="1" s="69">
      <c r="A149" s="5" t="inlineStr">
        <is>
          <t>6.22-6.28</t>
        </is>
      </c>
      <c r="B149" s="5" t="inlineStr">
        <is>
          <t>6.22-6.28</t>
        </is>
      </c>
      <c r="C149" s="119" t="n">
        <v>649729851594</v>
      </c>
      <c r="D149" s="5" t="inlineStr">
        <is>
          <t>小规格</t>
        </is>
      </c>
      <c r="E149" s="5" t="inlineStr">
        <is>
          <t>营多捞面袋装8包装泡面宿舍速食面热干面干拌面方便面火鸡面食品</t>
        </is>
      </c>
      <c r="F149" s="7" t="n">
        <v>44.72</v>
      </c>
      <c r="G149" s="7">
        <f>IFERROR(F149/1.13,0)</f>
        <v/>
      </c>
      <c r="H149" s="5" t="n">
        <v>2</v>
      </c>
      <c r="I149" s="8">
        <f>IFERROR(H149/SUMIF($A:$A,A149,$H:$H),0)</f>
        <v/>
      </c>
      <c r="J149" s="9">
        <f>IFERROR(F149/H149,0)</f>
        <v/>
      </c>
      <c r="K149" s="7" t="n">
        <v>5.68484970560892</v>
      </c>
      <c r="L149" s="7" t="n">
        <v>52.0704989154013</v>
      </c>
      <c r="M149" s="9">
        <f>IFERROR(L149/K149,0)</f>
        <v/>
      </c>
      <c r="N149" s="7" t="n">
        <v>1.17872327238922</v>
      </c>
      <c r="O149" s="7" t="n">
        <v>2.56725751471955</v>
      </c>
      <c r="P149" s="9">
        <f>IFERROR(O149/N149,0)</f>
        <v/>
      </c>
      <c r="Q149" s="7">
        <f>K149+N149</f>
        <v/>
      </c>
      <c r="R149" s="7">
        <f>L149+O149</f>
        <v/>
      </c>
      <c r="S149" s="9">
        <f>IFERROR(R149/Q149,0)</f>
        <v/>
      </c>
      <c r="T149" s="8">
        <f>IFERROR(Q149/SUMIF($A:$A,A149,$Q:$Q),0)</f>
        <v/>
      </c>
      <c r="U149" s="8">
        <f>IFERROR(Q149/F149,0)</f>
        <v/>
      </c>
      <c r="V149" s="7">
        <f>F149-R149</f>
        <v/>
      </c>
      <c r="W149" s="8">
        <f>IFERROR(V149/F149,0)</f>
        <v/>
      </c>
      <c r="X149" s="7">
        <f>IFERROR(VLOOKUP(A149,周报其他费用!$A:$B,2,FALSE)*I149,0)</f>
        <v/>
      </c>
      <c r="Y149" s="7" t="n">
        <v>7.122</v>
      </c>
      <c r="Z149" s="8">
        <f>IFERROR(Y149/G149,0)</f>
        <v/>
      </c>
      <c r="AA149" s="7">
        <f>Y149-K149/1.06</f>
        <v/>
      </c>
      <c r="AB149" s="8">
        <f>IFERROR(AA149/G149,0)</f>
        <v/>
      </c>
      <c r="AC149" s="7">
        <f>Y149-(Q149+X149)/1.06</f>
        <v/>
      </c>
      <c r="AD149" s="8">
        <f>IFERROR(AC149/G149,0)</f>
        <v/>
      </c>
    </row>
    <row r="150" ht="14.25" customHeight="1" s="69">
      <c r="A150" s="5" t="inlineStr">
        <is>
          <t>6.22-6.28</t>
        </is>
      </c>
      <c r="B150" s="5" t="inlineStr">
        <is>
          <t>6.22-6.28</t>
        </is>
      </c>
      <c r="C150" s="119" t="n">
        <v>869217868453</v>
      </c>
      <c r="D150" s="5" t="inlineStr">
        <is>
          <t>韩式杯面</t>
        </is>
      </c>
      <c r="E150" s="5" t="inlineStr">
        <is>
          <t>营多捞面韩式甜辣炸鸡辣蘑菇杯面方便面拌面泡面宿舍速食面</t>
        </is>
      </c>
      <c r="F150" s="7" t="n">
        <v>49.9</v>
      </c>
      <c r="G150" s="7">
        <f>IFERROR(F150/1.13,0)</f>
        <v/>
      </c>
      <c r="H150" s="5" t="n">
        <v>1</v>
      </c>
      <c r="I150" s="8">
        <f>IFERROR(H150/SUMIF($A:$A,A150,$H:$H),0)</f>
        <v/>
      </c>
      <c r="J150" s="9">
        <f>IFERROR(F150/H150,0)</f>
        <v/>
      </c>
      <c r="K150" s="7" t="n">
        <v>6.44742485280446</v>
      </c>
      <c r="L150" s="7" t="n">
        <v>50.8052494577007</v>
      </c>
      <c r="M150" s="9">
        <f>IFERROR(L150/K150,0)</f>
        <v/>
      </c>
      <c r="N150" s="7" t="n">
        <v>0.589361636194608</v>
      </c>
      <c r="O150" s="7" t="n">
        <v>1.28362875735978</v>
      </c>
      <c r="P150" s="9">
        <f>IFERROR(O150/N150,0)</f>
        <v/>
      </c>
      <c r="Q150" s="7">
        <f>K150+N150</f>
        <v/>
      </c>
      <c r="R150" s="7">
        <f>L150+O150</f>
        <v/>
      </c>
      <c r="S150" s="9">
        <f>IFERROR(R150/Q150,0)</f>
        <v/>
      </c>
      <c r="T150" s="8">
        <f>IFERROR(Q150/SUMIF($A:$A,A150,$Q:$Q),0)</f>
        <v/>
      </c>
      <c r="U150" s="8">
        <f>IFERROR(Q150/F150,0)</f>
        <v/>
      </c>
      <c r="V150" s="7">
        <f>F150-R150</f>
        <v/>
      </c>
      <c r="W150" s="8">
        <f>IFERROR(V150/F150,0)</f>
        <v/>
      </c>
      <c r="X150" s="7">
        <f>IFERROR(VLOOKUP(A150,周报其他费用!$A:$B,2,FALSE)*I150,0)</f>
        <v/>
      </c>
      <c r="Y150" s="7" t="n">
        <v>8.817</v>
      </c>
      <c r="Z150" s="8">
        <f>IFERROR(Y150/G150,0)</f>
        <v/>
      </c>
      <c r="AA150" s="7">
        <f>Y150-K150/1.06</f>
        <v/>
      </c>
      <c r="AB150" s="8">
        <f>IFERROR(AA150/G150,0)</f>
        <v/>
      </c>
      <c r="AC150" s="7">
        <f>Y150-(Q150+X150)/1.06</f>
        <v/>
      </c>
      <c r="AD150" s="8">
        <f>IFERROR(AC150/G150,0)</f>
        <v/>
      </c>
    </row>
    <row r="151" ht="14.25" customHeight="1" s="69">
      <c r="A151" s="5" t="inlineStr">
        <is>
          <t>6.22-6.28</t>
        </is>
      </c>
      <c r="B151" s="5" t="inlineStr">
        <is>
          <t>6.22-6.28</t>
        </is>
      </c>
      <c r="C151" s="119" t="n">
        <v>976467954327</v>
      </c>
      <c r="D151" s="5" t="inlineStr">
        <is>
          <t>【U选】韩式蘑菇1+日式辣杯1</t>
        </is>
      </c>
      <c r="E151" s="5" t="inlineStr">
        <is>
          <t>【天猫U选】indomie营多捞面辣蘑菇味日式辣味杯面</t>
        </is>
      </c>
      <c r="F151" s="7" t="n">
        <v>9.41</v>
      </c>
      <c r="G151" s="7">
        <f>IFERROR(F151/1.13,0)</f>
        <v/>
      </c>
      <c r="H151" s="5" t="n">
        <v>1</v>
      </c>
      <c r="I151" s="8">
        <f>IFERROR(H151/SUMIF($A:$A,A151,$H:$H),0)</f>
        <v/>
      </c>
      <c r="J151" s="9">
        <f>IFERROR(F151/H151,0)</f>
        <v/>
      </c>
      <c r="K151" s="7" t="n">
        <v>0.247424852804462</v>
      </c>
      <c r="L151" s="7" t="n">
        <v>0.905249457700657</v>
      </c>
      <c r="M151" s="9">
        <f>IFERROR(L151/K151,0)</f>
        <v/>
      </c>
      <c r="N151" s="7" t="n">
        <v>0.589361636194608</v>
      </c>
      <c r="O151" s="7" t="n">
        <v>1.28362875735978</v>
      </c>
      <c r="P151" s="9">
        <f>IFERROR(O151/N151,0)</f>
        <v/>
      </c>
      <c r="Q151" s="7">
        <f>K151+N151</f>
        <v/>
      </c>
      <c r="R151" s="7">
        <f>L151+O151</f>
        <v/>
      </c>
      <c r="S151" s="9">
        <f>IFERROR(R151/Q151,0)</f>
        <v/>
      </c>
      <c r="T151" s="8">
        <f>IFERROR(Q151/SUMIF($A:$A,A151,$Q:$Q),0)</f>
        <v/>
      </c>
      <c r="U151" s="8">
        <f>IFERROR(Q151/F151,0)</f>
        <v/>
      </c>
      <c r="V151" s="7">
        <f>F151-R151</f>
        <v/>
      </c>
      <c r="W151" s="8">
        <f>IFERROR(V151/F151,0)</f>
        <v/>
      </c>
      <c r="X151" s="7">
        <f>IFERROR(VLOOKUP(A151,周报其他费用!$A:$B,2,FALSE)*I151,0)</f>
        <v/>
      </c>
      <c r="Y151" s="7" t="n">
        <v>-1.761</v>
      </c>
      <c r="Z151" s="8">
        <f>IFERROR(Y151/G151,0)</f>
        <v/>
      </c>
      <c r="AA151" s="7">
        <f>Y151-K151/1.06</f>
        <v/>
      </c>
      <c r="AB151" s="8">
        <f>IFERROR(AA151/G151,0)</f>
        <v/>
      </c>
      <c r="AC151" s="7">
        <f>Y151-(Q151+X151)/1.06</f>
        <v/>
      </c>
      <c r="AD151" s="8">
        <f>IFERROR(AC151/G151,0)</f>
        <v/>
      </c>
    </row>
    <row r="152" ht="14.25" customHeight="1" s="69">
      <c r="A152" s="5" t="inlineStr">
        <is>
          <t>6.22-6.28</t>
        </is>
      </c>
      <c r="B152" s="5" t="inlineStr">
        <is>
          <t>6.22-6.28</t>
        </is>
      </c>
      <c r="C152" s="119" t="n">
        <v>975092562679</v>
      </c>
      <c r="D152" s="5" t="inlineStr">
        <is>
          <t>韩式杯面</t>
        </is>
      </c>
      <c r="E152" s="5" t="inlineStr">
        <is>
          <t>营多韩式甜辣炸鸡火鸡面辣蘑菇杯面拌面泡面方便面速食宵夜旅行</t>
        </is>
      </c>
      <c r="F152" s="7" t="n">
        <v>23.28</v>
      </c>
      <c r="G152" s="7">
        <f>IFERROR(F152/1.13,0)</f>
        <v/>
      </c>
      <c r="H152" s="5" t="n">
        <v>1</v>
      </c>
      <c r="I152" s="8">
        <f>IFERROR(H152/SUMIF($A:$A,A152,$H:$H),0)</f>
        <v/>
      </c>
      <c r="J152" s="9">
        <f>IFERROR(F152/H152,0)</f>
        <v/>
      </c>
      <c r="K152" s="7" t="n">
        <v>2.98742485280446</v>
      </c>
      <c r="L152" s="7" t="n">
        <v>0.905249457700657</v>
      </c>
      <c r="M152" s="9">
        <f>IFERROR(L152/K152,0)</f>
        <v/>
      </c>
      <c r="N152" s="7" t="n">
        <v>0.589361636194608</v>
      </c>
      <c r="O152" s="7" t="n">
        <v>1.28362875735978</v>
      </c>
      <c r="P152" s="9">
        <f>IFERROR(O152/N152,0)</f>
        <v/>
      </c>
      <c r="Q152" s="7">
        <f>K152+N152</f>
        <v/>
      </c>
      <c r="R152" s="7">
        <f>L152+O152</f>
        <v/>
      </c>
      <c r="S152" s="9">
        <f>IFERROR(R152/Q152,0)</f>
        <v/>
      </c>
      <c r="T152" s="8">
        <f>IFERROR(Q152/SUMIF($A:$A,A152,$Q:$Q),0)</f>
        <v/>
      </c>
      <c r="U152" s="8">
        <f>IFERROR(Q152/F152,0)</f>
        <v/>
      </c>
      <c r="V152" s="7">
        <f>F152-R152</f>
        <v/>
      </c>
      <c r="W152" s="8">
        <f>IFERROR(V152/F152,0)</f>
        <v/>
      </c>
      <c r="X152" s="7">
        <f>IFERROR(VLOOKUP(A152,周报其他费用!$A:$B,2,FALSE)*I152,0)</f>
        <v/>
      </c>
      <c r="Y152" s="7" t="n">
        <v>3.875</v>
      </c>
      <c r="Z152" s="8">
        <f>IFERROR(Y152/G152,0)</f>
        <v/>
      </c>
      <c r="AA152" s="7">
        <f>Y152-K152/1.06</f>
        <v/>
      </c>
      <c r="AB152" s="8">
        <f>IFERROR(AA152/G152,0)</f>
        <v/>
      </c>
      <c r="AC152" s="7">
        <f>Y152-(Q152+X152)/1.06</f>
        <v/>
      </c>
      <c r="AD152" s="8">
        <f>IFERROR(AC152/G152,0)</f>
        <v/>
      </c>
    </row>
    <row r="153" ht="14.25" customHeight="1" s="69">
      <c r="A153" s="5" t="inlineStr">
        <is>
          <t>6.29-7.5</t>
        </is>
      </c>
      <c r="B153" s="5" t="inlineStr">
        <is>
          <t>6.29-7.5</t>
        </is>
      </c>
      <c r="C153" s="119" t="n">
        <v>668566625747</v>
      </c>
      <c r="D153" s="5" t="inlineStr">
        <is>
          <t>袋面主链接</t>
        </is>
      </c>
      <c r="E153" s="5" t="inlineStr">
        <is>
          <t>印尼营多捞面进口网红泡面袋装方便面速食食品拉面火鸡面拌面整箱</t>
        </is>
      </c>
      <c r="F153" s="7" t="n">
        <v>26236.2500000003</v>
      </c>
      <c r="G153" s="7">
        <f>IFERROR(F153/1.13,0)</f>
        <v/>
      </c>
      <c r="H153" s="5" t="n">
        <v>1063</v>
      </c>
      <c r="I153" s="8">
        <f>IFERROR(H153/SUMIF($A:$A,A153,$H:$H),0)</f>
        <v/>
      </c>
      <c r="J153" s="9">
        <f>IFERROR(F153/H153,0)</f>
        <v/>
      </c>
      <c r="K153" s="7" t="n">
        <v>3795.08428409413</v>
      </c>
      <c r="L153" s="7" t="n">
        <v>23988.9654890842</v>
      </c>
      <c r="M153" s="9">
        <f>IFERROR(L153/K153,0)</f>
        <v/>
      </c>
      <c r="N153" s="7" t="n">
        <v>576.349739155089</v>
      </c>
      <c r="O153" s="7" t="n">
        <v>1594.09613836121</v>
      </c>
      <c r="P153" s="9">
        <f>IFERROR(O153/N153,0)</f>
        <v/>
      </c>
      <c r="Q153" s="7">
        <f>K153+N153</f>
        <v/>
      </c>
      <c r="R153" s="7">
        <f>L153+O153</f>
        <v/>
      </c>
      <c r="S153" s="9">
        <f>IFERROR(R153/Q153,0)</f>
        <v/>
      </c>
      <c r="T153" s="8">
        <f>IFERROR(Q153/SUMIF($A:$A,A153,$Q:$Q),0)</f>
        <v/>
      </c>
      <c r="U153" s="8">
        <f>IFERROR(Q153/F153,0)</f>
        <v/>
      </c>
      <c r="V153" s="7">
        <f>F153-R153</f>
        <v/>
      </c>
      <c r="W153" s="8">
        <f>IFERROR(V153/F153,0)</f>
        <v/>
      </c>
      <c r="X153" s="7">
        <f>IFERROR(VLOOKUP(A153,周报其他费用!$A:$B,2,FALSE)*I153,0)</f>
        <v/>
      </c>
      <c r="Y153" s="7" t="n">
        <v>3646.94600000003</v>
      </c>
      <c r="Z153" s="8">
        <f>IFERROR(Y153/G153,0)</f>
        <v/>
      </c>
      <c r="AA153" s="7">
        <f>Y153-K153/1.06</f>
        <v/>
      </c>
      <c r="AB153" s="8">
        <f>IFERROR(AA153/G153,0)</f>
        <v/>
      </c>
      <c r="AC153" s="7">
        <f>Y153-(Q153+X153)/1.06</f>
        <v/>
      </c>
      <c r="AD153" s="8">
        <f>IFERROR(AC153/G153,0)</f>
        <v/>
      </c>
    </row>
    <row r="154" ht="14.25" customHeight="1" s="69">
      <c r="A154" s="5" t="inlineStr">
        <is>
          <t>6.29-7.5</t>
        </is>
      </c>
      <c r="B154" s="5" t="inlineStr">
        <is>
          <t>6.29-7.5</t>
        </is>
      </c>
      <c r="C154" s="119" t="n">
        <v>649361890551</v>
      </c>
      <c r="D154" s="5" t="inlineStr">
        <is>
          <t>袋面次链接</t>
        </is>
      </c>
      <c r="E154" s="5" t="inlineStr">
        <is>
          <t>营多捞面印尼进口Indomie网红夜宵早餐方便面火鸡面泡面拌面</t>
        </is>
      </c>
      <c r="F154" s="7" t="n">
        <v>18111.13</v>
      </c>
      <c r="G154" s="7">
        <f>IFERROR(F154/1.13,0)</f>
        <v/>
      </c>
      <c r="H154" s="5" t="n">
        <v>958</v>
      </c>
      <c r="I154" s="8">
        <f>IFERROR(H154/SUMIF($A:$A,A154,$H:$H),0)</f>
        <v/>
      </c>
      <c r="J154" s="9">
        <f>IFERROR(F154/H154,0)</f>
        <v/>
      </c>
      <c r="K154" s="7" t="n">
        <v>2631.04676779132</v>
      </c>
      <c r="L154" s="7" t="n">
        <v>17787.050722994</v>
      </c>
      <c r="M154" s="9">
        <f>IFERROR(L154/K154,0)</f>
        <v/>
      </c>
      <c r="N154" s="7" t="n">
        <v>519.419614403176</v>
      </c>
      <c r="O154" s="7" t="n">
        <v>1436.63603062092</v>
      </c>
      <c r="P154" s="9">
        <f>IFERROR(O154/N154,0)</f>
        <v/>
      </c>
      <c r="Q154" s="7">
        <f>K154+N154</f>
        <v/>
      </c>
      <c r="R154" s="7">
        <f>L154+O154</f>
        <v/>
      </c>
      <c r="S154" s="9">
        <f>IFERROR(R154/Q154,0)</f>
        <v/>
      </c>
      <c r="T154" s="8">
        <f>IFERROR(Q154/SUMIF($A:$A,A154,$Q:$Q),0)</f>
        <v/>
      </c>
      <c r="U154" s="8">
        <f>IFERROR(Q154/F154,0)</f>
        <v/>
      </c>
      <c r="V154" s="7">
        <f>F154-R154</f>
        <v/>
      </c>
      <c r="W154" s="8">
        <f>IFERROR(V154/F154,0)</f>
        <v/>
      </c>
      <c r="X154" s="7">
        <f>IFERROR(VLOOKUP(A154,周报其他费用!$A:$B,2,FALSE)*I154,0)</f>
        <v/>
      </c>
      <c r="Y154" s="7" t="n">
        <v>1782.44999999999</v>
      </c>
      <c r="Z154" s="8">
        <f>IFERROR(Y154/G154,0)</f>
        <v/>
      </c>
      <c r="AA154" s="7">
        <f>Y154-K154/1.06</f>
        <v/>
      </c>
      <c r="AB154" s="8">
        <f>IFERROR(AA154/G154,0)</f>
        <v/>
      </c>
      <c r="AC154" s="7">
        <f>Y154-(Q154+X154)/1.06</f>
        <v/>
      </c>
      <c r="AD154" s="8">
        <f>IFERROR(AC154/G154,0)</f>
        <v/>
      </c>
    </row>
    <row r="155" ht="14.25" customHeight="1" s="69">
      <c r="A155" s="5" t="inlineStr">
        <is>
          <t>6.29-7.5</t>
        </is>
      </c>
      <c r="B155" s="5" t="inlineStr">
        <is>
          <t>6.29-7.5</t>
        </is>
      </c>
      <c r="C155" s="119" t="n">
        <v>649735171438</v>
      </c>
      <c r="D155" s="5" t="inlineStr">
        <is>
          <t>杯面主链接</t>
        </is>
      </c>
      <c r="E155" s="5" t="inlineStr">
        <is>
          <t>印尼进口indomie营多捞面杯面速食泡面干拌面盒桶装方便面火鸡面</t>
        </is>
      </c>
      <c r="F155" s="7" t="n">
        <v>14323.79</v>
      </c>
      <c r="G155" s="7">
        <f>IFERROR(F155/1.13,0)</f>
        <v/>
      </c>
      <c r="H155" s="5" t="n">
        <v>554</v>
      </c>
      <c r="I155" s="8">
        <f>IFERROR(H155/SUMIF($A:$A,A155,$H:$H),0)</f>
        <v/>
      </c>
      <c r="J155" s="9">
        <f>IFERROR(F155/H155,0)</f>
        <v/>
      </c>
      <c r="K155" s="7" t="n">
        <v>2347.8694669691</v>
      </c>
      <c r="L155" s="7" t="n">
        <v>12797.1259087043</v>
      </c>
      <c r="M155" s="9">
        <f>IFERROR(L155/K155,0)</f>
        <v/>
      </c>
      <c r="N155" s="7" t="n">
        <v>300.374182024383</v>
      </c>
      <c r="O155" s="7" t="n">
        <v>830.78952083924</v>
      </c>
      <c r="P155" s="9">
        <f>IFERROR(O155/N155,0)</f>
        <v/>
      </c>
      <c r="Q155" s="7">
        <f>K155+N155</f>
        <v/>
      </c>
      <c r="R155" s="7">
        <f>L155+O155</f>
        <v/>
      </c>
      <c r="S155" s="9">
        <f>IFERROR(R155/Q155,0)</f>
        <v/>
      </c>
      <c r="T155" s="8">
        <f>IFERROR(Q155/SUMIF($A:$A,A155,$Q:$Q),0)</f>
        <v/>
      </c>
      <c r="U155" s="8">
        <f>IFERROR(Q155/F155,0)</f>
        <v/>
      </c>
      <c r="V155" s="7">
        <f>F155-R155</f>
        <v/>
      </c>
      <c r="W155" s="8">
        <f>IFERROR(V155/F155,0)</f>
        <v/>
      </c>
      <c r="X155" s="7">
        <f>IFERROR(VLOOKUP(A155,周报其他费用!$A:$B,2,FALSE)*I155,0)</f>
        <v/>
      </c>
      <c r="Y155" s="7" t="n">
        <v>1644.71000000001</v>
      </c>
      <c r="Z155" s="8">
        <f>IFERROR(Y155/G155,0)</f>
        <v/>
      </c>
      <c r="AA155" s="7">
        <f>Y155-K155/1.06</f>
        <v/>
      </c>
      <c r="AB155" s="8">
        <f>IFERROR(AA155/G155,0)</f>
        <v/>
      </c>
      <c r="AC155" s="7">
        <f>Y155-(Q155+X155)/1.06</f>
        <v/>
      </c>
      <c r="AD155" s="8">
        <f>IFERROR(AC155/G155,0)</f>
        <v/>
      </c>
    </row>
    <row r="156" ht="14.25" customHeight="1" s="69">
      <c r="A156" s="5" t="inlineStr">
        <is>
          <t>6.29-7.5</t>
        </is>
      </c>
      <c r="B156" s="5" t="inlineStr">
        <is>
          <t>6.29-7.5</t>
        </is>
      </c>
      <c r="C156" s="119" t="n">
        <v>649369494424</v>
      </c>
      <c r="D156" s="5" t="inlineStr">
        <is>
          <t>24包经典/牛系列</t>
        </is>
      </c>
      <c r="E156" s="5" t="inlineStr">
        <is>
          <t>营多捞面干拌面一整箱24袋装批发泡面混搭宿舍速食方便面火鸡面</t>
        </is>
      </c>
      <c r="F156" s="7" t="n">
        <v>6460.95</v>
      </c>
      <c r="G156" s="7">
        <f>IFERROR(F156/1.13,0)</f>
        <v/>
      </c>
      <c r="H156" s="5" t="n">
        <v>116</v>
      </c>
      <c r="I156" s="8">
        <f>IFERROR(H156/SUMIF($A:$A,A156,$H:$H),0)</f>
        <v/>
      </c>
      <c r="J156" s="9">
        <f>IFERROR(F156/H156,0)</f>
        <v/>
      </c>
      <c r="K156" s="7" t="n">
        <v>1033.50754182024</v>
      </c>
      <c r="L156" s="7" t="n">
        <v>5723.73831301389</v>
      </c>
      <c r="M156" s="9">
        <f>IFERROR(L156/K156,0)</f>
        <v/>
      </c>
      <c r="N156" s="7" t="n">
        <v>62.8942330592572</v>
      </c>
      <c r="O156" s="7" t="n">
        <v>173.955928551177</v>
      </c>
      <c r="P156" s="9">
        <f>IFERROR(O156/N156,0)</f>
        <v/>
      </c>
      <c r="Q156" s="7">
        <f>K156+N156</f>
        <v/>
      </c>
      <c r="R156" s="7">
        <f>L156+O156</f>
        <v/>
      </c>
      <c r="S156" s="9">
        <f>IFERROR(R156/Q156,0)</f>
        <v/>
      </c>
      <c r="T156" s="8">
        <f>IFERROR(Q156/SUMIF($A:$A,A156,$Q:$Q),0)</f>
        <v/>
      </c>
      <c r="U156" s="8">
        <f>IFERROR(Q156/F156,0)</f>
        <v/>
      </c>
      <c r="V156" s="7">
        <f>F156-R156</f>
        <v/>
      </c>
      <c r="W156" s="8">
        <f>IFERROR(V156/F156,0)</f>
        <v/>
      </c>
      <c r="X156" s="7">
        <f>IFERROR(VLOOKUP(A156,周报其他费用!$A:$B,2,FALSE)*I156,0)</f>
        <v/>
      </c>
      <c r="Y156" s="7" t="n">
        <v>1241.897</v>
      </c>
      <c r="Z156" s="8">
        <f>IFERROR(Y156/G156,0)</f>
        <v/>
      </c>
      <c r="AA156" s="7">
        <f>Y156-K156/1.06</f>
        <v/>
      </c>
      <c r="AB156" s="8">
        <f>IFERROR(AA156/G156,0)</f>
        <v/>
      </c>
      <c r="AC156" s="7">
        <f>Y156-(Q156+X156)/1.06</f>
        <v/>
      </c>
      <c r="AD156" s="8">
        <f>IFERROR(AC156/G156,0)</f>
        <v/>
      </c>
    </row>
    <row r="157" ht="14.25" customHeight="1" s="69">
      <c r="A157" s="5" t="inlineStr">
        <is>
          <t>6.29-7.5</t>
        </is>
      </c>
      <c r="B157" s="5" t="inlineStr">
        <is>
          <t>6.29-7.5</t>
        </is>
      </c>
      <c r="C157" s="119" t="n">
        <v>1057479227624</v>
      </c>
      <c r="D157" s="5" t="inlineStr">
        <is>
          <t>巴东牛肉</t>
        </is>
      </c>
      <c r="E157" s="5" t="inlineStr">
        <is>
          <t>【新口味】印尼进口营多捞面巴东炖牛肉味泡面方便面宿舍速食宵夜</t>
        </is>
      </c>
      <c r="F157" s="7" t="n">
        <v>1950.93</v>
      </c>
      <c r="G157" s="7">
        <f>IFERROR(F157/1.13,0)</f>
        <v/>
      </c>
      <c r="H157" s="5" t="n">
        <v>108</v>
      </c>
      <c r="I157" s="8">
        <f>IFERROR(H157/SUMIF($A:$A,A157,$H:$H),0)</f>
        <v/>
      </c>
      <c r="J157" s="9">
        <f>IFERROR(F157/H157,0)</f>
        <v/>
      </c>
      <c r="K157" s="7" t="n">
        <v>610.951159625744</v>
      </c>
      <c r="L157" s="7" t="n">
        <v>3453.43118797845</v>
      </c>
      <c r="M157" s="9">
        <f>IFERROR(L157/K157,0)</f>
        <v/>
      </c>
      <c r="N157" s="7" t="n">
        <v>58.5566997448256</v>
      </c>
      <c r="O157" s="7" t="n">
        <v>161.95896796144</v>
      </c>
      <c r="P157" s="9">
        <f>IFERROR(O157/N157,0)</f>
        <v/>
      </c>
      <c r="Q157" s="7">
        <f>K157+N157</f>
        <v/>
      </c>
      <c r="R157" s="7">
        <f>L157+O157</f>
        <v/>
      </c>
      <c r="S157" s="9">
        <f>IFERROR(R157/Q157,0)</f>
        <v/>
      </c>
      <c r="T157" s="8">
        <f>IFERROR(Q157/SUMIF($A:$A,A157,$Q:$Q),0)</f>
        <v/>
      </c>
      <c r="U157" s="8">
        <f>IFERROR(Q157/F157,0)</f>
        <v/>
      </c>
      <c r="V157" s="7">
        <f>F157-R157</f>
        <v/>
      </c>
      <c r="W157" s="8">
        <f>IFERROR(V157/F157,0)</f>
        <v/>
      </c>
      <c r="X157" s="7">
        <f>IFERROR(VLOOKUP(A157,周报其他费用!$A:$B,2,FALSE)*I157,0)</f>
        <v/>
      </c>
      <c r="Y157" s="7" t="n">
        <v>218.561</v>
      </c>
      <c r="Z157" s="8">
        <f>IFERROR(Y157/G157,0)</f>
        <v/>
      </c>
      <c r="AA157" s="7">
        <f>Y157-K157/1.06</f>
        <v/>
      </c>
      <c r="AB157" s="8">
        <f>IFERROR(AA157/G157,0)</f>
        <v/>
      </c>
      <c r="AC157" s="7">
        <f>Y157-(Q157+X157)/1.06</f>
        <v/>
      </c>
      <c r="AD157" s="8">
        <f>IFERROR(AC157/G157,0)</f>
        <v/>
      </c>
    </row>
    <row r="158" ht="14.25" customHeight="1" s="69">
      <c r="A158" s="5" t="inlineStr">
        <is>
          <t>6.29-7.5</t>
        </is>
      </c>
      <c r="B158" s="5" t="inlineStr">
        <is>
          <t>6.29-7.5</t>
        </is>
      </c>
      <c r="C158" s="119" t="n">
        <v>648600900806</v>
      </c>
      <c r="D158" s="5" t="inlineStr">
        <is>
          <t>30包</t>
        </is>
      </c>
      <c r="E158" s="5" t="inlineStr">
        <is>
          <t>进口营多捞面一整箱30包网红速食方便面宿舍速食泡面干拌面拉面</t>
        </is>
      </c>
      <c r="F158" s="7" t="n">
        <v>6510.9</v>
      </c>
      <c r="G158" s="7">
        <f>IFERROR(F158/1.13,0)</f>
        <v/>
      </c>
      <c r="H158" s="5" t="n">
        <v>96</v>
      </c>
      <c r="I158" s="8">
        <f>IFERROR(H158/SUMIF($A:$A,A158,$H:$H),0)</f>
        <v/>
      </c>
      <c r="J158" s="9">
        <f>IFERROR(F158/H158,0)</f>
        <v/>
      </c>
      <c r="K158" s="7" t="n">
        <v>1375.20658633399</v>
      </c>
      <c r="L158" s="7" t="n">
        <v>6790.08550042529</v>
      </c>
      <c r="M158" s="9">
        <f>IFERROR(L158/K158,0)</f>
        <v/>
      </c>
      <c r="N158" s="7" t="n">
        <v>52.0503997731783</v>
      </c>
      <c r="O158" s="7" t="n">
        <v>143.963527076836</v>
      </c>
      <c r="P158" s="9">
        <f>IFERROR(O158/N158,0)</f>
        <v/>
      </c>
      <c r="Q158" s="7">
        <f>K158+N158</f>
        <v/>
      </c>
      <c r="R158" s="7">
        <f>L158+O158</f>
        <v/>
      </c>
      <c r="S158" s="9">
        <f>IFERROR(R158/Q158,0)</f>
        <v/>
      </c>
      <c r="T158" s="8">
        <f>IFERROR(Q158/SUMIF($A:$A,A158,$Q:$Q),0)</f>
        <v/>
      </c>
      <c r="U158" s="8">
        <f>IFERROR(Q158/F158,0)</f>
        <v/>
      </c>
      <c r="V158" s="7">
        <f>F158-R158</f>
        <v/>
      </c>
      <c r="W158" s="8">
        <f>IFERROR(V158/F158,0)</f>
        <v/>
      </c>
      <c r="X158" s="7">
        <f>IFERROR(VLOOKUP(A158,周报其他费用!$A:$B,2,FALSE)*I158,0)</f>
        <v/>
      </c>
      <c r="Y158" s="7" t="n">
        <v>1248.594</v>
      </c>
      <c r="Z158" s="8">
        <f>IFERROR(Y158/G158,0)</f>
        <v/>
      </c>
      <c r="AA158" s="7">
        <f>Y158-K158/1.06</f>
        <v/>
      </c>
      <c r="AB158" s="8">
        <f>IFERROR(AA158/G158,0)</f>
        <v/>
      </c>
      <c r="AC158" s="7">
        <f>Y158-(Q158+X158)/1.06</f>
        <v/>
      </c>
      <c r="AD158" s="8">
        <f>IFERROR(AC158/G158,0)</f>
        <v/>
      </c>
    </row>
    <row r="159" ht="14.25" customHeight="1" s="69">
      <c r="A159" s="5" t="inlineStr">
        <is>
          <t>6.29-7.5</t>
        </is>
      </c>
      <c r="B159" s="5" t="inlineStr">
        <is>
          <t>6.29-7.5</t>
        </is>
      </c>
      <c r="C159" s="119" t="n">
        <v>648598580775</v>
      </c>
      <c r="D159" s="5" t="inlineStr">
        <is>
          <t>15包</t>
        </is>
      </c>
      <c r="E159" s="5" t="inlineStr">
        <is>
          <t>进口营多捞面15包Indomie方便面干拌面夜宵方便速食五连包85g*5</t>
        </is>
      </c>
      <c r="F159" s="7" t="n">
        <v>2542.28</v>
      </c>
      <c r="G159" s="7">
        <f>IFERROR(F159/1.13,0)</f>
        <v/>
      </c>
      <c r="H159" s="5" t="n">
        <v>70</v>
      </c>
      <c r="I159" s="8">
        <f>IFERROR(H159/SUMIF($A:$A,A159,$H:$H),0)</f>
        <v/>
      </c>
      <c r="J159" s="9">
        <f>IFERROR(F159/H159,0)</f>
        <v/>
      </c>
      <c r="K159" s="7" t="n">
        <v>499.778344201871</v>
      </c>
      <c r="L159" s="7" t="n">
        <v>2259.24984406011</v>
      </c>
      <c r="M159" s="9">
        <f>IFERROR(L159/K159,0)</f>
        <v/>
      </c>
      <c r="N159" s="7" t="n">
        <v>37.9534165012759</v>
      </c>
      <c r="O159" s="7" t="n">
        <v>104.973405160193</v>
      </c>
      <c r="P159" s="9">
        <f>IFERROR(O159/N159,0)</f>
        <v/>
      </c>
      <c r="Q159" s="7">
        <f>K159+N159</f>
        <v/>
      </c>
      <c r="R159" s="7">
        <f>L159+O159</f>
        <v/>
      </c>
      <c r="S159" s="9">
        <f>IFERROR(R159/Q159,0)</f>
        <v/>
      </c>
      <c r="T159" s="8">
        <f>IFERROR(Q159/SUMIF($A:$A,A159,$Q:$Q),0)</f>
        <v/>
      </c>
      <c r="U159" s="8">
        <f>IFERROR(Q159/F159,0)</f>
        <v/>
      </c>
      <c r="V159" s="7">
        <f>F159-R159</f>
        <v/>
      </c>
      <c r="W159" s="8">
        <f>IFERROR(V159/F159,0)</f>
        <v/>
      </c>
      <c r="X159" s="7">
        <f>IFERROR(VLOOKUP(A159,周报其他费用!$A:$B,2,FALSE)*I159,0)</f>
        <v/>
      </c>
      <c r="Y159" s="7" t="n">
        <v>426.402</v>
      </c>
      <c r="Z159" s="8">
        <f>IFERROR(Y159/G159,0)</f>
        <v/>
      </c>
      <c r="AA159" s="7">
        <f>Y159-K159/1.06</f>
        <v/>
      </c>
      <c r="AB159" s="8">
        <f>IFERROR(AA159/G159,0)</f>
        <v/>
      </c>
      <c r="AC159" s="7">
        <f>Y159-(Q159+X159)/1.06</f>
        <v/>
      </c>
      <c r="AD159" s="8">
        <f>IFERROR(AC159/G159,0)</f>
        <v/>
      </c>
    </row>
    <row r="160" ht="14.25" customHeight="1" s="69">
      <c r="A160" s="5" t="inlineStr">
        <is>
          <t>6.29-7.5</t>
        </is>
      </c>
      <c r="B160" s="5" t="inlineStr">
        <is>
          <t>6.29-7.5</t>
        </is>
      </c>
      <c r="C160" s="119" t="n">
        <v>649014937782</v>
      </c>
      <c r="D160" s="5" t="inlineStr">
        <is>
          <t>24包</t>
        </is>
      </c>
      <c r="E160" s="5" t="inlineStr">
        <is>
          <t>印尼营多捞面干拌面一整箱24袋装批发泡面宿舍速食方便面火鸡面</t>
        </is>
      </c>
      <c r="F160" s="7" t="n">
        <v>3441.28</v>
      </c>
      <c r="G160" s="7">
        <f>IFERROR(F160/1.13,0)</f>
        <v/>
      </c>
      <c r="H160" s="5" t="n">
        <v>62</v>
      </c>
      <c r="I160" s="8">
        <f>IFERROR(H160/SUMIF($A:$A,A160,$H:$H),0)</f>
        <v/>
      </c>
      <c r="J160" s="9">
        <f>IFERROR(F160/H160,0)</f>
        <v/>
      </c>
      <c r="K160" s="7" t="n">
        <v>785.661962007372</v>
      </c>
      <c r="L160" s="7" t="n">
        <v>2960.84271902467</v>
      </c>
      <c r="M160" s="9">
        <f>IFERROR(L160/K160,0)</f>
        <v/>
      </c>
      <c r="N160" s="7" t="n">
        <v>33.6158831868443</v>
      </c>
      <c r="O160" s="7" t="n">
        <v>92.97644457045649</v>
      </c>
      <c r="P160" s="9">
        <f>IFERROR(O160/N160,0)</f>
        <v/>
      </c>
      <c r="Q160" s="7">
        <f>K160+N160</f>
        <v/>
      </c>
      <c r="R160" s="7">
        <f>L160+O160</f>
        <v/>
      </c>
      <c r="S160" s="9">
        <f>IFERROR(R160/Q160,0)</f>
        <v/>
      </c>
      <c r="T160" s="8">
        <f>IFERROR(Q160/SUMIF($A:$A,A160,$Q:$Q),0)</f>
        <v/>
      </c>
      <c r="U160" s="8">
        <f>IFERROR(Q160/F160,0)</f>
        <v/>
      </c>
      <c r="V160" s="7">
        <f>F160-R160</f>
        <v/>
      </c>
      <c r="W160" s="8">
        <f>IFERROR(V160/F160,0)</f>
        <v/>
      </c>
      <c r="X160" s="7">
        <f>IFERROR(VLOOKUP(A160,周报其他费用!$A:$B,2,FALSE)*I160,0)</f>
        <v/>
      </c>
      <c r="Y160" s="7" t="n">
        <v>641.439</v>
      </c>
      <c r="Z160" s="8">
        <f>IFERROR(Y160/G160,0)</f>
        <v/>
      </c>
      <c r="AA160" s="7">
        <f>Y160-K160/1.06</f>
        <v/>
      </c>
      <c r="AB160" s="8">
        <f>IFERROR(AA160/G160,0)</f>
        <v/>
      </c>
      <c r="AC160" s="7">
        <f>Y160-(Q160+X160)/1.06</f>
        <v/>
      </c>
      <c r="AD160" s="8">
        <f>IFERROR(AC160/G160,0)</f>
        <v/>
      </c>
    </row>
    <row r="161" ht="14.25" customHeight="1" s="69">
      <c r="A161" s="5" t="inlineStr">
        <is>
          <t>6.29-7.5</t>
        </is>
      </c>
      <c r="B161" s="5" t="inlineStr">
        <is>
          <t>6.29-7.5</t>
        </is>
      </c>
      <c r="C161" s="119" t="n">
        <v>1013887677295</v>
      </c>
      <c r="D161" s="5" t="inlineStr">
        <is>
          <t>混搭5杯</t>
        </is>
      </c>
      <c r="E161" s="5" t="inlineStr">
        <is>
          <t>进口营多原味杯面日式杯面韩式杯面泡面方便面汤面宿舍速食夜宵</t>
        </is>
      </c>
      <c r="F161" s="7" t="n">
        <v>1690.96</v>
      </c>
      <c r="G161" s="7">
        <f>IFERROR(F161/1.13,0)</f>
        <v/>
      </c>
      <c r="H161" s="5" t="n">
        <v>62</v>
      </c>
      <c r="I161" s="8">
        <f>IFERROR(H161/SUMIF($A:$A,A161,$H:$H),0)</f>
        <v/>
      </c>
      <c r="J161" s="9">
        <f>IFERROR(F161/H161,0)</f>
        <v/>
      </c>
      <c r="K161" s="7" t="n">
        <v>273.021962007372</v>
      </c>
      <c r="L161" s="7" t="n">
        <v>1797.59271902467</v>
      </c>
      <c r="M161" s="9">
        <f>IFERROR(L161/K161,0)</f>
        <v/>
      </c>
      <c r="N161" s="7" t="n">
        <v>33.6158831868443</v>
      </c>
      <c r="O161" s="7" t="n">
        <v>92.97644457045649</v>
      </c>
      <c r="P161" s="9">
        <f>IFERROR(O161/N161,0)</f>
        <v/>
      </c>
      <c r="Q161" s="7">
        <f>K161+N161</f>
        <v/>
      </c>
      <c r="R161" s="7">
        <f>L161+O161</f>
        <v/>
      </c>
      <c r="S161" s="9">
        <f>IFERROR(R161/Q161,0)</f>
        <v/>
      </c>
      <c r="T161" s="8">
        <f>IFERROR(Q161/SUMIF($A:$A,A161,$Q:$Q),0)</f>
        <v/>
      </c>
      <c r="U161" s="8">
        <f>IFERROR(Q161/F161,0)</f>
        <v/>
      </c>
      <c r="V161" s="7">
        <f>F161-R161</f>
        <v/>
      </c>
      <c r="W161" s="8">
        <f>IFERROR(V161/F161,0)</f>
        <v/>
      </c>
      <c r="X161" s="7">
        <f>IFERROR(VLOOKUP(A161,周报其他费用!$A:$B,2,FALSE)*I161,0)</f>
        <v/>
      </c>
      <c r="Y161" s="7" t="n">
        <v>214.279</v>
      </c>
      <c r="Z161" s="8">
        <f>IFERROR(Y161/G161,0)</f>
        <v/>
      </c>
      <c r="AA161" s="7">
        <f>Y161-K161/1.06</f>
        <v/>
      </c>
      <c r="AB161" s="8">
        <f>IFERROR(AA161/G161,0)</f>
        <v/>
      </c>
      <c r="AC161" s="7">
        <f>Y161-(Q161+X161)/1.06</f>
        <v/>
      </c>
      <c r="AD161" s="8">
        <f>IFERROR(AC161/G161,0)</f>
        <v/>
      </c>
    </row>
    <row r="162" ht="14.25" customHeight="1" s="69">
      <c r="A162" s="5" t="inlineStr">
        <is>
          <t>6.29-7.5</t>
        </is>
      </c>
      <c r="B162" s="5" t="inlineStr">
        <is>
          <t>6.29-7.5</t>
        </is>
      </c>
      <c r="C162" s="119" t="n">
        <v>1058280415678</v>
      </c>
      <c r="D162" s="5" t="inlineStr">
        <is>
          <t>原味大包</t>
        </is>
      </c>
      <c r="E162" s="5" t="inlineStr">
        <is>
          <t>印尼进口大大包营多原味捞面5包干拌面速食超大包方便面速食宵夜</t>
        </is>
      </c>
      <c r="F162" s="7" t="n">
        <v>1586.68</v>
      </c>
      <c r="G162" s="7">
        <f>IFERROR(F162/1.13,0)</f>
        <v/>
      </c>
      <c r="H162" s="5" t="n">
        <v>60</v>
      </c>
      <c r="I162" s="8">
        <f>IFERROR(H162/SUMIF($A:$A,A162,$H:$H),0)</f>
        <v/>
      </c>
      <c r="J162" s="9">
        <f>IFERROR(F162/H162,0)</f>
        <v/>
      </c>
      <c r="K162" s="7" t="n">
        <v>273.362866458747</v>
      </c>
      <c r="L162" s="7" t="n">
        <v>1695.50843776581</v>
      </c>
      <c r="M162" s="9">
        <f>IFERROR(L162/K162,0)</f>
        <v/>
      </c>
      <c r="N162" s="7" t="n">
        <v>32.5314998582365</v>
      </c>
      <c r="O162" s="7" t="n">
        <v>89.9772044230224</v>
      </c>
      <c r="P162" s="9">
        <f>IFERROR(O162/N162,0)</f>
        <v/>
      </c>
      <c r="Q162" s="7">
        <f>K162+N162</f>
        <v/>
      </c>
      <c r="R162" s="7">
        <f>L162+O162</f>
        <v/>
      </c>
      <c r="S162" s="9">
        <f>IFERROR(R162/Q162,0)</f>
        <v/>
      </c>
      <c r="T162" s="8">
        <f>IFERROR(Q162/SUMIF($A:$A,A162,$Q:$Q),0)</f>
        <v/>
      </c>
      <c r="U162" s="8">
        <f>IFERROR(Q162/F162,0)</f>
        <v/>
      </c>
      <c r="V162" s="7">
        <f>F162-R162</f>
        <v/>
      </c>
      <c r="W162" s="8">
        <f>IFERROR(V162/F162,0)</f>
        <v/>
      </c>
      <c r="X162" s="7">
        <f>IFERROR(VLOOKUP(A162,周报其他费用!$A:$B,2,FALSE)*I162,0)</f>
        <v/>
      </c>
      <c r="Y162" s="7" t="n">
        <v>338.05</v>
      </c>
      <c r="Z162" s="8">
        <f>IFERROR(Y162/G162,0)</f>
        <v/>
      </c>
      <c r="AA162" s="7">
        <f>Y162-K162/1.06</f>
        <v/>
      </c>
      <c r="AB162" s="8">
        <f>IFERROR(AA162/G162,0)</f>
        <v/>
      </c>
      <c r="AC162" s="7">
        <f>Y162-(Q162+X162)/1.06</f>
        <v/>
      </c>
      <c r="AD162" s="8">
        <f>IFERROR(AC162/G162,0)</f>
        <v/>
      </c>
    </row>
    <row r="163" ht="14.25" customHeight="1" s="69">
      <c r="A163" s="5" t="inlineStr">
        <is>
          <t>6.29-7.5</t>
        </is>
      </c>
      <c r="B163" s="5" t="inlineStr">
        <is>
          <t>6.29-7.5</t>
        </is>
      </c>
      <c r="C163" s="119" t="n">
        <v>648681860568</v>
      </c>
      <c r="D163" s="5" t="inlineStr">
        <is>
          <t>杯面次链接</t>
        </is>
      </c>
      <c r="E163" s="5" t="inlineStr">
        <is>
          <t>营多捞面杯装方便面泡面速食干拌面原味整箱批发印尼进口桶装拌面</t>
        </is>
      </c>
      <c r="F163" s="7" t="n">
        <v>1932.54</v>
      </c>
      <c r="G163" s="7">
        <f>IFERROR(F163/1.13,0)</f>
        <v/>
      </c>
      <c r="H163" s="5" t="n">
        <v>60</v>
      </c>
      <c r="I163" s="8">
        <f>IFERROR(H163/SUMIF($A:$A,A163,$H:$H),0)</f>
        <v/>
      </c>
      <c r="J163" s="9">
        <f>IFERROR(F163/H163,0)</f>
        <v/>
      </c>
      <c r="K163" s="7" t="n">
        <v>156.332866458747</v>
      </c>
      <c r="L163" s="7" t="n">
        <v>1033.30843776581</v>
      </c>
      <c r="M163" s="9">
        <f>IFERROR(L163/K163,0)</f>
        <v/>
      </c>
      <c r="N163" s="7" t="n">
        <v>32.5314998582365</v>
      </c>
      <c r="O163" s="7" t="n">
        <v>89.9772044230224</v>
      </c>
      <c r="P163" s="9">
        <f>IFERROR(O163/N163,0)</f>
        <v/>
      </c>
      <c r="Q163" s="7">
        <f>K163+N163</f>
        <v/>
      </c>
      <c r="R163" s="7">
        <f>L163+O163</f>
        <v/>
      </c>
      <c r="S163" s="9">
        <f>IFERROR(R163/Q163,0)</f>
        <v/>
      </c>
      <c r="T163" s="8">
        <f>IFERROR(Q163/SUMIF($A:$A,A163,$Q:$Q),0)</f>
        <v/>
      </c>
      <c r="U163" s="8">
        <f>IFERROR(Q163/F163,0)</f>
        <v/>
      </c>
      <c r="V163" s="7">
        <f>F163-R163</f>
        <v/>
      </c>
      <c r="W163" s="8">
        <f>IFERROR(V163/F163,0)</f>
        <v/>
      </c>
      <c r="X163" s="7">
        <f>IFERROR(VLOOKUP(A163,周报其他费用!$A:$B,2,FALSE)*I163,0)</f>
        <v/>
      </c>
      <c r="Y163" s="7" t="n">
        <v>256.248</v>
      </c>
      <c r="Z163" s="8">
        <f>IFERROR(Y163/G163,0)</f>
        <v/>
      </c>
      <c r="AA163" s="7">
        <f>Y163-K163/1.06</f>
        <v/>
      </c>
      <c r="AB163" s="8">
        <f>IFERROR(AA163/G163,0)</f>
        <v/>
      </c>
      <c r="AC163" s="7">
        <f>Y163-(Q163+X163)/1.06</f>
        <v/>
      </c>
      <c r="AD163" s="8">
        <f>IFERROR(AC163/G163,0)</f>
        <v/>
      </c>
    </row>
    <row r="164" ht="14.25" customHeight="1" s="69">
      <c r="A164" s="5" t="inlineStr">
        <is>
          <t>6.29-7.5</t>
        </is>
      </c>
      <c r="B164" s="5" t="inlineStr">
        <is>
          <t>6.29-7.5</t>
        </is>
      </c>
      <c r="C164" s="119" t="n">
        <v>1060999732877</v>
      </c>
      <c r="D164" s="5" t="inlineStr">
        <is>
          <t>原味大包</t>
        </is>
      </c>
      <c r="E164" s="5" t="inlineStr">
        <is>
          <t>indomie印尼进口营多原味大大包129g捞面方便面速食食品宵夜小吃</t>
        </is>
      </c>
      <c r="F164" s="7" t="n">
        <v>1326.4</v>
      </c>
      <c r="G164" s="7">
        <f>IFERROR(F164/1.13,0)</f>
        <v/>
      </c>
      <c r="H164" s="5" t="n">
        <v>46</v>
      </c>
      <c r="I164" s="8">
        <f>IFERROR(H164/SUMIF($A:$A,A164,$H:$H),0)</f>
        <v/>
      </c>
      <c r="J164" s="9">
        <f>IFERROR(F164/H164,0)</f>
        <v/>
      </c>
      <c r="K164" s="7" t="n">
        <v>282.679197618373</v>
      </c>
      <c r="L164" s="7" t="n">
        <v>1585.39846895378</v>
      </c>
      <c r="M164" s="9">
        <f>IFERROR(L164/K164,0)</f>
        <v/>
      </c>
      <c r="N164" s="7" t="n">
        <v>24.9408165579813</v>
      </c>
      <c r="O164" s="7" t="n">
        <v>68.9825233909838</v>
      </c>
      <c r="P164" s="9">
        <f>IFERROR(O164/N164,0)</f>
        <v/>
      </c>
      <c r="Q164" s="7">
        <f>K164+N164</f>
        <v/>
      </c>
      <c r="R164" s="7">
        <f>L164+O164</f>
        <v/>
      </c>
      <c r="S164" s="9">
        <f>IFERROR(R164/Q164,0)</f>
        <v/>
      </c>
      <c r="T164" s="8">
        <f>IFERROR(Q164/SUMIF($A:$A,A164,$Q:$Q),0)</f>
        <v/>
      </c>
      <c r="U164" s="8">
        <f>IFERROR(Q164/F164,0)</f>
        <v/>
      </c>
      <c r="V164" s="7">
        <f>F164-R164</f>
        <v/>
      </c>
      <c r="W164" s="8">
        <f>IFERROR(V164/F164,0)</f>
        <v/>
      </c>
      <c r="X164" s="7">
        <f>IFERROR(VLOOKUP(A164,周报其他费用!$A:$B,2,FALSE)*I164,0)</f>
        <v/>
      </c>
      <c r="Y164" s="7" t="n">
        <v>286.498</v>
      </c>
      <c r="Z164" s="8">
        <f>IFERROR(Y164/G164,0)</f>
        <v/>
      </c>
      <c r="AA164" s="7">
        <f>Y164-K164/1.06</f>
        <v/>
      </c>
      <c r="AB164" s="8">
        <f>IFERROR(AA164/G164,0)</f>
        <v/>
      </c>
      <c r="AC164" s="7">
        <f>Y164-(Q164+X164)/1.06</f>
        <v/>
      </c>
      <c r="AD164" s="8">
        <f>IFERROR(AC164/G164,0)</f>
        <v/>
      </c>
    </row>
    <row r="165" ht="14.25" customHeight="1" s="69">
      <c r="A165" s="5" t="inlineStr">
        <is>
          <t>6.29-7.5</t>
        </is>
      </c>
      <c r="B165" s="5" t="inlineStr">
        <is>
          <t>6.29-7.5</t>
        </is>
      </c>
      <c r="C165" s="119" t="n">
        <v>1059563993918</v>
      </c>
      <c r="D165" s="5" t="inlineStr">
        <is>
          <t>巴东牛肉</t>
        </is>
      </c>
      <c r="E165" s="5" t="inlineStr">
        <is>
          <t>营多进口新口味巴东炖牛肉味捞面印尼料理方便面泡面捞面夜宵速食</t>
        </is>
      </c>
      <c r="F165" s="7" t="n">
        <v>620.6799999999999</v>
      </c>
      <c r="G165" s="7">
        <f>IFERROR(F165/1.13,0)</f>
        <v/>
      </c>
      <c r="H165" s="5" t="n">
        <v>40</v>
      </c>
      <c r="I165" s="8">
        <f>IFERROR(H165/SUMIF($A:$A,A165,$H:$H),0)</f>
        <v/>
      </c>
      <c r="J165" s="9">
        <f>IFERROR(F165/H165,0)</f>
        <v/>
      </c>
      <c r="K165" s="7" t="n">
        <v>232.981910972498</v>
      </c>
      <c r="L165" s="7" t="n">
        <v>924.205625177204</v>
      </c>
      <c r="M165" s="9">
        <f>IFERROR(L165/K165,0)</f>
        <v/>
      </c>
      <c r="N165" s="7" t="n">
        <v>21.6876665721576</v>
      </c>
      <c r="O165" s="7" t="n">
        <v>59.9848029486816</v>
      </c>
      <c r="P165" s="9">
        <f>IFERROR(O165/N165,0)</f>
        <v/>
      </c>
      <c r="Q165" s="7">
        <f>K165+N165</f>
        <v/>
      </c>
      <c r="R165" s="7">
        <f>L165+O165</f>
        <v/>
      </c>
      <c r="S165" s="9">
        <f>IFERROR(R165/Q165,0)</f>
        <v/>
      </c>
      <c r="T165" s="8">
        <f>IFERROR(Q165/SUMIF($A:$A,A165,$Q:$Q),0)</f>
        <v/>
      </c>
      <c r="U165" s="8">
        <f>IFERROR(Q165/F165,0)</f>
        <v/>
      </c>
      <c r="V165" s="7">
        <f>F165-R165</f>
        <v/>
      </c>
      <c r="W165" s="8">
        <f>IFERROR(V165/F165,0)</f>
        <v/>
      </c>
      <c r="X165" s="7">
        <f>IFERROR(VLOOKUP(A165,周报其他费用!$A:$B,2,FALSE)*I165,0)</f>
        <v/>
      </c>
      <c r="Y165" s="7" t="n">
        <v>54.642</v>
      </c>
      <c r="Z165" s="8">
        <f>IFERROR(Y165/G165,0)</f>
        <v/>
      </c>
      <c r="AA165" s="7">
        <f>Y165-K165/1.06</f>
        <v/>
      </c>
      <c r="AB165" s="8">
        <f>IFERROR(AA165/G165,0)</f>
        <v/>
      </c>
      <c r="AC165" s="7">
        <f>Y165-(Q165+X165)/1.06</f>
        <v/>
      </c>
      <c r="AD165" s="8">
        <f>IFERROR(AC165/G165,0)</f>
        <v/>
      </c>
    </row>
    <row r="166" ht="14.25" customHeight="1" s="69">
      <c r="A166" s="5" t="inlineStr">
        <is>
          <t>6.29-7.5</t>
        </is>
      </c>
      <c r="B166" s="5" t="inlineStr">
        <is>
          <t>6.29-7.5</t>
        </is>
      </c>
      <c r="C166" s="119" t="n">
        <v>929504658691</v>
      </c>
      <c r="D166" s="5" t="inlineStr">
        <is>
          <t>日式袋面</t>
        </is>
      </c>
      <c r="E166" s="5" t="inlineStr">
        <is>
          <t>营多捞面日式鸡肉汤面原味辛辣味袋装泡面方便面速食宿舍夜宵食品</t>
        </is>
      </c>
      <c r="F166" s="7" t="n">
        <v>895.63</v>
      </c>
      <c r="G166" s="7">
        <f>IFERROR(F166/1.13,0)</f>
        <v/>
      </c>
      <c r="H166" s="5" t="n">
        <v>37</v>
      </c>
      <c r="I166" s="8">
        <f>IFERROR(H166/SUMIF($A:$A,A166,$H:$H),0)</f>
        <v/>
      </c>
      <c r="J166" s="9">
        <f>IFERROR(F166/H166,0)</f>
        <v/>
      </c>
      <c r="K166" s="7" t="n">
        <v>327.318267649561</v>
      </c>
      <c r="L166" s="7" t="n">
        <v>1017.00920328891</v>
      </c>
      <c r="M166" s="9">
        <f>IFERROR(L166/K166,0)</f>
        <v/>
      </c>
      <c r="N166" s="7" t="n">
        <v>20.0610915792458</v>
      </c>
      <c r="O166" s="7" t="n">
        <v>55.4859427275305</v>
      </c>
      <c r="P166" s="9">
        <f>IFERROR(O166/N166,0)</f>
        <v/>
      </c>
      <c r="Q166" s="7">
        <f>K166+N166</f>
        <v/>
      </c>
      <c r="R166" s="7">
        <f>L166+O166</f>
        <v/>
      </c>
      <c r="S166" s="9">
        <f>IFERROR(R166/Q166,0)</f>
        <v/>
      </c>
      <c r="T166" s="8">
        <f>IFERROR(Q166/SUMIF($A:$A,A166,$Q:$Q),0)</f>
        <v/>
      </c>
      <c r="U166" s="8">
        <f>IFERROR(Q166/F166,0)</f>
        <v/>
      </c>
      <c r="V166" s="7">
        <f>F166-R166</f>
        <v/>
      </c>
      <c r="W166" s="8">
        <f>IFERROR(V166/F166,0)</f>
        <v/>
      </c>
      <c r="X166" s="7">
        <f>IFERROR(VLOOKUP(A166,周报其他费用!$A:$B,2,FALSE)*I166,0)</f>
        <v/>
      </c>
      <c r="Y166" s="7" t="n">
        <v>153.236</v>
      </c>
      <c r="Z166" s="8">
        <f>IFERROR(Y166/G166,0)</f>
        <v/>
      </c>
      <c r="AA166" s="7">
        <f>Y166-K166/1.06</f>
        <v/>
      </c>
      <c r="AB166" s="8">
        <f>IFERROR(AA166/G166,0)</f>
        <v/>
      </c>
      <c r="AC166" s="7">
        <f>Y166-(Q166+X166)/1.06</f>
        <v/>
      </c>
      <c r="AD166" s="8">
        <f>IFERROR(AC166/G166,0)</f>
        <v/>
      </c>
    </row>
    <row r="167" ht="14.25" customHeight="1" s="69">
      <c r="A167" s="5" t="inlineStr">
        <is>
          <t>6.29-7.5</t>
        </is>
      </c>
      <c r="B167" s="5" t="inlineStr">
        <is>
          <t>6.29-7.5</t>
        </is>
      </c>
      <c r="C167" s="119" t="n">
        <v>766165464414</v>
      </c>
      <c r="D167" s="5" t="inlineStr">
        <is>
          <t>12包</t>
        </is>
      </c>
      <c r="E167" s="5" t="inlineStr">
        <is>
          <t>营多印尼进口营多捞面方便面火鸡面干拌面12包宿舍速食泡面夜宵</t>
        </is>
      </c>
      <c r="F167" s="7" t="n">
        <v>950.75</v>
      </c>
      <c r="G167" s="7">
        <f>IFERROR(F167/1.13,0)</f>
        <v/>
      </c>
      <c r="H167" s="5" t="n">
        <v>32</v>
      </c>
      <c r="I167" s="8">
        <f>IFERROR(H167/SUMIF($A:$A,A167,$H:$H),0)</f>
        <v/>
      </c>
      <c r="J167" s="9">
        <f>IFERROR(F167/H167,0)</f>
        <v/>
      </c>
      <c r="K167" s="7" t="n">
        <v>37.4555287779983</v>
      </c>
      <c r="L167" s="7" t="n">
        <v>305.068500141763</v>
      </c>
      <c r="M167" s="9">
        <f>IFERROR(L167/K167,0)</f>
        <v/>
      </c>
      <c r="N167" s="7" t="n">
        <v>17.3501332577261</v>
      </c>
      <c r="O167" s="7" t="n">
        <v>47.9878423589453</v>
      </c>
      <c r="P167" s="9">
        <f>IFERROR(O167/N167,0)</f>
        <v/>
      </c>
      <c r="Q167" s="7">
        <f>K167+N167</f>
        <v/>
      </c>
      <c r="R167" s="7">
        <f>L167+O167</f>
        <v/>
      </c>
      <c r="S167" s="9">
        <f>IFERROR(R167/Q167,0)</f>
        <v/>
      </c>
      <c r="T167" s="8">
        <f>IFERROR(Q167/SUMIF($A:$A,A167,$Q:$Q),0)</f>
        <v/>
      </c>
      <c r="U167" s="8">
        <f>IFERROR(Q167/F167,0)</f>
        <v/>
      </c>
      <c r="V167" s="7">
        <f>F167-R167</f>
        <v/>
      </c>
      <c r="W167" s="8">
        <f>IFERROR(V167/F167,0)</f>
        <v/>
      </c>
      <c r="X167" s="7">
        <f>IFERROR(VLOOKUP(A167,周报其他费用!$A:$B,2,FALSE)*I167,0)</f>
        <v/>
      </c>
      <c r="Y167" s="7" t="n">
        <v>133.384</v>
      </c>
      <c r="Z167" s="8">
        <f>IFERROR(Y167/G167,0)</f>
        <v/>
      </c>
      <c r="AA167" s="7">
        <f>Y167-K167/1.06</f>
        <v/>
      </c>
      <c r="AB167" s="8">
        <f>IFERROR(AA167/G167,0)</f>
        <v/>
      </c>
      <c r="AC167" s="7">
        <f>Y167-(Q167+X167)/1.06</f>
        <v/>
      </c>
      <c r="AD167" s="8">
        <f>IFERROR(AC167/G167,0)</f>
        <v/>
      </c>
    </row>
    <row r="168" ht="14.25" customHeight="1" s="69">
      <c r="A168" s="5" t="inlineStr">
        <is>
          <t>6.29-7.5</t>
        </is>
      </c>
      <c r="B168" s="5" t="inlineStr">
        <is>
          <t>6.29-7.5</t>
        </is>
      </c>
      <c r="C168" s="119" t="n">
        <v>735014804839</v>
      </c>
      <c r="D168" s="5" t="inlineStr">
        <is>
          <t>24/30包</t>
        </is>
      </c>
      <c r="E168" s="5" t="inlineStr">
        <is>
          <t>进口营多捞面多口味Indomie网红方便面干拌面泡面30包整箱批发面</t>
        </is>
      </c>
      <c r="F168" s="7" t="n">
        <v>1825.52</v>
      </c>
      <c r="G168" s="7">
        <f>IFERROR(F168/1.13,0)</f>
        <v/>
      </c>
      <c r="H168" s="5" t="n">
        <v>27</v>
      </c>
      <c r="I168" s="8">
        <f>IFERROR(H168/SUMIF($A:$A,A168,$H:$H),0)</f>
        <v/>
      </c>
      <c r="J168" s="9">
        <f>IFERROR(F168/H168,0)</f>
        <v/>
      </c>
      <c r="K168" s="7" t="n">
        <v>309.442789906436</v>
      </c>
      <c r="L168" s="7" t="n">
        <v>1586.51779699461</v>
      </c>
      <c r="M168" s="9">
        <f>IFERROR(L168/K168,0)</f>
        <v/>
      </c>
      <c r="N168" s="7" t="n">
        <v>14.6391749362064</v>
      </c>
      <c r="O168" s="7" t="n">
        <v>40.4897419903601</v>
      </c>
      <c r="P168" s="9">
        <f>IFERROR(O168/N168,0)</f>
        <v/>
      </c>
      <c r="Q168" s="7">
        <f>K168+N168</f>
        <v/>
      </c>
      <c r="R168" s="7">
        <f>L168+O168</f>
        <v/>
      </c>
      <c r="S168" s="9">
        <f>IFERROR(R168/Q168,0)</f>
        <v/>
      </c>
      <c r="T168" s="8">
        <f>IFERROR(Q168/SUMIF($A:$A,A168,$Q:$Q),0)</f>
        <v/>
      </c>
      <c r="U168" s="8">
        <f>IFERROR(Q168/F168,0)</f>
        <v/>
      </c>
      <c r="V168" s="7">
        <f>F168-R168</f>
        <v/>
      </c>
      <c r="W168" s="8">
        <f>IFERROR(V168/F168,0)</f>
        <v/>
      </c>
      <c r="X168" s="7">
        <f>IFERROR(VLOOKUP(A168,周报其他费用!$A:$B,2,FALSE)*I168,0)</f>
        <v/>
      </c>
      <c r="Y168" s="7" t="n">
        <v>344.746</v>
      </c>
      <c r="Z168" s="8">
        <f>IFERROR(Y168/G168,0)</f>
        <v/>
      </c>
      <c r="AA168" s="7">
        <f>Y168-K168/1.06</f>
        <v/>
      </c>
      <c r="AB168" s="8">
        <f>IFERROR(AA168/G168,0)</f>
        <v/>
      </c>
      <c r="AC168" s="7">
        <f>Y168-(Q168+X168)/1.06</f>
        <v/>
      </c>
      <c r="AD168" s="8">
        <f>IFERROR(AC168/G168,0)</f>
        <v/>
      </c>
    </row>
    <row r="169" ht="14.25" customHeight="1" s="69">
      <c r="A169" s="5" t="inlineStr">
        <is>
          <t>6.29-7.5</t>
        </is>
      </c>
      <c r="B169" s="5" t="inlineStr">
        <is>
          <t>6.29-7.5</t>
        </is>
      </c>
      <c r="C169" s="119" t="n">
        <v>744317232690</v>
      </c>
      <c r="D169" s="5" t="inlineStr">
        <is>
          <t>多规格</t>
        </is>
      </c>
      <c r="E169" s="5" t="inlineStr">
        <is>
          <t>营多捞面汤面清香牛肉味方便面泡面速食食品泡面拉面整箱旅行宿舍</t>
        </is>
      </c>
      <c r="F169" s="7" t="n">
        <v>466.72</v>
      </c>
      <c r="G169" s="7">
        <f>IFERROR(F169/1.13,0)</f>
        <v/>
      </c>
      <c r="H169" s="5" t="n">
        <v>24</v>
      </c>
      <c r="I169" s="8">
        <f>IFERROR(H169/SUMIF($A:$A,A169,$H:$H),0)</f>
        <v/>
      </c>
      <c r="J169" s="9">
        <f>IFERROR(F169/H169,0)</f>
        <v/>
      </c>
      <c r="K169" s="7" t="n">
        <v>85.0791465834987</v>
      </c>
      <c r="L169" s="7" t="n">
        <v>483.441375106322</v>
      </c>
      <c r="M169" s="9">
        <f>IFERROR(L169/K169,0)</f>
        <v/>
      </c>
      <c r="N169" s="7" t="n">
        <v>13.0125999432946</v>
      </c>
      <c r="O169" s="7" t="n">
        <v>35.990881769209</v>
      </c>
      <c r="P169" s="9">
        <f>IFERROR(O169/N169,0)</f>
        <v/>
      </c>
      <c r="Q169" s="7">
        <f>K169+N169</f>
        <v/>
      </c>
      <c r="R169" s="7">
        <f>L169+O169</f>
        <v/>
      </c>
      <c r="S169" s="9">
        <f>IFERROR(R169/Q169,0)</f>
        <v/>
      </c>
      <c r="T169" s="8">
        <f>IFERROR(Q169/SUMIF($A:$A,A169,$Q:$Q),0)</f>
        <v/>
      </c>
      <c r="U169" s="8">
        <f>IFERROR(Q169/F169,0)</f>
        <v/>
      </c>
      <c r="V169" s="7">
        <f>F169-R169</f>
        <v/>
      </c>
      <c r="W169" s="8">
        <f>IFERROR(V169/F169,0)</f>
        <v/>
      </c>
      <c r="X169" s="7">
        <f>IFERROR(VLOOKUP(A169,周报其他费用!$A:$B,2,FALSE)*I169,0)</f>
        <v/>
      </c>
      <c r="Y169" s="7" t="n">
        <v>44.055</v>
      </c>
      <c r="Z169" s="8">
        <f>IFERROR(Y169/G169,0)</f>
        <v/>
      </c>
      <c r="AA169" s="7">
        <f>Y169-K169/1.06</f>
        <v/>
      </c>
      <c r="AB169" s="8">
        <f>IFERROR(AA169/G169,0)</f>
        <v/>
      </c>
      <c r="AC169" s="7">
        <f>Y169-(Q169+X169)/1.06</f>
        <v/>
      </c>
      <c r="AD169" s="8">
        <f>IFERROR(AC169/G169,0)</f>
        <v/>
      </c>
    </row>
    <row r="170" ht="14.25" customHeight="1" s="69">
      <c r="A170" s="5" t="inlineStr">
        <is>
          <t>6.29-7.5</t>
        </is>
      </c>
      <c r="B170" s="5" t="inlineStr">
        <is>
          <t>6.29-7.5</t>
        </is>
      </c>
      <c r="C170" s="119" t="n">
        <v>971242260371</v>
      </c>
      <c r="D170" s="5" t="inlineStr">
        <is>
          <t>韩式袋面</t>
        </is>
      </c>
      <c r="E170" s="5" t="inlineStr">
        <is>
          <t>新品营多捞面韩式辣蘑菇汤面泡面方便面速食干拌面宿舍宵夜旅行</t>
        </is>
      </c>
      <c r="F170" s="7" t="n">
        <v>487.46</v>
      </c>
      <c r="G170" s="7">
        <f>IFERROR(F170/1.13,0)</f>
        <v/>
      </c>
      <c r="H170" s="5" t="n">
        <v>23</v>
      </c>
      <c r="I170" s="8">
        <f>IFERROR(H170/SUMIF($A:$A,A170,$H:$H),0)</f>
        <v/>
      </c>
      <c r="J170" s="9">
        <f>IFERROR(F170/H170,0)</f>
        <v/>
      </c>
      <c r="K170" s="7" t="n">
        <v>126.084598809186</v>
      </c>
      <c r="L170" s="7" t="n">
        <v>661.5192344768921</v>
      </c>
      <c r="M170" s="9">
        <f>IFERROR(L170/K170,0)</f>
        <v/>
      </c>
      <c r="N170" s="7" t="n">
        <v>12.4704082789906</v>
      </c>
      <c r="O170" s="7" t="n">
        <v>34.4912616954919</v>
      </c>
      <c r="P170" s="9">
        <f>IFERROR(O170/N170,0)</f>
        <v/>
      </c>
      <c r="Q170" s="7">
        <f>K170+N170</f>
        <v/>
      </c>
      <c r="R170" s="7">
        <f>L170+O170</f>
        <v/>
      </c>
      <c r="S170" s="9">
        <f>IFERROR(R170/Q170,0)</f>
        <v/>
      </c>
      <c r="T170" s="8">
        <f>IFERROR(Q170/SUMIF($A:$A,A170,$Q:$Q),0)</f>
        <v/>
      </c>
      <c r="U170" s="8">
        <f>IFERROR(Q170/F170,0)</f>
        <v/>
      </c>
      <c r="V170" s="7">
        <f>F170-R170</f>
        <v/>
      </c>
      <c r="W170" s="8">
        <f>IFERROR(V170/F170,0)</f>
        <v/>
      </c>
      <c r="X170" s="7">
        <f>IFERROR(VLOOKUP(A170,周报其他费用!$A:$B,2,FALSE)*I170,0)</f>
        <v/>
      </c>
      <c r="Y170" s="7" t="n">
        <v>94.297</v>
      </c>
      <c r="Z170" s="8">
        <f>IFERROR(Y170/G170,0)</f>
        <v/>
      </c>
      <c r="AA170" s="7">
        <f>Y170-K170/1.06</f>
        <v/>
      </c>
      <c r="AB170" s="8">
        <f>IFERROR(AA170/G170,0)</f>
        <v/>
      </c>
      <c r="AC170" s="7">
        <f>Y170-(Q170+X170)/1.06</f>
        <v/>
      </c>
      <c r="AD170" s="8">
        <f>IFERROR(AC170/G170,0)</f>
        <v/>
      </c>
    </row>
    <row r="171" ht="14.25" customHeight="1" s="69">
      <c r="A171" s="5" t="inlineStr">
        <is>
          <t>6.29-7.5</t>
        </is>
      </c>
      <c r="B171" s="5" t="inlineStr">
        <is>
          <t>6.29-7.5</t>
        </is>
      </c>
      <c r="C171" s="119" t="n">
        <v>886856687067</v>
      </c>
      <c r="D171" s="5" t="inlineStr">
        <is>
          <t>大骨</t>
        </is>
      </c>
      <c r="E171" s="5" t="inlineStr">
        <is>
          <t>营多捞面牛系列大骨牛肉味方便面食品泡面拉面汤面宿舍宵夜旅行</t>
        </is>
      </c>
      <c r="F171" s="7" t="n">
        <v>292.06</v>
      </c>
      <c r="G171" s="7">
        <f>IFERROR(F171/1.13,0)</f>
        <v/>
      </c>
      <c r="H171" s="5" t="n">
        <v>13</v>
      </c>
      <c r="I171" s="8">
        <f>IFERROR(H171/SUMIF($A:$A,A171,$H:$H),0)</f>
        <v/>
      </c>
      <c r="J171" s="9">
        <f>IFERROR(F171/H171,0)</f>
        <v/>
      </c>
      <c r="K171" s="7" t="n">
        <v>12.9891210660618</v>
      </c>
      <c r="L171" s="7" t="n">
        <v>171.967828182591</v>
      </c>
      <c r="M171" s="9">
        <f>IFERROR(L171/K171,0)</f>
        <v/>
      </c>
      <c r="N171" s="7" t="n">
        <v>7.04849163595123</v>
      </c>
      <c r="O171" s="7" t="n">
        <v>19.4950609583215</v>
      </c>
      <c r="P171" s="9">
        <f>IFERROR(O171/N171,0)</f>
        <v/>
      </c>
      <c r="Q171" s="7">
        <f>K171+N171</f>
        <v/>
      </c>
      <c r="R171" s="7">
        <f>L171+O171</f>
        <v/>
      </c>
      <c r="S171" s="9">
        <f>IFERROR(R171/Q171,0)</f>
        <v/>
      </c>
      <c r="T171" s="8">
        <f>IFERROR(Q171/SUMIF($A:$A,A171,$Q:$Q),0)</f>
        <v/>
      </c>
      <c r="U171" s="8">
        <f>IFERROR(Q171/F171,0)</f>
        <v/>
      </c>
      <c r="V171" s="7">
        <f>F171-R171</f>
        <v/>
      </c>
      <c r="W171" s="8">
        <f>IFERROR(V171/F171,0)</f>
        <v/>
      </c>
      <c r="X171" s="7">
        <f>IFERROR(VLOOKUP(A171,周报其他费用!$A:$B,2,FALSE)*I171,0)</f>
        <v/>
      </c>
      <c r="Y171" s="7" t="n">
        <v>29.662</v>
      </c>
      <c r="Z171" s="8">
        <f>IFERROR(Y171/G171,0)</f>
        <v/>
      </c>
      <c r="AA171" s="7">
        <f>Y171-K171/1.06</f>
        <v/>
      </c>
      <c r="AB171" s="8">
        <f>IFERROR(AA171/G171,0)</f>
        <v/>
      </c>
      <c r="AC171" s="7">
        <f>Y171-(Q171+X171)/1.06</f>
        <v/>
      </c>
      <c r="AD171" s="8">
        <f>IFERROR(AC171/G171,0)</f>
        <v/>
      </c>
    </row>
    <row r="172" ht="14.25" customHeight="1" s="69">
      <c r="A172" s="5" t="inlineStr">
        <is>
          <t>6.29-7.5</t>
        </is>
      </c>
      <c r="B172" s="5" t="inlineStr">
        <is>
          <t>6.29-7.5</t>
        </is>
      </c>
      <c r="C172" s="119" t="n">
        <v>969423151512</v>
      </c>
      <c r="D172" s="5" t="inlineStr">
        <is>
          <t>日韩混搭</t>
        </is>
      </c>
      <c r="E172" s="5" t="inlineStr">
        <is>
          <t>营多捞面甜辣炸鸡火鸡面辣蘑菇泡面方便面速食干拌面宿舍宵夜旅行</t>
        </is>
      </c>
      <c r="F172" s="7" t="n">
        <v>225.51</v>
      </c>
      <c r="G172" s="7">
        <f>IFERROR(F172/1.13,0)</f>
        <v/>
      </c>
      <c r="H172" s="5" t="n">
        <v>12</v>
      </c>
      <c r="I172" s="8">
        <f>IFERROR(H172/SUMIF($A:$A,A172,$H:$H),0)</f>
        <v/>
      </c>
      <c r="J172" s="9">
        <f>IFERROR(F172/H172,0)</f>
        <v/>
      </c>
      <c r="K172" s="7" t="n">
        <v>115.384573291749</v>
      </c>
      <c r="L172" s="7" t="n">
        <v>646.385687553161</v>
      </c>
      <c r="M172" s="9">
        <f>IFERROR(L172/K172,0)</f>
        <v/>
      </c>
      <c r="N172" s="7" t="n">
        <v>6.50629997164729</v>
      </c>
      <c r="O172" s="7" t="n">
        <v>17.9954408846045</v>
      </c>
      <c r="P172" s="9">
        <f>IFERROR(O172/N172,0)</f>
        <v/>
      </c>
      <c r="Q172" s="7">
        <f>K172+N172</f>
        <v/>
      </c>
      <c r="R172" s="7">
        <f>L172+O172</f>
        <v/>
      </c>
      <c r="S172" s="9">
        <f>IFERROR(R172/Q172,0)</f>
        <v/>
      </c>
      <c r="T172" s="8">
        <f>IFERROR(Q172/SUMIF($A:$A,A172,$Q:$Q),0)</f>
        <v/>
      </c>
      <c r="U172" s="8">
        <f>IFERROR(Q172/F172,0)</f>
        <v/>
      </c>
      <c r="V172" s="7">
        <f>F172-R172</f>
        <v/>
      </c>
      <c r="W172" s="8">
        <f>IFERROR(V172/F172,0)</f>
        <v/>
      </c>
      <c r="X172" s="7">
        <f>IFERROR(VLOOKUP(A172,周报其他费用!$A:$B,2,FALSE)*I172,0)</f>
        <v/>
      </c>
      <c r="Y172" s="7" t="n">
        <v>38.073</v>
      </c>
      <c r="Z172" s="8">
        <f>IFERROR(Y172/G172,0)</f>
        <v/>
      </c>
      <c r="AA172" s="7">
        <f>Y172-K172/1.06</f>
        <v/>
      </c>
      <c r="AB172" s="8">
        <f>IFERROR(AA172/G172,0)</f>
        <v/>
      </c>
      <c r="AC172" s="7">
        <f>Y172-(Q172+X172)/1.06</f>
        <v/>
      </c>
      <c r="AD172" s="8">
        <f>IFERROR(AC172/G172,0)</f>
        <v/>
      </c>
    </row>
    <row r="173" ht="14.25" customHeight="1" s="69">
      <c r="A173" s="5" t="inlineStr">
        <is>
          <t>6.29-7.5</t>
        </is>
      </c>
      <c r="B173" s="5" t="inlineStr">
        <is>
          <t>6.29-7.5</t>
        </is>
      </c>
      <c r="C173" s="119" t="n">
        <v>903183018417</v>
      </c>
      <c r="D173" s="5" t="inlineStr">
        <is>
          <t>七口味混搭</t>
        </is>
      </c>
      <c r="E173" s="5" t="inlineStr">
        <is>
          <t>进口营多捞面汤面拌面七口味混合方便面速拉面宿舍拌面泡面食食品</t>
        </is>
      </c>
      <c r="F173" s="7" t="n">
        <v>152.88</v>
      </c>
      <c r="G173" s="7">
        <f>IFERROR(F173/1.13,0)</f>
        <v/>
      </c>
      <c r="H173" s="5" t="n">
        <v>8</v>
      </c>
      <c r="I173" s="8">
        <f>IFERROR(H173/SUMIF($A:$A,A173,$H:$H),0)</f>
        <v/>
      </c>
      <c r="J173" s="9">
        <f>IFERROR(F173/H173,0)</f>
        <v/>
      </c>
      <c r="K173" s="7" t="n">
        <v>13.6563821944996</v>
      </c>
      <c r="L173" s="7" t="n">
        <v>43.4571250354408</v>
      </c>
      <c r="M173" s="9">
        <f>IFERROR(L173/K173,0)</f>
        <v/>
      </c>
      <c r="N173" s="7" t="n">
        <v>4.33753331443153</v>
      </c>
      <c r="O173" s="7" t="n">
        <v>11.9969605897363</v>
      </c>
      <c r="P173" s="9">
        <f>IFERROR(O173/N173,0)</f>
        <v/>
      </c>
      <c r="Q173" s="7">
        <f>K173+N173</f>
        <v/>
      </c>
      <c r="R173" s="7">
        <f>L173+O173</f>
        <v/>
      </c>
      <c r="S173" s="9">
        <f>IFERROR(R173/Q173,0)</f>
        <v/>
      </c>
      <c r="T173" s="8">
        <f>IFERROR(Q173/SUMIF($A:$A,A173,$Q:$Q),0)</f>
        <v/>
      </c>
      <c r="U173" s="8">
        <f>IFERROR(Q173/F173,0)</f>
        <v/>
      </c>
      <c r="V173" s="7">
        <f>F173-R173</f>
        <v/>
      </c>
      <c r="W173" s="8">
        <f>IFERROR(V173/F173,0)</f>
        <v/>
      </c>
      <c r="X173" s="7">
        <f>IFERROR(VLOOKUP(A173,周报其他费用!$A:$B,2,FALSE)*I173,0)</f>
        <v/>
      </c>
      <c r="Y173" s="7" t="n">
        <v>16.926</v>
      </c>
      <c r="Z173" s="8">
        <f>IFERROR(Y173/G173,0)</f>
        <v/>
      </c>
      <c r="AA173" s="7">
        <f>Y173-K173/1.06</f>
        <v/>
      </c>
      <c r="AB173" s="8">
        <f>IFERROR(AA173/G173,0)</f>
        <v/>
      </c>
      <c r="AC173" s="7">
        <f>Y173-(Q173+X173)/1.06</f>
        <v/>
      </c>
      <c r="AD173" s="8">
        <f>IFERROR(AC173/G173,0)</f>
        <v/>
      </c>
    </row>
    <row r="174" ht="14.25" customHeight="1" s="69">
      <c r="A174" s="5" t="inlineStr">
        <is>
          <t>6.29-7.5</t>
        </is>
      </c>
      <c r="B174" s="5" t="inlineStr">
        <is>
          <t>6.29-7.5</t>
        </is>
      </c>
      <c r="C174" s="119" t="n">
        <v>648604228786</v>
      </c>
      <c r="D174" s="5" t="inlineStr">
        <is>
          <t>杯面混搭</t>
        </is>
      </c>
      <c r="E174" s="5" t="inlineStr">
        <is>
          <t>INDOMIE营多日式杯面原味经典泡面整箱批发速食宿舍旅行宵夜宿舍</t>
        </is>
      </c>
      <c r="F174" s="7" t="n">
        <v>220.6</v>
      </c>
      <c r="G174" s="7">
        <f>IFERROR(F174/1.13,0)</f>
        <v/>
      </c>
      <c r="H174" s="5" t="n">
        <v>8</v>
      </c>
      <c r="I174" s="8">
        <f>IFERROR(H174/SUMIF($A:$A,A174,$H:$H),0)</f>
        <v/>
      </c>
      <c r="J174" s="9">
        <f>IFERROR(F174/H174,0)</f>
        <v/>
      </c>
      <c r="K174" s="7" t="n">
        <v>13.1463821944996</v>
      </c>
      <c r="L174" s="7" t="n">
        <v>97.9571250354408</v>
      </c>
      <c r="M174" s="9">
        <f>IFERROR(L174/K174,0)</f>
        <v/>
      </c>
      <c r="N174" s="7" t="n">
        <v>4.33753331443153</v>
      </c>
      <c r="O174" s="7" t="n">
        <v>11.9969605897363</v>
      </c>
      <c r="P174" s="9">
        <f>IFERROR(O174/N174,0)</f>
        <v/>
      </c>
      <c r="Q174" s="7">
        <f>K174+N174</f>
        <v/>
      </c>
      <c r="R174" s="7">
        <f>L174+O174</f>
        <v/>
      </c>
      <c r="S174" s="9">
        <f>IFERROR(R174/Q174,0)</f>
        <v/>
      </c>
      <c r="T174" s="8">
        <f>IFERROR(Q174/SUMIF($A:$A,A174,$Q:$Q),0)</f>
        <v/>
      </c>
      <c r="U174" s="8">
        <f>IFERROR(Q174/F174,0)</f>
        <v/>
      </c>
      <c r="V174" s="7">
        <f>F174-R174</f>
        <v/>
      </c>
      <c r="W174" s="8">
        <f>IFERROR(V174/F174,0)</f>
        <v/>
      </c>
      <c r="X174" s="7">
        <f>IFERROR(VLOOKUP(A174,周报其他费用!$A:$B,2,FALSE)*I174,0)</f>
        <v/>
      </c>
      <c r="Y174" s="7" t="n">
        <v>27.072</v>
      </c>
      <c r="Z174" s="8">
        <f>IFERROR(Y174/G174,0)</f>
        <v/>
      </c>
      <c r="AA174" s="7">
        <f>Y174-K174/1.06</f>
        <v/>
      </c>
      <c r="AB174" s="8">
        <f>IFERROR(AA174/G174,0)</f>
        <v/>
      </c>
      <c r="AC174" s="7">
        <f>Y174-(Q174+X174)/1.06</f>
        <v/>
      </c>
      <c r="AD174" s="8">
        <f>IFERROR(AC174/G174,0)</f>
        <v/>
      </c>
    </row>
    <row r="175" ht="14.25" customHeight="1" s="69">
      <c r="A175" s="5" t="inlineStr">
        <is>
          <t>6.29-7.5</t>
        </is>
      </c>
      <c r="B175" s="5" t="inlineStr">
        <is>
          <t>6.29-7.5</t>
        </is>
      </c>
      <c r="C175" s="119" t="n">
        <v>937005385662</v>
      </c>
      <c r="D175" s="5" t="inlineStr">
        <is>
          <t>日式袋面</t>
        </is>
      </c>
      <c r="E175" s="5" t="inlineStr">
        <is>
          <t>进口营多正品捞面日式鸡肉鸡汤辛辣味袋装泡面辣味速食方便面汤面</t>
        </is>
      </c>
      <c r="F175" s="7" t="n">
        <v>155.96</v>
      </c>
      <c r="G175" s="7">
        <f>IFERROR(F175/1.13,0)</f>
        <v/>
      </c>
      <c r="H175" s="5" t="n">
        <v>7</v>
      </c>
      <c r="I175" s="8">
        <f>IFERROR(H175/SUMIF($A:$A,A175,$H:$H),0)</f>
        <v/>
      </c>
      <c r="J175" s="9">
        <f>IFERROR(F175/H175,0)</f>
        <v/>
      </c>
      <c r="K175" s="7" t="n">
        <v>21.2118344201871</v>
      </c>
      <c r="L175" s="7" t="n">
        <v>141.124984406011</v>
      </c>
      <c r="M175" s="9">
        <f>IFERROR(L175/K175,0)</f>
        <v/>
      </c>
      <c r="N175" s="7" t="n">
        <v>3.79534165012759</v>
      </c>
      <c r="O175" s="7" t="n">
        <v>10.4973405160193</v>
      </c>
      <c r="P175" s="9">
        <f>IFERROR(O175/N175,0)</f>
        <v/>
      </c>
      <c r="Q175" s="7">
        <f>K175+N175</f>
        <v/>
      </c>
      <c r="R175" s="7">
        <f>L175+O175</f>
        <v/>
      </c>
      <c r="S175" s="9">
        <f>IFERROR(R175/Q175,0)</f>
        <v/>
      </c>
      <c r="T175" s="8">
        <f>IFERROR(Q175/SUMIF($A:$A,A175,$Q:$Q),0)</f>
        <v/>
      </c>
      <c r="U175" s="8">
        <f>IFERROR(Q175/F175,0)</f>
        <v/>
      </c>
      <c r="V175" s="7">
        <f>F175-R175</f>
        <v/>
      </c>
      <c r="W175" s="8">
        <f>IFERROR(V175/F175,0)</f>
        <v/>
      </c>
      <c r="X175" s="7">
        <f>IFERROR(VLOOKUP(A175,周报其他费用!$A:$B,2,FALSE)*I175,0)</f>
        <v/>
      </c>
      <c r="Y175" s="7" t="n">
        <v>28.689</v>
      </c>
      <c r="Z175" s="8">
        <f>IFERROR(Y175/G175,0)</f>
        <v/>
      </c>
      <c r="AA175" s="7">
        <f>Y175-K175/1.06</f>
        <v/>
      </c>
      <c r="AB175" s="8">
        <f>IFERROR(AA175/G175,0)</f>
        <v/>
      </c>
      <c r="AC175" s="7">
        <f>Y175-(Q175+X175)/1.06</f>
        <v/>
      </c>
      <c r="AD175" s="8">
        <f>IFERROR(AC175/G175,0)</f>
        <v/>
      </c>
    </row>
    <row r="176" ht="14.25" customHeight="1" s="69">
      <c r="A176" s="5" t="inlineStr">
        <is>
          <t>6.29-7.5</t>
        </is>
      </c>
      <c r="B176" s="5" t="inlineStr">
        <is>
          <t>6.29-7.5</t>
        </is>
      </c>
      <c r="C176" s="119" t="n">
        <v>898076297965</v>
      </c>
      <c r="D176" s="5" t="inlineStr">
        <is>
          <t>番茄牛肉</t>
        </is>
      </c>
      <c r="E176" s="5" t="inlineStr">
        <is>
          <t>进口正品意面风味奶香番茄牛肉味意式拌面营多捞面早餐儿童宝妈餐</t>
        </is>
      </c>
      <c r="F176" s="7" t="n">
        <v>128.33</v>
      </c>
      <c r="G176" s="7">
        <f>IFERROR(F176/1.13,0)</f>
        <v/>
      </c>
      <c r="H176" s="5" t="n">
        <v>7</v>
      </c>
      <c r="I176" s="8">
        <f>IFERROR(H176/SUMIF($A:$A,A176,$H:$H),0)</f>
        <v/>
      </c>
      <c r="J176" s="9">
        <f>IFERROR(F176/H176,0)</f>
        <v/>
      </c>
      <c r="K176" s="7" t="n">
        <v>16.2418344201871</v>
      </c>
      <c r="L176" s="7" t="n">
        <v>98.6849844060107</v>
      </c>
      <c r="M176" s="9">
        <f>IFERROR(L176/K176,0)</f>
        <v/>
      </c>
      <c r="N176" s="7" t="n">
        <v>3.79534165012759</v>
      </c>
      <c r="O176" s="7" t="n">
        <v>10.4973405160193</v>
      </c>
      <c r="P176" s="9">
        <f>IFERROR(O176/N176,0)</f>
        <v/>
      </c>
      <c r="Q176" s="7">
        <f>K176+N176</f>
        <v/>
      </c>
      <c r="R176" s="7">
        <f>L176+O176</f>
        <v/>
      </c>
      <c r="S176" s="9">
        <f>IFERROR(R176/Q176,0)</f>
        <v/>
      </c>
      <c r="T176" s="8">
        <f>IFERROR(Q176/SUMIF($A:$A,A176,$Q:$Q),0)</f>
        <v/>
      </c>
      <c r="U176" s="8">
        <f>IFERROR(Q176/F176,0)</f>
        <v/>
      </c>
      <c r="V176" s="7">
        <f>F176-R176</f>
        <v/>
      </c>
      <c r="W176" s="8">
        <f>IFERROR(V176/F176,0)</f>
        <v/>
      </c>
      <c r="X176" s="7">
        <f>IFERROR(VLOOKUP(A176,周报其他费用!$A:$B,2,FALSE)*I176,0)</f>
        <v/>
      </c>
      <c r="Y176" s="7" t="n">
        <v>10.049</v>
      </c>
      <c r="Z176" s="8">
        <f>IFERROR(Y176/G176,0)</f>
        <v/>
      </c>
      <c r="AA176" s="7">
        <f>Y176-K176/1.06</f>
        <v/>
      </c>
      <c r="AB176" s="8">
        <f>IFERROR(AA176/G176,0)</f>
        <v/>
      </c>
      <c r="AC176" s="7">
        <f>Y176-(Q176+X176)/1.06</f>
        <v/>
      </c>
      <c r="AD176" s="8">
        <f>IFERROR(AC176/G176,0)</f>
        <v/>
      </c>
    </row>
    <row r="177" ht="14.25" customHeight="1" s="69">
      <c r="A177" s="5" t="inlineStr">
        <is>
          <t>6.29-7.5</t>
        </is>
      </c>
      <c r="B177" s="5" t="inlineStr">
        <is>
          <t>6.29-7.5</t>
        </is>
      </c>
      <c r="C177" s="119" t="n">
        <v>932687928859</v>
      </c>
      <c r="D177" s="5" t="inlineStr">
        <is>
          <t>8包组合</t>
        </is>
      </c>
      <c r="E177" s="5" t="inlineStr">
        <is>
          <t>营多捞面八口味袋装泡面拌面速食面干拌面方便面宿舍宵夜速食家用</t>
        </is>
      </c>
      <c r="F177" s="7" t="n">
        <v>99.31</v>
      </c>
      <c r="G177" s="7">
        <f>IFERROR(F177/1.13,0)</f>
        <v/>
      </c>
      <c r="H177" s="5" t="n">
        <v>4</v>
      </c>
      <c r="I177" s="8">
        <f>IFERROR(H177/SUMIF($A:$A,A177,$H:$H),0)</f>
        <v/>
      </c>
      <c r="J177" s="9">
        <f>IFERROR(F177/H177,0)</f>
        <v/>
      </c>
      <c r="K177" s="7" t="n">
        <v>4.15819109724979</v>
      </c>
      <c r="L177" s="7" t="n">
        <v>45.5785625177204</v>
      </c>
      <c r="M177" s="9">
        <f>IFERROR(L177/K177,0)</f>
        <v/>
      </c>
      <c r="N177" s="7" t="n">
        <v>2.16876665721576</v>
      </c>
      <c r="O177" s="7" t="n">
        <v>5.99848029486816</v>
      </c>
      <c r="P177" s="9">
        <f>IFERROR(O177/N177,0)</f>
        <v/>
      </c>
      <c r="Q177" s="7">
        <f>K177+N177</f>
        <v/>
      </c>
      <c r="R177" s="7">
        <f>L177+O177</f>
        <v/>
      </c>
      <c r="S177" s="9">
        <f>IFERROR(R177/Q177,0)</f>
        <v/>
      </c>
      <c r="T177" s="8">
        <f>IFERROR(Q177/SUMIF($A:$A,A177,$Q:$Q),0)</f>
        <v/>
      </c>
      <c r="U177" s="8">
        <f>IFERROR(Q177/F177,0)</f>
        <v/>
      </c>
      <c r="V177" s="7">
        <f>F177-R177</f>
        <v/>
      </c>
      <c r="W177" s="8">
        <f>IFERROR(V177/F177,0)</f>
        <v/>
      </c>
      <c r="X177" s="7">
        <f>IFERROR(VLOOKUP(A177,周报其他费用!$A:$B,2,FALSE)*I177,0)</f>
        <v/>
      </c>
      <c r="Y177" s="7" t="n">
        <v>11.567</v>
      </c>
      <c r="Z177" s="8">
        <f>IFERROR(Y177/G177,0)</f>
        <v/>
      </c>
      <c r="AA177" s="7">
        <f>Y177-K177/1.06</f>
        <v/>
      </c>
      <c r="AB177" s="8">
        <f>IFERROR(AA177/G177,0)</f>
        <v/>
      </c>
      <c r="AC177" s="7">
        <f>Y177-(Q177+X177)/1.06</f>
        <v/>
      </c>
      <c r="AD177" s="8">
        <f>IFERROR(AC177/G177,0)</f>
        <v/>
      </c>
    </row>
    <row r="178" ht="14.25" customHeight="1" s="69">
      <c r="A178" s="5" t="inlineStr">
        <is>
          <t>6.29-7.5</t>
        </is>
      </c>
      <c r="B178" s="5" t="inlineStr">
        <is>
          <t>6.29-7.5</t>
        </is>
      </c>
      <c r="C178" s="119" t="n">
        <v>969433743398</v>
      </c>
      <c r="D178" s="5" t="inlineStr">
        <is>
          <t>韩蘑菇</t>
        </is>
      </c>
      <c r="E178" s="5" t="inlineStr">
        <is>
          <t>新品营多捞面韩式辣蘑菇汤面泡面方便面速食干拌面宿舍宵夜旅行</t>
        </is>
      </c>
      <c r="F178" s="7" t="n">
        <v>65.76000000000001</v>
      </c>
      <c r="G178" s="7">
        <f>IFERROR(F178/1.13,0)</f>
        <v/>
      </c>
      <c r="H178" s="5" t="n">
        <v>4</v>
      </c>
      <c r="I178" s="8">
        <f>IFERROR(H178/SUMIF($A:$A,A178,$H:$H),0)</f>
        <v/>
      </c>
      <c r="J178" s="9">
        <f>IFERROR(F178/H178,0)</f>
        <v/>
      </c>
      <c r="K178" s="7" t="n">
        <v>10.0881910972498</v>
      </c>
      <c r="L178" s="7" t="n">
        <v>69.9985625177204</v>
      </c>
      <c r="M178" s="9">
        <f>IFERROR(L178/K178,0)</f>
        <v/>
      </c>
      <c r="N178" s="7" t="n">
        <v>2.16876665721576</v>
      </c>
      <c r="O178" s="7" t="n">
        <v>5.99848029486816</v>
      </c>
      <c r="P178" s="9">
        <f>IFERROR(O178/N178,0)</f>
        <v/>
      </c>
      <c r="Q178" s="7">
        <f>K178+N178</f>
        <v/>
      </c>
      <c r="R178" s="7">
        <f>L178+O178</f>
        <v/>
      </c>
      <c r="S178" s="9">
        <f>IFERROR(R178/Q178,0)</f>
        <v/>
      </c>
      <c r="T178" s="8">
        <f>IFERROR(Q178/SUMIF($A:$A,A178,$Q:$Q),0)</f>
        <v/>
      </c>
      <c r="U178" s="8">
        <f>IFERROR(Q178/F178,0)</f>
        <v/>
      </c>
      <c r="V178" s="7">
        <f>F178-R178</f>
        <v/>
      </c>
      <c r="W178" s="8">
        <f>IFERROR(V178/F178,0)</f>
        <v/>
      </c>
      <c r="X178" s="7">
        <f>IFERROR(VLOOKUP(A178,周报其他费用!$A:$B,2,FALSE)*I178,0)</f>
        <v/>
      </c>
      <c r="Y178" s="7" t="n">
        <v>4.512</v>
      </c>
      <c r="Z178" s="8">
        <f>IFERROR(Y178/G178,0)</f>
        <v/>
      </c>
      <c r="AA178" s="7">
        <f>Y178-K178/1.06</f>
        <v/>
      </c>
      <c r="AB178" s="8">
        <f>IFERROR(AA178/G178,0)</f>
        <v/>
      </c>
      <c r="AC178" s="7">
        <f>Y178-(Q178+X178)/1.06</f>
        <v/>
      </c>
      <c r="AD178" s="8">
        <f>IFERROR(AC178/G178,0)</f>
        <v/>
      </c>
    </row>
    <row r="179" ht="14.25" customHeight="1" s="69">
      <c r="A179" s="5" t="inlineStr">
        <is>
          <t>6.29-7.5</t>
        </is>
      </c>
      <c r="B179" s="5" t="inlineStr">
        <is>
          <t>6.29-7.5</t>
        </is>
      </c>
      <c r="C179" s="119" t="n">
        <v>885645733215</v>
      </c>
      <c r="D179" s="5" t="inlineStr">
        <is>
          <t>大骨牛肉</t>
        </is>
      </c>
      <c r="E179" s="5" t="inlineStr">
        <is>
          <t>进口营多大骨番茄牛肉味营多捞面意式泡面宿舍宿舍宵夜速食方便面</t>
        </is>
      </c>
      <c r="F179" s="7" t="n">
        <v>39.06</v>
      </c>
      <c r="G179" s="7">
        <f>IFERROR(F179/1.13,0)</f>
        <v/>
      </c>
      <c r="H179" s="5" t="n">
        <v>3</v>
      </c>
      <c r="I179" s="8">
        <f>IFERROR(H179/SUMIF($A:$A,A179,$H:$H),0)</f>
        <v/>
      </c>
      <c r="J179" s="9">
        <f>IFERROR(F179/H179,0)</f>
        <v/>
      </c>
      <c r="K179" s="7" t="n">
        <v>2.15364332293734</v>
      </c>
      <c r="L179" s="7" t="n">
        <v>16.2964218882903</v>
      </c>
      <c r="M179" s="9">
        <f>IFERROR(L179/K179,0)</f>
        <v/>
      </c>
      <c r="N179" s="7" t="n">
        <v>1.62657499291182</v>
      </c>
      <c r="O179" s="7" t="n">
        <v>4.49886022115112</v>
      </c>
      <c r="P179" s="9">
        <f>IFERROR(O179/N179,0)</f>
        <v/>
      </c>
      <c r="Q179" s="7">
        <f>K179+N179</f>
        <v/>
      </c>
      <c r="R179" s="7">
        <f>L179+O179</f>
        <v/>
      </c>
      <c r="S179" s="9">
        <f>IFERROR(R179/Q179,0)</f>
        <v/>
      </c>
      <c r="T179" s="8">
        <f>IFERROR(Q179/SUMIF($A:$A,A179,$Q:$Q),0)</f>
        <v/>
      </c>
      <c r="U179" s="8">
        <f>IFERROR(Q179/F179,0)</f>
        <v/>
      </c>
      <c r="V179" s="7">
        <f>F179-R179</f>
        <v/>
      </c>
      <c r="W179" s="8">
        <f>IFERROR(V179/F179,0)</f>
        <v/>
      </c>
      <c r="X179" s="7">
        <f>IFERROR(VLOOKUP(A179,周报其他费用!$A:$B,2,FALSE)*I179,0)</f>
        <v/>
      </c>
      <c r="Y179" s="7" t="n">
        <v>0.577</v>
      </c>
      <c r="Z179" s="8">
        <f>IFERROR(Y179/G179,0)</f>
        <v/>
      </c>
      <c r="AA179" s="7">
        <f>Y179-K179/1.06</f>
        <v/>
      </c>
      <c r="AB179" s="8">
        <f>IFERROR(AA179/G179,0)</f>
        <v/>
      </c>
      <c r="AC179" s="7">
        <f>Y179-(Q179+X179)/1.06</f>
        <v/>
      </c>
      <c r="AD179" s="8">
        <f>IFERROR(AC179/G179,0)</f>
        <v/>
      </c>
    </row>
    <row r="180" ht="14.25" customHeight="1" s="69">
      <c r="A180" s="5" t="inlineStr">
        <is>
          <t>6.29-7.5</t>
        </is>
      </c>
      <c r="B180" s="5" t="inlineStr">
        <is>
          <t>6.29-7.5</t>
        </is>
      </c>
      <c r="C180" s="119" t="n">
        <v>649731447266</v>
      </c>
      <c r="D180" s="5" t="inlineStr">
        <is>
          <t>20包经典/牛系列</t>
        </is>
      </c>
      <c r="E180" s="5" t="inlineStr">
        <is>
          <t>营多印尼进口营多捞面方便面火鸡面干拌面20包宿舍速食泡面夜宵</t>
        </is>
      </c>
      <c r="F180" s="7" t="n">
        <v>139.52</v>
      </c>
      <c r="G180" s="7">
        <f>IFERROR(F180/1.13,0)</f>
        <v/>
      </c>
      <c r="H180" s="5" t="n">
        <v>3</v>
      </c>
      <c r="I180" s="8">
        <f>IFERROR(H180/SUMIF($A:$A,A180,$H:$H),0)</f>
        <v/>
      </c>
      <c r="J180" s="9">
        <f>IFERROR(F180/H180,0)</f>
        <v/>
      </c>
      <c r="K180" s="7" t="n">
        <v>5.59364332293734</v>
      </c>
      <c r="L180" s="7" t="n">
        <v>16.2964218882903</v>
      </c>
      <c r="M180" s="9">
        <f>IFERROR(L180/K180,0)</f>
        <v/>
      </c>
      <c r="N180" s="7" t="n">
        <v>1.62657499291182</v>
      </c>
      <c r="O180" s="7" t="n">
        <v>4.49886022115112</v>
      </c>
      <c r="P180" s="9">
        <f>IFERROR(O180/N180,0)</f>
        <v/>
      </c>
      <c r="Q180" s="7">
        <f>K180+N180</f>
        <v/>
      </c>
      <c r="R180" s="7">
        <f>L180+O180</f>
        <v/>
      </c>
      <c r="S180" s="9">
        <f>IFERROR(R180/Q180,0)</f>
        <v/>
      </c>
      <c r="T180" s="8">
        <f>IFERROR(Q180/SUMIF($A:$A,A180,$Q:$Q),0)</f>
        <v/>
      </c>
      <c r="U180" s="8">
        <f>IFERROR(Q180/F180,0)</f>
        <v/>
      </c>
      <c r="V180" s="7">
        <f>F180-R180</f>
        <v/>
      </c>
      <c r="W180" s="8">
        <f>IFERROR(V180/F180,0)</f>
        <v/>
      </c>
      <c r="X180" s="7">
        <f>IFERROR(VLOOKUP(A180,周报其他费用!$A:$B,2,FALSE)*I180,0)</f>
        <v/>
      </c>
      <c r="Y180" s="7" t="n">
        <v>24.797</v>
      </c>
      <c r="Z180" s="8">
        <f>IFERROR(Y180/G180,0)</f>
        <v/>
      </c>
      <c r="AA180" s="7">
        <f>Y180-K180/1.06</f>
        <v/>
      </c>
      <c r="AB180" s="8">
        <f>IFERROR(AA180/G180,0)</f>
        <v/>
      </c>
      <c r="AC180" s="7">
        <f>Y180-(Q180+X180)/1.06</f>
        <v/>
      </c>
      <c r="AD180" s="8">
        <f>IFERROR(AC180/G180,0)</f>
        <v/>
      </c>
    </row>
    <row r="181" ht="14.25" customHeight="1" s="69">
      <c r="A181" s="5" t="inlineStr">
        <is>
          <t>6.29-7.5</t>
        </is>
      </c>
      <c r="B181" s="5" t="inlineStr">
        <is>
          <t>6.29-7.5</t>
        </is>
      </c>
      <c r="C181" s="119" t="n">
        <v>1019572719528</v>
      </c>
      <c r="D181" s="5" t="inlineStr">
        <is>
          <t>日韩袋面</t>
        </is>
      </c>
      <c r="E181" s="5" t="inlineStr">
        <is>
          <t>新品营多捞面韩式辣蘑菇汤面泡面方便面速食干拌面宿舍宵夜旅行</t>
        </is>
      </c>
      <c r="F181" s="7" t="n">
        <v>52.55</v>
      </c>
      <c r="G181" s="7">
        <f>IFERROR(F181/1.13,0)</f>
        <v/>
      </c>
      <c r="H181" s="5" t="n">
        <v>2</v>
      </c>
      <c r="I181" s="8">
        <f>IFERROR(H181/SUMIF($A:$A,A181,$H:$H),0)</f>
        <v/>
      </c>
      <c r="J181" s="9">
        <f>IFERROR(F181/H181,0)</f>
        <v/>
      </c>
      <c r="K181" s="7" t="n">
        <v>1.37909554862489</v>
      </c>
      <c r="L181" s="7" t="n">
        <v>10.8642812588602</v>
      </c>
      <c r="M181" s="9">
        <f>IFERROR(L181/K181,0)</f>
        <v/>
      </c>
      <c r="N181" s="7" t="n">
        <v>1.08438332860788</v>
      </c>
      <c r="O181" s="7" t="n">
        <v>2.99924014743408</v>
      </c>
      <c r="P181" s="9">
        <f>IFERROR(O181/N181,0)</f>
        <v/>
      </c>
      <c r="Q181" s="7">
        <f>K181+N181</f>
        <v/>
      </c>
      <c r="R181" s="7">
        <f>L181+O181</f>
        <v/>
      </c>
      <c r="S181" s="9">
        <f>IFERROR(R181/Q181,0)</f>
        <v/>
      </c>
      <c r="T181" s="8">
        <f>IFERROR(Q181/SUMIF($A:$A,A181,$Q:$Q),0)</f>
        <v/>
      </c>
      <c r="U181" s="8">
        <f>IFERROR(Q181/F181,0)</f>
        <v/>
      </c>
      <c r="V181" s="7">
        <f>F181-R181</f>
        <v/>
      </c>
      <c r="W181" s="8">
        <f>IFERROR(V181/F181,0)</f>
        <v/>
      </c>
      <c r="X181" s="7">
        <f>IFERROR(VLOOKUP(A181,周报其他费用!$A:$B,2,FALSE)*I181,0)</f>
        <v/>
      </c>
      <c r="Y181" s="7" t="n">
        <v>6.055</v>
      </c>
      <c r="Z181" s="8">
        <f>IFERROR(Y181/G181,0)</f>
        <v/>
      </c>
      <c r="AA181" s="7">
        <f>Y181-K181/1.06</f>
        <v/>
      </c>
      <c r="AB181" s="8">
        <f>IFERROR(AA181/G181,0)</f>
        <v/>
      </c>
      <c r="AC181" s="7">
        <f>Y181-(Q181+X181)/1.06</f>
        <v/>
      </c>
      <c r="AD181" s="8">
        <f>IFERROR(AC181/G181,0)</f>
        <v/>
      </c>
    </row>
    <row r="182" ht="14.25" customHeight="1" s="69">
      <c r="A182" s="5" t="inlineStr">
        <is>
          <t>6.29-7.5</t>
        </is>
      </c>
      <c r="B182" s="5" t="inlineStr">
        <is>
          <t>6.29-7.5</t>
        </is>
      </c>
      <c r="C182" s="119" t="n">
        <v>976467954327</v>
      </c>
      <c r="D182" s="5" t="inlineStr">
        <is>
          <t>日韩杯面</t>
        </is>
      </c>
      <c r="E182" s="5" t="inlineStr">
        <is>
          <t>【天猫U选】indomie营多捞面辣蘑菇味日式辣味杯面</t>
        </is>
      </c>
      <c r="F182" s="7" t="n">
        <v>18.64</v>
      </c>
      <c r="G182" s="7">
        <f>IFERROR(F182/1.13,0)</f>
        <v/>
      </c>
      <c r="H182" s="5" t="n">
        <v>2</v>
      </c>
      <c r="I182" s="8">
        <f>IFERROR(H182/SUMIF($A:$A,A182,$H:$H),0)</f>
        <v/>
      </c>
      <c r="J182" s="9">
        <f>IFERROR(F182/H182,0)</f>
        <v/>
      </c>
      <c r="K182" s="7" t="n">
        <v>0.429095548624894</v>
      </c>
      <c r="L182" s="7" t="n">
        <v>10.8642812588602</v>
      </c>
      <c r="M182" s="9">
        <f>IFERROR(L182/K182,0)</f>
        <v/>
      </c>
      <c r="N182" s="7" t="n">
        <v>1.08438332860788</v>
      </c>
      <c r="O182" s="7" t="n">
        <v>2.99924014743408</v>
      </c>
      <c r="P182" s="9">
        <f>IFERROR(O182/N182,0)</f>
        <v/>
      </c>
      <c r="Q182" s="7">
        <f>K182+N182</f>
        <v/>
      </c>
      <c r="R182" s="7">
        <f>L182+O182</f>
        <v/>
      </c>
      <c r="S182" s="9">
        <f>IFERROR(R182/Q182,0)</f>
        <v/>
      </c>
      <c r="T182" s="8">
        <f>IFERROR(Q182/SUMIF($A:$A,A182,$Q:$Q),0)</f>
        <v/>
      </c>
      <c r="U182" s="8">
        <f>IFERROR(Q182/F182,0)</f>
        <v/>
      </c>
      <c r="V182" s="7">
        <f>F182-R182</f>
        <v/>
      </c>
      <c r="W182" s="8">
        <f>IFERROR(V182/F182,0)</f>
        <v/>
      </c>
      <c r="X182" s="7">
        <f>IFERROR(VLOOKUP(A182,周报其他费用!$A:$B,2,FALSE)*I182,0)</f>
        <v/>
      </c>
      <c r="Y182" s="7" t="n">
        <v>-3.668</v>
      </c>
      <c r="Z182" s="8">
        <f>IFERROR(Y182/G182,0)</f>
        <v/>
      </c>
      <c r="AA182" s="7">
        <f>Y182-K182/1.06</f>
        <v/>
      </c>
      <c r="AB182" s="8">
        <f>IFERROR(AA182/G182,0)</f>
        <v/>
      </c>
      <c r="AC182" s="7">
        <f>Y182-(Q182+X182)/1.06</f>
        <v/>
      </c>
      <c r="AD182" s="8">
        <f>IFERROR(AC182/G182,0)</f>
        <v/>
      </c>
    </row>
    <row r="183" ht="14.25" customHeight="1" s="69">
      <c r="A183" s="5" t="inlineStr">
        <is>
          <t>6.29-7.5</t>
        </is>
      </c>
      <c r="B183" s="5" t="inlineStr">
        <is>
          <t>6.29-7.5</t>
        </is>
      </c>
      <c r="C183" s="119" t="n">
        <v>976479938842</v>
      </c>
      <c r="D183" s="5" t="inlineStr">
        <is>
          <t>【U选】原味5</t>
        </is>
      </c>
      <c r="E183" s="5" t="inlineStr">
        <is>
          <t>【天猫U选】indomie营多大骨牛肉味捞面拌面5包</t>
        </is>
      </c>
      <c r="F183" s="7" t="n">
        <v>18.82</v>
      </c>
      <c r="G183" s="7">
        <f>IFERROR(F183/1.13,0)</f>
        <v/>
      </c>
      <c r="H183" s="5" t="n">
        <v>2</v>
      </c>
      <c r="I183" s="8">
        <f>IFERROR(H183/SUMIF($A:$A,A183,$H:$H),0)</f>
        <v/>
      </c>
      <c r="J183" s="9">
        <f>IFERROR(F183/H183,0)</f>
        <v/>
      </c>
      <c r="K183" s="7" t="n">
        <v>0.429095548624894</v>
      </c>
      <c r="L183" s="7" t="n">
        <v>10.8642812588602</v>
      </c>
      <c r="M183" s="9">
        <f>IFERROR(L183/K183,0)</f>
        <v/>
      </c>
      <c r="N183" s="7" t="n">
        <v>1.08438332860788</v>
      </c>
      <c r="O183" s="7" t="n">
        <v>2.99924014743408</v>
      </c>
      <c r="P183" s="9">
        <f>IFERROR(O183/N183,0)</f>
        <v/>
      </c>
      <c r="Q183" s="7">
        <f>K183+N183</f>
        <v/>
      </c>
      <c r="R183" s="7">
        <f>L183+O183</f>
        <v/>
      </c>
      <c r="S183" s="9">
        <f>IFERROR(R183/Q183,0)</f>
        <v/>
      </c>
      <c r="T183" s="8">
        <f>IFERROR(Q183/SUMIF($A:$A,A183,$Q:$Q),0)</f>
        <v/>
      </c>
      <c r="U183" s="8">
        <f>IFERROR(Q183/F183,0)</f>
        <v/>
      </c>
      <c r="V183" s="7">
        <f>F183-R183</f>
        <v/>
      </c>
      <c r="W183" s="8">
        <f>IFERROR(V183/F183,0)</f>
        <v/>
      </c>
      <c r="X183" s="7">
        <f>IFERROR(VLOOKUP(A183,周报其他费用!$A:$B,2,FALSE)*I183,0)</f>
        <v/>
      </c>
      <c r="Y183" s="7" t="n">
        <v>-6.33</v>
      </c>
      <c r="Z183" s="8">
        <f>IFERROR(Y183/G183,0)</f>
        <v/>
      </c>
      <c r="AA183" s="7">
        <f>Y183-K183/1.06</f>
        <v/>
      </c>
      <c r="AB183" s="8">
        <f>IFERROR(AA183/G183,0)</f>
        <v/>
      </c>
      <c r="AC183" s="7">
        <f>Y183-(Q183+X183)/1.06</f>
        <v/>
      </c>
      <c r="AD183" s="8">
        <f>IFERROR(AC183/G183,0)</f>
        <v/>
      </c>
    </row>
    <row r="184" ht="14.25" customHeight="1" s="69">
      <c r="A184" s="5" t="inlineStr">
        <is>
          <t>6.29-7.5</t>
        </is>
      </c>
      <c r="B184" s="5" t="inlineStr">
        <is>
          <t>6.29-7.5</t>
        </is>
      </c>
      <c r="C184" s="119" t="n">
        <v>949962665617</v>
      </c>
      <c r="D184" s="5" t="inlineStr">
        <is>
          <t>组合</t>
        </is>
      </c>
      <c r="E184" s="5" t="inlineStr">
        <is>
          <t>营多捞面多口味袋装泡面拌面速食面干拌面方便面宿舍宵夜速食旅行</t>
        </is>
      </c>
      <c r="F184" s="7" t="n">
        <v>38.93</v>
      </c>
      <c r="G184" s="7">
        <f>IFERROR(F184/1.13,0)</f>
        <v/>
      </c>
      <c r="H184" s="5" t="n">
        <v>2</v>
      </c>
      <c r="I184" s="8">
        <f>IFERROR(H184/SUMIF($A:$A,A184,$H:$H),0)</f>
        <v/>
      </c>
      <c r="J184" s="9">
        <f>IFERROR(F184/H184,0)</f>
        <v/>
      </c>
      <c r="K184" s="7" t="n">
        <v>15.8190955486249</v>
      </c>
      <c r="L184" s="7" t="n">
        <v>34.8942812588602</v>
      </c>
      <c r="M184" s="9">
        <f>IFERROR(L184/K184,0)</f>
        <v/>
      </c>
      <c r="N184" s="7" t="n">
        <v>1.08438332860788</v>
      </c>
      <c r="O184" s="7" t="n">
        <v>2.99924014743408</v>
      </c>
      <c r="P184" s="9">
        <f>IFERROR(O184/N184,0)</f>
        <v/>
      </c>
      <c r="Q184" s="7">
        <f>K184+N184</f>
        <v/>
      </c>
      <c r="R184" s="7">
        <f>L184+O184</f>
        <v/>
      </c>
      <c r="S184" s="9">
        <f>IFERROR(R184/Q184,0)</f>
        <v/>
      </c>
      <c r="T184" s="8">
        <f>IFERROR(Q184/SUMIF($A:$A,A184,$Q:$Q),0)</f>
        <v/>
      </c>
      <c r="U184" s="8">
        <f>IFERROR(Q184/F184,0)</f>
        <v/>
      </c>
      <c r="V184" s="7">
        <f>F184-R184</f>
        <v/>
      </c>
      <c r="W184" s="8">
        <f>IFERROR(V184/F184,0)</f>
        <v/>
      </c>
      <c r="X184" s="7">
        <f>IFERROR(VLOOKUP(A184,周报其他费用!$A:$B,2,FALSE)*I184,0)</f>
        <v/>
      </c>
      <c r="Y184" s="7" t="n">
        <v>2.091</v>
      </c>
      <c r="Z184" s="8">
        <f>IFERROR(Y184/G184,0)</f>
        <v/>
      </c>
      <c r="AA184" s="7">
        <f>Y184-K184/1.06</f>
        <v/>
      </c>
      <c r="AB184" s="8">
        <f>IFERROR(AA184/G184,0)</f>
        <v/>
      </c>
      <c r="AC184" s="7">
        <f>Y184-(Q184+X184)/1.06</f>
        <v/>
      </c>
      <c r="AD184" s="8">
        <f>IFERROR(AC184/G184,0)</f>
        <v/>
      </c>
    </row>
    <row r="185" ht="14.25" customHeight="1" s="69">
      <c r="A185" s="5" t="inlineStr">
        <is>
          <t>6.29-7.5</t>
        </is>
      </c>
      <c r="B185" s="5" t="inlineStr">
        <is>
          <t>6.29-7.5</t>
        </is>
      </c>
      <c r="C185" s="119" t="n">
        <v>947413291596</v>
      </c>
      <c r="D185" s="5" t="inlineStr">
        <is>
          <t>杯面</t>
        </is>
      </c>
      <c r="E185" s="5" t="inlineStr">
        <is>
          <t>营多捞面杯装方便面泡面速食干拌面原味整箱批发印尼进口桶装拌面</t>
        </is>
      </c>
      <c r="F185" s="7" t="n">
        <v>47.8</v>
      </c>
      <c r="G185" s="7">
        <f>IFERROR(F185/1.13,0)</f>
        <v/>
      </c>
      <c r="H185" s="5" t="n">
        <v>2</v>
      </c>
      <c r="I185" s="8">
        <f>IFERROR(H185/SUMIF($A:$A,A185,$H:$H),0)</f>
        <v/>
      </c>
      <c r="J185" s="9">
        <f>IFERROR(F185/H185,0)</f>
        <v/>
      </c>
      <c r="K185" s="7" t="n">
        <v>8.0090955486249</v>
      </c>
      <c r="L185" s="7" t="n">
        <v>44.5342812588602</v>
      </c>
      <c r="M185" s="9">
        <f>IFERROR(L185/K185,0)</f>
        <v/>
      </c>
      <c r="N185" s="7" t="n">
        <v>1.08438332860788</v>
      </c>
      <c r="O185" s="7" t="n">
        <v>2.99924014743408</v>
      </c>
      <c r="P185" s="9">
        <f>IFERROR(O185/N185,0)</f>
        <v/>
      </c>
      <c r="Q185" s="7">
        <f>K185+N185</f>
        <v/>
      </c>
      <c r="R185" s="7">
        <f>L185+O185</f>
        <v/>
      </c>
      <c r="S185" s="9">
        <f>IFERROR(R185/Q185,0)</f>
        <v/>
      </c>
      <c r="T185" s="8">
        <f>IFERROR(Q185/SUMIF($A:$A,A185,$Q:$Q),0)</f>
        <v/>
      </c>
      <c r="U185" s="8">
        <f>IFERROR(Q185/F185,0)</f>
        <v/>
      </c>
      <c r="V185" s="7">
        <f>F185-R185</f>
        <v/>
      </c>
      <c r="W185" s="8">
        <f>IFERROR(V185/F185,0)</f>
        <v/>
      </c>
      <c r="X185" s="7">
        <f>IFERROR(VLOOKUP(A185,周报其他费用!$A:$B,2,FALSE)*I185,0)</f>
        <v/>
      </c>
      <c r="Y185" s="7" t="n">
        <v>5.685</v>
      </c>
      <c r="Z185" s="8">
        <f>IFERROR(Y185/G185,0)</f>
        <v/>
      </c>
      <c r="AA185" s="7">
        <f>Y185-K185/1.06</f>
        <v/>
      </c>
      <c r="AB185" s="8">
        <f>IFERROR(AA185/G185,0)</f>
        <v/>
      </c>
      <c r="AC185" s="7">
        <f>Y185-(Q185+X185)/1.06</f>
        <v/>
      </c>
      <c r="AD185" s="8">
        <f>IFERROR(AC185/G185,0)</f>
        <v/>
      </c>
    </row>
    <row r="186" ht="14.25" customHeight="1" s="69">
      <c r="A186" s="5" t="inlineStr">
        <is>
          <t>6.29-7.5</t>
        </is>
      </c>
      <c r="B186" s="5" t="inlineStr">
        <is>
          <t>6.29-7.5</t>
        </is>
      </c>
      <c r="C186" s="119" t="n">
        <v>898120785283</v>
      </c>
      <c r="D186" s="5" t="inlineStr">
        <is>
          <t>番茄</t>
        </is>
      </c>
      <c r="E186" s="5" t="inlineStr">
        <is>
          <t>进口意大利面风味奶香番茄牛肉味意式营多早餐儿童宝妈家庭餐拌面</t>
        </is>
      </c>
      <c r="F186" s="7" t="n">
        <v>27.16</v>
      </c>
      <c r="G186" s="7">
        <f>IFERROR(F186/1.13,0)</f>
        <v/>
      </c>
      <c r="H186" s="5" t="n">
        <v>2</v>
      </c>
      <c r="I186" s="8">
        <f>IFERROR(H186/SUMIF($A:$A,A186,$H:$H),0)</f>
        <v/>
      </c>
      <c r="J186" s="9">
        <f>IFERROR(F186/H186,0)</f>
        <v/>
      </c>
      <c r="K186" s="7" t="n">
        <v>0.929095548624894</v>
      </c>
      <c r="L186" s="7" t="n">
        <v>10.8642812588602</v>
      </c>
      <c r="M186" s="9">
        <f>IFERROR(L186/K186,0)</f>
        <v/>
      </c>
      <c r="N186" s="7" t="n">
        <v>1.08438332860788</v>
      </c>
      <c r="O186" s="7" t="n">
        <v>2.99924014743408</v>
      </c>
      <c r="P186" s="9">
        <f>IFERROR(O186/N186,0)</f>
        <v/>
      </c>
      <c r="Q186" s="7">
        <f>K186+N186</f>
        <v/>
      </c>
      <c r="R186" s="7">
        <f>L186+O186</f>
        <v/>
      </c>
      <c r="S186" s="9">
        <f>IFERROR(R186/Q186,0)</f>
        <v/>
      </c>
      <c r="T186" s="8">
        <f>IFERROR(Q186/SUMIF($A:$A,A186,$Q:$Q),0)</f>
        <v/>
      </c>
      <c r="U186" s="8">
        <f>IFERROR(Q186/F186,0)</f>
        <v/>
      </c>
      <c r="V186" s="7">
        <f>F186-R186</f>
        <v/>
      </c>
      <c r="W186" s="8">
        <f>IFERROR(V186/F186,0)</f>
        <v/>
      </c>
      <c r="X186" s="7">
        <f>IFERROR(VLOOKUP(A186,周报其他费用!$A:$B,2,FALSE)*I186,0)</f>
        <v/>
      </c>
      <c r="Y186" s="7" t="n">
        <v>0.502</v>
      </c>
      <c r="Z186" s="8">
        <f>IFERROR(Y186/G186,0)</f>
        <v/>
      </c>
      <c r="AA186" s="7">
        <f>Y186-K186/1.06</f>
        <v/>
      </c>
      <c r="AB186" s="8">
        <f>IFERROR(AA186/G186,0)</f>
        <v/>
      </c>
      <c r="AC186" s="7">
        <f>Y186-(Q186+X186)/1.06</f>
        <v/>
      </c>
      <c r="AD186" s="8">
        <f>IFERROR(AC186/G186,0)</f>
        <v/>
      </c>
    </row>
    <row r="187" ht="14.25" customHeight="1" s="69">
      <c r="A187" s="5" t="inlineStr">
        <is>
          <t>6.29-7.5</t>
        </is>
      </c>
      <c r="B187" s="5" t="inlineStr">
        <is>
          <t>6.29-7.5</t>
        </is>
      </c>
      <c r="C187" s="119" t="n">
        <v>775016827115</v>
      </c>
      <c r="D187" s="5" t="inlineStr">
        <is>
          <t>杯面混搭</t>
        </is>
      </c>
      <c r="E187" s="5" t="inlineStr">
        <is>
          <t>进口营多原味杯面日式杯面韩式杯面泡面方便面汤面宿舍速食夜宵</t>
        </is>
      </c>
      <c r="F187" s="7" t="n">
        <v>55.15</v>
      </c>
      <c r="G187" s="7">
        <f>IFERROR(F187/1.13,0)</f>
        <v/>
      </c>
      <c r="H187" s="5" t="n">
        <v>2</v>
      </c>
      <c r="I187" s="8">
        <f>IFERROR(H187/SUMIF($A:$A,A187,$H:$H),0)</f>
        <v/>
      </c>
      <c r="J187" s="9">
        <f>IFERROR(F187/H187,0)</f>
        <v/>
      </c>
      <c r="K187" s="7" t="n">
        <v>0.849095548624894</v>
      </c>
      <c r="L187" s="7" t="n">
        <v>10.8642812588602</v>
      </c>
      <c r="M187" s="9">
        <f>IFERROR(L187/K187,0)</f>
        <v/>
      </c>
      <c r="N187" s="7" t="n">
        <v>1.08438332860788</v>
      </c>
      <c r="O187" s="7" t="n">
        <v>2.99924014743408</v>
      </c>
      <c r="P187" s="9">
        <f>IFERROR(O187/N187,0)</f>
        <v/>
      </c>
      <c r="Q187" s="7">
        <f>K187+N187</f>
        <v/>
      </c>
      <c r="R187" s="7">
        <f>L187+O187</f>
        <v/>
      </c>
      <c r="S187" s="9">
        <f>IFERROR(R187/Q187,0)</f>
        <v/>
      </c>
      <c r="T187" s="8">
        <f>IFERROR(Q187/SUMIF($A:$A,A187,$Q:$Q),0)</f>
        <v/>
      </c>
      <c r="U187" s="8">
        <f>IFERROR(Q187/F187,0)</f>
        <v/>
      </c>
      <c r="V187" s="7">
        <f>F187-R187</f>
        <v/>
      </c>
      <c r="W187" s="8">
        <f>IFERROR(V187/F187,0)</f>
        <v/>
      </c>
      <c r="X187" s="7">
        <f>IFERROR(VLOOKUP(A187,周报其他费用!$A:$B,2,FALSE)*I187,0)</f>
        <v/>
      </c>
      <c r="Y187" s="7" t="n">
        <v>6.768</v>
      </c>
      <c r="Z187" s="8">
        <f>IFERROR(Y187/G187,0)</f>
        <v/>
      </c>
      <c r="AA187" s="7">
        <f>Y187-K187/1.06</f>
        <v/>
      </c>
      <c r="AB187" s="8">
        <f>IFERROR(AA187/G187,0)</f>
        <v/>
      </c>
      <c r="AC187" s="7">
        <f>Y187-(Q187+X187)/1.06</f>
        <v/>
      </c>
      <c r="AD187" s="8">
        <f>IFERROR(AC187/G187,0)</f>
        <v/>
      </c>
    </row>
    <row r="188" ht="14.25" customHeight="1" s="69">
      <c r="A188" s="5" t="inlineStr">
        <is>
          <t>6.29-7.5</t>
        </is>
      </c>
      <c r="B188" s="5" t="inlineStr">
        <is>
          <t>6.29-7.5</t>
        </is>
      </c>
      <c r="C188" s="119" t="n">
        <v>869217868453</v>
      </c>
      <c r="D188" s="5" t="inlineStr">
        <is>
          <t>杯面混搭</t>
        </is>
      </c>
      <c r="E188" s="5" t="inlineStr">
        <is>
          <t>营多捞面韩式甜辣炸鸡辣蘑菇杯面方便面拌面泡面宿舍速食面</t>
        </is>
      </c>
      <c r="F188" s="7" t="n">
        <v>27.25</v>
      </c>
      <c r="G188" s="7">
        <f>IFERROR(F188/1.13,0)</f>
        <v/>
      </c>
      <c r="H188" s="5" t="n">
        <v>1</v>
      </c>
      <c r="I188" s="8">
        <f>IFERROR(H188/SUMIF($A:$A,A188,$H:$H),0)</f>
        <v/>
      </c>
      <c r="J188" s="9">
        <f>IFERROR(F188/H188,0)</f>
        <v/>
      </c>
      <c r="K188" s="7" t="n">
        <v>10.1945477743124</v>
      </c>
      <c r="L188" s="7" t="n">
        <v>32.6821406294301</v>
      </c>
      <c r="M188" s="9">
        <f>IFERROR(L188/K188,0)</f>
        <v/>
      </c>
      <c r="N188" s="7" t="n">
        <v>0.5421916643039409</v>
      </c>
      <c r="O188" s="7" t="n">
        <v>1.49962007371704</v>
      </c>
      <c r="P188" s="9">
        <f>IFERROR(O188/N188,0)</f>
        <v/>
      </c>
      <c r="Q188" s="7">
        <f>K188+N188</f>
        <v/>
      </c>
      <c r="R188" s="7">
        <f>L188+O188</f>
        <v/>
      </c>
      <c r="S188" s="9">
        <f>IFERROR(R188/Q188,0)</f>
        <v/>
      </c>
      <c r="T188" s="8">
        <f>IFERROR(Q188/SUMIF($A:$A,A188,$Q:$Q),0)</f>
        <v/>
      </c>
      <c r="U188" s="8">
        <f>IFERROR(Q188/F188,0)</f>
        <v/>
      </c>
      <c r="V188" s="7">
        <f>F188-R188</f>
        <v/>
      </c>
      <c r="W188" s="8">
        <f>IFERROR(V188/F188,0)</f>
        <v/>
      </c>
      <c r="X188" s="7">
        <f>IFERROR(VLOOKUP(A188,周报其他费用!$A:$B,2,FALSE)*I188,0)</f>
        <v/>
      </c>
      <c r="Y188" s="7" t="n">
        <v>3.118</v>
      </c>
      <c r="Z188" s="8">
        <f>IFERROR(Y188/G188,0)</f>
        <v/>
      </c>
      <c r="AA188" s="7">
        <f>Y188-K188/1.06</f>
        <v/>
      </c>
      <c r="AB188" s="8">
        <f>IFERROR(AA188/G188,0)</f>
        <v/>
      </c>
      <c r="AC188" s="7">
        <f>Y188-(Q188+X188)/1.06</f>
        <v/>
      </c>
      <c r="AD188" s="8">
        <f>IFERROR(AC188/G188,0)</f>
        <v/>
      </c>
    </row>
    <row r="189" ht="14.25" customHeight="1" s="69">
      <c r="A189" s="5" t="inlineStr">
        <is>
          <t>6.29-7.5</t>
        </is>
      </c>
      <c r="B189" s="5" t="inlineStr">
        <is>
          <t>6.29-7.5</t>
        </is>
      </c>
      <c r="C189" s="119" t="n">
        <v>1040679932754</v>
      </c>
      <c r="D189" s="5" t="inlineStr">
        <is>
          <t>杯面混搭</t>
        </is>
      </c>
      <c r="E189" s="5" t="inlineStr">
        <is>
          <t>印尼进口营多捞面杯面原味甜辣蘑菇味整箱速食拌面拉面泡面方便面</t>
        </is>
      </c>
      <c r="F189" s="7" t="n">
        <v>17.03</v>
      </c>
      <c r="G189" s="7">
        <f>IFERROR(F189/1.13,0)</f>
        <v/>
      </c>
      <c r="H189" s="5" t="n">
        <v>1</v>
      </c>
      <c r="I189" s="8">
        <f>IFERROR(H189/SUMIF($A:$A,A189,$H:$H),0)</f>
        <v/>
      </c>
      <c r="J189" s="9">
        <f>IFERROR(F189/H189,0)</f>
        <v/>
      </c>
      <c r="K189" s="7" t="n">
        <v>0.734547774312447</v>
      </c>
      <c r="L189" s="7" t="n">
        <v>5.4321406294301</v>
      </c>
      <c r="M189" s="9">
        <f>IFERROR(L189/K189,0)</f>
        <v/>
      </c>
      <c r="N189" s="7" t="n">
        <v>0.5421916643039409</v>
      </c>
      <c r="O189" s="7" t="n">
        <v>1.49962007371704</v>
      </c>
      <c r="P189" s="9">
        <f>IFERROR(O189/N189,0)</f>
        <v/>
      </c>
      <c r="Q189" s="7">
        <f>K189+N189</f>
        <v/>
      </c>
      <c r="R189" s="7">
        <f>L189+O189</f>
        <v/>
      </c>
      <c r="S189" s="9">
        <f>IFERROR(R189/Q189,0)</f>
        <v/>
      </c>
      <c r="T189" s="8">
        <f>IFERROR(Q189/SUMIF($A:$A,A189,$Q:$Q),0)</f>
        <v/>
      </c>
      <c r="U189" s="8">
        <f>IFERROR(Q189/F189,0)</f>
        <v/>
      </c>
      <c r="V189" s="7">
        <f>F189-R189</f>
        <v/>
      </c>
      <c r="W189" s="8">
        <f>IFERROR(V189/F189,0)</f>
        <v/>
      </c>
      <c r="X189" s="7">
        <f>IFERROR(VLOOKUP(A189,周报其他费用!$A:$B,2,FALSE)*I189,0)</f>
        <v/>
      </c>
      <c r="Y189" s="7" t="n">
        <v>-0.315</v>
      </c>
      <c r="Z189" s="8">
        <f>IFERROR(Y189/G189,0)</f>
        <v/>
      </c>
      <c r="AA189" s="7">
        <f>Y189-K189/1.06</f>
        <v/>
      </c>
      <c r="AB189" s="8">
        <f>IFERROR(AA189/G189,0)</f>
        <v/>
      </c>
      <c r="AC189" s="7">
        <f>Y189-(Q189+X189)/1.06</f>
        <v/>
      </c>
      <c r="AD189" s="8">
        <f>IFERROR(AC189/G189,0)</f>
        <v/>
      </c>
    </row>
    <row r="190" ht="14.25" customHeight="1" s="69">
      <c r="A190" s="5" t="inlineStr">
        <is>
          <t>6.29-7.5</t>
        </is>
      </c>
      <c r="B190" s="5" t="inlineStr">
        <is>
          <t>6.29-7.5</t>
        </is>
      </c>
      <c r="C190" s="119" t="n">
        <v>965545088099</v>
      </c>
      <c r="D190" s="5" t="inlineStr">
        <is>
          <t>十全十美</t>
        </is>
      </c>
      <c r="E190" s="5" t="inlineStr">
        <is>
          <t>营多捞面多口味袋装泡面拌面速食面干拌面方便面速食宵夜宿舍旅行</t>
        </is>
      </c>
      <c r="F190" s="7" t="n">
        <v>33.9</v>
      </c>
      <c r="G190" s="7">
        <f>IFERROR(F190/1.13,0)</f>
        <v/>
      </c>
      <c r="H190" s="5" t="n">
        <v>1</v>
      </c>
      <c r="I190" s="8">
        <f>IFERROR(H190/SUMIF($A:$A,A190,$H:$H),0)</f>
        <v/>
      </c>
      <c r="J190" s="9">
        <f>IFERROR(F190/H190,0)</f>
        <v/>
      </c>
      <c r="K190" s="7" t="n">
        <v>0.414547774312447</v>
      </c>
      <c r="L190" s="7" t="n">
        <v>5.4321406294301</v>
      </c>
      <c r="M190" s="9">
        <f>IFERROR(L190/K190,0)</f>
        <v/>
      </c>
      <c r="N190" s="7" t="n">
        <v>0.5421916643039409</v>
      </c>
      <c r="O190" s="7" t="n">
        <v>1.49962007371704</v>
      </c>
      <c r="P190" s="9">
        <f>IFERROR(O190/N190,0)</f>
        <v/>
      </c>
      <c r="Q190" s="7">
        <f>K190+N190</f>
        <v/>
      </c>
      <c r="R190" s="7">
        <f>L190+O190</f>
        <v/>
      </c>
      <c r="S190" s="9">
        <f>IFERROR(R190/Q190,0)</f>
        <v/>
      </c>
      <c r="T190" s="8">
        <f>IFERROR(Q190/SUMIF($A:$A,A190,$Q:$Q),0)</f>
        <v/>
      </c>
      <c r="U190" s="8">
        <f>IFERROR(Q190/F190,0)</f>
        <v/>
      </c>
      <c r="V190" s="7">
        <f>F190-R190</f>
        <v/>
      </c>
      <c r="W190" s="8">
        <f>IFERROR(V190/F190,0)</f>
        <v/>
      </c>
      <c r="X190" s="7">
        <f>IFERROR(VLOOKUP(A190,周报其他费用!$A:$B,2,FALSE)*I190,0)</f>
        <v/>
      </c>
      <c r="Y190" s="7" t="n">
        <v>8.670999999999999</v>
      </c>
      <c r="Z190" s="8">
        <f>IFERROR(Y190/G190,0)</f>
        <v/>
      </c>
      <c r="AA190" s="7">
        <f>Y190-K190/1.06</f>
        <v/>
      </c>
      <c r="AB190" s="8">
        <f>IFERROR(AA190/G190,0)</f>
        <v/>
      </c>
      <c r="AC190" s="7">
        <f>Y190-(Q190+X190)/1.06</f>
        <v/>
      </c>
      <c r="AD190" s="8">
        <f>IFERROR(AC190/G190,0)</f>
        <v/>
      </c>
    </row>
    <row r="191" ht="14.25" customHeight="1" s="69">
      <c r="A191" s="5" t="inlineStr">
        <is>
          <t>6.29-7.5</t>
        </is>
      </c>
      <c r="B191" s="5" t="inlineStr">
        <is>
          <t>6.29-7.5</t>
        </is>
      </c>
      <c r="C191" s="119" t="n">
        <v>976466902934</v>
      </c>
      <c r="D191" s="5" t="inlineStr">
        <is>
          <t>日韩杯面</t>
        </is>
      </c>
      <c r="E191" s="5" t="inlineStr">
        <is>
          <t>【天猫U选】indomie营多捞面辣火鸡味日式鸡肉原味杯面</t>
        </is>
      </c>
      <c r="F191" s="7" t="n">
        <v>9.23</v>
      </c>
      <c r="G191" s="7">
        <f>IFERROR(F191/1.13,0)</f>
        <v/>
      </c>
      <c r="H191" s="5" t="n">
        <v>1</v>
      </c>
      <c r="I191" s="8">
        <f>IFERROR(H191/SUMIF($A:$A,A191,$H:$H),0)</f>
        <v/>
      </c>
      <c r="J191" s="9">
        <f>IFERROR(F191/H191,0)</f>
        <v/>
      </c>
      <c r="K191" s="7" t="n">
        <v>0.214547774312447</v>
      </c>
      <c r="L191" s="7" t="n">
        <v>5.4321406294301</v>
      </c>
      <c r="M191" s="9">
        <f>IFERROR(L191/K191,0)</f>
        <v/>
      </c>
      <c r="N191" s="7" t="n">
        <v>0.5421916643039409</v>
      </c>
      <c r="O191" s="7" t="n">
        <v>1.49962007371704</v>
      </c>
      <c r="P191" s="9">
        <f>IFERROR(O191/N191,0)</f>
        <v/>
      </c>
      <c r="Q191" s="7">
        <f>K191+N191</f>
        <v/>
      </c>
      <c r="R191" s="7">
        <f>L191+O191</f>
        <v/>
      </c>
      <c r="S191" s="9">
        <f>IFERROR(R191/Q191,0)</f>
        <v/>
      </c>
      <c r="T191" s="8">
        <f>IFERROR(Q191/SUMIF($A:$A,A191,$Q:$Q),0)</f>
        <v/>
      </c>
      <c r="U191" s="8">
        <f>IFERROR(Q191/F191,0)</f>
        <v/>
      </c>
      <c r="V191" s="7">
        <f>F191-R191</f>
        <v/>
      </c>
      <c r="W191" s="8">
        <f>IFERROR(V191/F191,0)</f>
        <v/>
      </c>
      <c r="X191" s="7">
        <f>IFERROR(VLOOKUP(A191,周报其他费用!$A:$B,2,FALSE)*I191,0)</f>
        <v/>
      </c>
      <c r="Y191" s="7" t="n">
        <v>-1.907</v>
      </c>
      <c r="Z191" s="8">
        <f>IFERROR(Y191/G191,0)</f>
        <v/>
      </c>
      <c r="AA191" s="7">
        <f>Y191-K191/1.06</f>
        <v/>
      </c>
      <c r="AB191" s="8">
        <f>IFERROR(AA191/G191,0)</f>
        <v/>
      </c>
      <c r="AC191" s="7">
        <f>Y191-(Q191+X191)/1.06</f>
        <v/>
      </c>
      <c r="AD191" s="8">
        <f>IFERROR(AC191/G191,0)</f>
        <v/>
      </c>
    </row>
    <row r="192" ht="14.25" customHeight="1" s="69">
      <c r="A192" s="5" t="inlineStr">
        <is>
          <t>6.29-7.5</t>
        </is>
      </c>
      <c r="B192" s="5" t="inlineStr">
        <is>
          <t>6.29-7.5</t>
        </is>
      </c>
      <c r="C192" s="119" t="n">
        <v>773972883430</v>
      </c>
      <c r="D192" s="5" t="inlineStr">
        <is>
          <t>韩式袋面</t>
        </is>
      </c>
      <c r="E192" s="5" t="inlineStr">
        <is>
          <t>营多捞面韩式火鸡面辣蘑菇汤面袋装泡面辣味速食方便面宿舍宵夜面</t>
        </is>
      </c>
      <c r="F192" s="7" t="n">
        <v>18.9</v>
      </c>
      <c r="G192" s="7">
        <f>IFERROR(F192/1.13,0)</f>
        <v/>
      </c>
      <c r="H192" s="5" t="n">
        <v>1</v>
      </c>
      <c r="I192" s="8">
        <f>IFERROR(H192/SUMIF($A:$A,A192,$H:$H),0)</f>
        <v/>
      </c>
      <c r="J192" s="9">
        <f>IFERROR(F192/H192,0)</f>
        <v/>
      </c>
      <c r="K192" s="7" t="n">
        <v>2.67454777431245</v>
      </c>
      <c r="L192" s="7" t="n">
        <v>5.4321406294301</v>
      </c>
      <c r="M192" s="9">
        <f>IFERROR(L192/K192,0)</f>
        <v/>
      </c>
      <c r="N192" s="7" t="n">
        <v>0.5421916643039409</v>
      </c>
      <c r="O192" s="7" t="n">
        <v>1.49962007371704</v>
      </c>
      <c r="P192" s="9">
        <f>IFERROR(O192/N192,0)</f>
        <v/>
      </c>
      <c r="Q192" s="7">
        <f>K192+N192</f>
        <v/>
      </c>
      <c r="R192" s="7">
        <f>L192+O192</f>
        <v/>
      </c>
      <c r="S192" s="9">
        <f>IFERROR(R192/Q192,0)</f>
        <v/>
      </c>
      <c r="T192" s="8">
        <f>IFERROR(Q192/SUMIF($A:$A,A192,$Q:$Q),0)</f>
        <v/>
      </c>
      <c r="U192" s="8">
        <f>IFERROR(Q192/F192,0)</f>
        <v/>
      </c>
      <c r="V192" s="7">
        <f>F192-R192</f>
        <v/>
      </c>
      <c r="W192" s="8">
        <f>IFERROR(V192/F192,0)</f>
        <v/>
      </c>
      <c r="X192" s="7">
        <f>IFERROR(VLOOKUP(A192,周报其他费用!$A:$B,2,FALSE)*I192,0)</f>
        <v/>
      </c>
      <c r="Y192" s="7" t="n">
        <v>2.317</v>
      </c>
      <c r="Z192" s="8">
        <f>IFERROR(Y192/G192,0)</f>
        <v/>
      </c>
      <c r="AA192" s="7">
        <f>Y192-K192/1.06</f>
        <v/>
      </c>
      <c r="AB192" s="8">
        <f>IFERROR(AA192/G192,0)</f>
        <v/>
      </c>
      <c r="AC192" s="7">
        <f>Y192-(Q192+X192)/1.06</f>
        <v/>
      </c>
      <c r="AD192" s="8">
        <f>IFERROR(AC192/G192,0)</f>
        <v/>
      </c>
    </row>
    <row r="193" ht="14.25" customHeight="1" s="69">
      <c r="A193" s="5" t="inlineStr">
        <is>
          <t>6.29-7.5</t>
        </is>
      </c>
      <c r="B193" s="5" t="inlineStr">
        <is>
          <t>6.29-7.5</t>
        </is>
      </c>
      <c r="C193" s="119" t="n">
        <v>1028450344901</v>
      </c>
      <c r="D193" s="5" t="inlineStr">
        <is>
          <t>韩式袋面</t>
        </is>
      </c>
      <c r="E193" s="5" t="inlineStr">
        <is>
          <t>营多韩式火鸡面袋装拌面干拌面泡面方便面速食面宿舍宵夜旅行</t>
        </is>
      </c>
      <c r="F193" s="7" t="n">
        <v>11.94</v>
      </c>
      <c r="G193" s="7">
        <f>IFERROR(F193/1.13,0)</f>
        <v/>
      </c>
      <c r="H193" s="5" t="n">
        <v>1</v>
      </c>
      <c r="I193" s="8">
        <f>IFERROR(H193/SUMIF($A:$A,A193,$H:$H),0)</f>
        <v/>
      </c>
      <c r="J193" s="9">
        <f>IFERROR(F193/H193,0)</f>
        <v/>
      </c>
      <c r="K193" s="7" t="n">
        <v>4.63454777431245</v>
      </c>
      <c r="L193" s="7" t="n">
        <v>17.3721406294301</v>
      </c>
      <c r="M193" s="9">
        <f>IFERROR(L193/K193,0)</f>
        <v/>
      </c>
      <c r="N193" s="7" t="n">
        <v>0.5421916643039409</v>
      </c>
      <c r="O193" s="7" t="n">
        <v>1.49962007371704</v>
      </c>
      <c r="P193" s="9">
        <f>IFERROR(O193/N193,0)</f>
        <v/>
      </c>
      <c r="Q193" s="7">
        <f>K193+N193</f>
        <v/>
      </c>
      <c r="R193" s="7">
        <f>L193+O193</f>
        <v/>
      </c>
      <c r="S193" s="9">
        <f>IFERROR(R193/Q193,0)</f>
        <v/>
      </c>
      <c r="T193" s="8">
        <f>IFERROR(Q193/SUMIF($A:$A,A193,$Q:$Q),0)</f>
        <v/>
      </c>
      <c r="U193" s="8">
        <f>IFERROR(Q193/F193,0)</f>
        <v/>
      </c>
      <c r="V193" s="7">
        <f>F193-R193</f>
        <v/>
      </c>
      <c r="W193" s="8">
        <f>IFERROR(V193/F193,0)</f>
        <v/>
      </c>
      <c r="X193" s="7">
        <f>IFERROR(VLOOKUP(A193,周报其他费用!$A:$B,2,FALSE)*I193,0)</f>
        <v/>
      </c>
      <c r="Y193" s="7" t="n">
        <v>-0.082</v>
      </c>
      <c r="Z193" s="8">
        <f>IFERROR(Y193/G193,0)</f>
        <v/>
      </c>
      <c r="AA193" s="7">
        <f>Y193-K193/1.06</f>
        <v/>
      </c>
      <c r="AB193" s="8">
        <f>IFERROR(AA193/G193,0)</f>
        <v/>
      </c>
      <c r="AC193" s="7">
        <f>Y193-(Q193+X193)/1.06</f>
        <v/>
      </c>
      <c r="AD193" s="8">
        <f>IFERROR(AC193/G193,0)</f>
        <v/>
      </c>
    </row>
    <row r="194" ht="14.25" customHeight="1" s="69">
      <c r="A194" s="5" t="inlineStr">
        <is>
          <t>7.6-7.12</t>
        </is>
      </c>
      <c r="B194" s="5" t="inlineStr">
        <is>
          <t>7.6-7.12</t>
        </is>
      </c>
      <c r="C194" s="119" t="n">
        <v>668566625747</v>
      </c>
      <c r="D194" s="5" t="inlineStr">
        <is>
          <t>袋面主链接</t>
        </is>
      </c>
      <c r="E194" s="5" t="inlineStr">
        <is>
          <t>印尼营多捞面进口网红泡面袋装方便面速食食品拉面火鸡面拌面整箱</t>
        </is>
      </c>
      <c r="F194" s="7" t="n">
        <v>40188.9300000008</v>
      </c>
      <c r="G194" s="7">
        <f>IFERROR(F194/1.13,0)</f>
        <v/>
      </c>
      <c r="H194" s="5" t="n">
        <v>1602</v>
      </c>
      <c r="I194" s="8">
        <f>IFERROR(H194/SUMIF($A:$A,A194,$H:$H),0)</f>
        <v/>
      </c>
      <c r="J194" s="9">
        <f>IFERROR(F194/H194,0)</f>
        <v/>
      </c>
      <c r="K194" s="7" t="n">
        <v>5196.71171866546</v>
      </c>
      <c r="L194" s="7" t="n">
        <v>28972.7690171326</v>
      </c>
      <c r="M194" s="9">
        <f>IFERROR(L194/K194,0)</f>
        <v/>
      </c>
      <c r="N194" s="7" t="n">
        <v>746.204810640216</v>
      </c>
      <c r="O194" s="7" t="n">
        <v>1965.26686203787</v>
      </c>
      <c r="P194" s="9">
        <f>IFERROR(O194/N194,0)</f>
        <v/>
      </c>
      <c r="Q194" s="7">
        <f>K194+N194</f>
        <v/>
      </c>
      <c r="R194" s="7">
        <f>L194+O194</f>
        <v/>
      </c>
      <c r="S194" s="9">
        <f>IFERROR(R194/Q194,0)</f>
        <v/>
      </c>
      <c r="T194" s="8">
        <f>IFERROR(Q194/SUMIF($A:$A,A194,$Q:$Q),0)</f>
        <v/>
      </c>
      <c r="U194" s="8">
        <f>IFERROR(Q194/F194,0)</f>
        <v/>
      </c>
      <c r="V194" s="7">
        <f>F194-R194</f>
        <v/>
      </c>
      <c r="W194" s="8">
        <f>IFERROR(V194/F194,0)</f>
        <v/>
      </c>
      <c r="X194" s="7">
        <f>IFERROR(VLOOKUP(A194,周报其他费用!$A:$B,2,FALSE)*I194,0)</f>
        <v/>
      </c>
      <c r="Y194" s="7" t="n">
        <v>5394.89600000002</v>
      </c>
      <c r="Z194" s="8">
        <f>IFERROR(Y194/G194,0)</f>
        <v/>
      </c>
      <c r="AA194" s="7">
        <f>Y194-K194/1.06</f>
        <v/>
      </c>
      <c r="AB194" s="8">
        <f>IFERROR(AA194/G194,0)</f>
        <v/>
      </c>
      <c r="AC194" s="7">
        <f>Y194-(Q194+X194)/1.06</f>
        <v/>
      </c>
      <c r="AD194" s="8">
        <f>IFERROR(AC194/G194,0)</f>
        <v/>
      </c>
    </row>
    <row r="195" ht="14.25" customHeight="1" s="69">
      <c r="A195" s="5" t="inlineStr">
        <is>
          <t>7.6-7.12</t>
        </is>
      </c>
      <c r="B195" s="5" t="inlineStr">
        <is>
          <t>7.6-7.12</t>
        </is>
      </c>
      <c r="C195" s="119" t="n">
        <v>649361890551</v>
      </c>
      <c r="D195" s="5" t="inlineStr">
        <is>
          <t>袋面次链接</t>
        </is>
      </c>
      <c r="E195" s="5" t="inlineStr">
        <is>
          <t>营多捞面印尼进口Indomie网红夜宵早餐方便面火鸡面泡面拌面</t>
        </is>
      </c>
      <c r="F195" s="7" t="n">
        <v>19322.2800000001</v>
      </c>
      <c r="G195" s="7">
        <f>IFERROR(F195/1.13,0)</f>
        <v/>
      </c>
      <c r="H195" s="5" t="n">
        <v>1016</v>
      </c>
      <c r="I195" s="8">
        <f>IFERROR(H195/SUMIF($A:$A,A195,$H:$H),0)</f>
        <v/>
      </c>
      <c r="J195" s="9">
        <f>IFERROR(F195/H195,0)</f>
        <v/>
      </c>
      <c r="K195" s="7" t="n">
        <v>2912.93947700631</v>
      </c>
      <c r="L195" s="7" t="n">
        <v>14846.4526600541</v>
      </c>
      <c r="M195" s="9">
        <f>IFERROR(L195/K195,0)</f>
        <v/>
      </c>
      <c r="N195" s="7" t="n">
        <v>473.248494138864</v>
      </c>
      <c r="O195" s="7" t="n">
        <v>1246.38647430117</v>
      </c>
      <c r="P195" s="9">
        <f>IFERROR(O195/N195,0)</f>
        <v/>
      </c>
      <c r="Q195" s="7">
        <f>K195+N195</f>
        <v/>
      </c>
      <c r="R195" s="7">
        <f>L195+O195</f>
        <v/>
      </c>
      <c r="S195" s="9">
        <f>IFERROR(R195/Q195,0)</f>
        <v/>
      </c>
      <c r="T195" s="8">
        <f>IFERROR(Q195/SUMIF($A:$A,A195,$Q:$Q),0)</f>
        <v/>
      </c>
      <c r="U195" s="8">
        <f>IFERROR(Q195/F195,0)</f>
        <v/>
      </c>
      <c r="V195" s="7">
        <f>F195-R195</f>
        <v/>
      </c>
      <c r="W195" s="8">
        <f>IFERROR(V195/F195,0)</f>
        <v/>
      </c>
      <c r="X195" s="7">
        <f>IFERROR(VLOOKUP(A195,周报其他费用!$A:$B,2,FALSE)*I195,0)</f>
        <v/>
      </c>
      <c r="Y195" s="7" t="n">
        <v>1830.43399999999</v>
      </c>
      <c r="Z195" s="8">
        <f>IFERROR(Y195/G195,0)</f>
        <v/>
      </c>
      <c r="AA195" s="7">
        <f>Y195-K195/1.06</f>
        <v/>
      </c>
      <c r="AB195" s="8">
        <f>IFERROR(AA195/G195,0)</f>
        <v/>
      </c>
      <c r="AC195" s="7">
        <f>Y195-(Q195+X195)/1.06</f>
        <v/>
      </c>
      <c r="AD195" s="8">
        <f>IFERROR(AC195/G195,0)</f>
        <v/>
      </c>
    </row>
    <row r="196" ht="14.25" customHeight="1" s="69">
      <c r="A196" s="5" t="inlineStr">
        <is>
          <t>7.6-7.12</t>
        </is>
      </c>
      <c r="B196" s="5" t="inlineStr">
        <is>
          <t>7.6-7.12</t>
        </is>
      </c>
      <c r="C196" s="119" t="n">
        <v>649735171438</v>
      </c>
      <c r="D196" s="5" t="inlineStr">
        <is>
          <t>杯面主链接</t>
        </is>
      </c>
      <c r="E196" s="5" t="inlineStr">
        <is>
          <t>印尼进口indomie营多捞面杯面速食泡面干拌面盒桶装方便面火鸡面</t>
        </is>
      </c>
      <c r="F196" s="7" t="n">
        <v>16136.27</v>
      </c>
      <c r="G196" s="7">
        <f>IFERROR(F196/1.13,0)</f>
        <v/>
      </c>
      <c r="H196" s="5" t="n">
        <v>620</v>
      </c>
      <c r="I196" s="8">
        <f>IFERROR(H196/SUMIF($A:$A,A196,$H:$H),0)</f>
        <v/>
      </c>
      <c r="J196" s="9">
        <f>IFERROR(F196/H196,0)</f>
        <v/>
      </c>
      <c r="K196" s="7" t="n">
        <v>2442.18015329125</v>
      </c>
      <c r="L196" s="7" t="n">
        <v>10817.0055996393</v>
      </c>
      <c r="M196" s="9">
        <f>IFERROR(L196/K196,0)</f>
        <v/>
      </c>
      <c r="N196" s="7" t="n">
        <v>288.793372407574</v>
      </c>
      <c r="O196" s="7" t="n">
        <v>760.590171325518</v>
      </c>
      <c r="P196" s="9">
        <f>IFERROR(O196/N196,0)</f>
        <v/>
      </c>
      <c r="Q196" s="7">
        <f>K196+N196</f>
        <v/>
      </c>
      <c r="R196" s="7">
        <f>L196+O196</f>
        <v/>
      </c>
      <c r="S196" s="9">
        <f>IFERROR(R196/Q196,0)</f>
        <v/>
      </c>
      <c r="T196" s="8">
        <f>IFERROR(Q196/SUMIF($A:$A,A196,$Q:$Q),0)</f>
        <v/>
      </c>
      <c r="U196" s="8">
        <f>IFERROR(Q196/F196,0)</f>
        <v/>
      </c>
      <c r="V196" s="7">
        <f>F196-R196</f>
        <v/>
      </c>
      <c r="W196" s="8">
        <f>IFERROR(V196/F196,0)</f>
        <v/>
      </c>
      <c r="X196" s="7">
        <f>IFERROR(VLOOKUP(A196,周报其他费用!$A:$B,2,FALSE)*I196,0)</f>
        <v/>
      </c>
      <c r="Y196" s="7" t="n">
        <v>1823.356</v>
      </c>
      <c r="Z196" s="8">
        <f>IFERROR(Y196/G196,0)</f>
        <v/>
      </c>
      <c r="AA196" s="7">
        <f>Y196-K196/1.06</f>
        <v/>
      </c>
      <c r="AB196" s="8">
        <f>IFERROR(AA196/G196,0)</f>
        <v/>
      </c>
      <c r="AC196" s="7">
        <f>Y196-(Q196+X196)/1.06</f>
        <v/>
      </c>
      <c r="AD196" s="8">
        <f>IFERROR(AC196/G196,0)</f>
        <v/>
      </c>
    </row>
    <row r="197" ht="14.25" customHeight="1" s="69">
      <c r="A197" s="5" t="inlineStr">
        <is>
          <t>7.6-7.12</t>
        </is>
      </c>
      <c r="B197" s="5" t="inlineStr">
        <is>
          <t>7.6-7.12</t>
        </is>
      </c>
      <c r="C197" s="119" t="n">
        <v>649369494424</v>
      </c>
      <c r="D197" s="5" t="inlineStr">
        <is>
          <t>24包经典/牛系列</t>
        </is>
      </c>
      <c r="E197" s="5" t="inlineStr">
        <is>
          <t>营多捞面干拌面一整箱24袋装批发泡面混搭宿舍速食方便面火鸡面</t>
        </is>
      </c>
      <c r="F197" s="7" t="n">
        <v>8349.27</v>
      </c>
      <c r="G197" s="7">
        <f>IFERROR(F197/1.13,0)</f>
        <v/>
      </c>
      <c r="H197" s="5" t="n">
        <v>151</v>
      </c>
      <c r="I197" s="8">
        <f>IFERROR(H197/SUMIF($A:$A,A197,$H:$H),0)</f>
        <v/>
      </c>
      <c r="J197" s="9">
        <f>IFERROR(F197/H197,0)</f>
        <v/>
      </c>
      <c r="K197" s="7" t="n">
        <v>1039.7771663661</v>
      </c>
      <c r="L197" s="7" t="n">
        <v>4807.33428313796</v>
      </c>
      <c r="M197" s="9">
        <f>IFERROR(L197/K197,0)</f>
        <v/>
      </c>
      <c r="N197" s="7" t="n">
        <v>70.3351600541028</v>
      </c>
      <c r="O197" s="7" t="n">
        <v>185.240509467989</v>
      </c>
      <c r="P197" s="9">
        <f>IFERROR(O197/N197,0)</f>
        <v/>
      </c>
      <c r="Q197" s="7">
        <f>K197+N197</f>
        <v/>
      </c>
      <c r="R197" s="7">
        <f>L197+O197</f>
        <v/>
      </c>
      <c r="S197" s="9">
        <f>IFERROR(R197/Q197,0)</f>
        <v/>
      </c>
      <c r="T197" s="8">
        <f>IFERROR(Q197/SUMIF($A:$A,A197,$Q:$Q),0)</f>
        <v/>
      </c>
      <c r="U197" s="8">
        <f>IFERROR(Q197/F197,0)</f>
        <v/>
      </c>
      <c r="V197" s="7">
        <f>F197-R197</f>
        <v/>
      </c>
      <c r="W197" s="8">
        <f>IFERROR(V197/F197,0)</f>
        <v/>
      </c>
      <c r="X197" s="7">
        <f>IFERROR(VLOOKUP(A197,周报其他费用!$A:$B,2,FALSE)*I197,0)</f>
        <v/>
      </c>
      <c r="Y197" s="7" t="n">
        <v>1570.656</v>
      </c>
      <c r="Z197" s="8">
        <f>IFERROR(Y197/G197,0)</f>
        <v/>
      </c>
      <c r="AA197" s="7">
        <f>Y197-K197/1.06</f>
        <v/>
      </c>
      <c r="AB197" s="8">
        <f>IFERROR(AA197/G197,0)</f>
        <v/>
      </c>
      <c r="AC197" s="7">
        <f>Y197-(Q197+X197)/1.06</f>
        <v/>
      </c>
      <c r="AD197" s="8">
        <f>IFERROR(AC197/G197,0)</f>
        <v/>
      </c>
    </row>
    <row r="198" ht="14.25" customHeight="1" s="69">
      <c r="A198" s="5" t="inlineStr">
        <is>
          <t>7.6-7.12</t>
        </is>
      </c>
      <c r="B198" s="5" t="inlineStr">
        <is>
          <t>7.6-7.12</t>
        </is>
      </c>
      <c r="C198" s="119" t="n">
        <v>648600900806</v>
      </c>
      <c r="D198" s="5" t="inlineStr">
        <is>
          <t>巴东牛肉</t>
        </is>
      </c>
      <c r="E198" s="5" t="inlineStr">
        <is>
          <t>【新口味】印尼进口营多捞面巴东炖牛肉味泡面方便面宿舍速食宵夜</t>
        </is>
      </c>
      <c r="F198" s="7" t="n">
        <v>10039.79</v>
      </c>
      <c r="G198" s="7">
        <f>IFERROR(F198/1.13,0)</f>
        <v/>
      </c>
      <c r="H198" s="5" t="n">
        <v>148</v>
      </c>
      <c r="I198" s="8">
        <f>IFERROR(H198/SUMIF($A:$A,A198,$H:$H),0)</f>
        <v/>
      </c>
      <c r="J198" s="9">
        <f>IFERROR(F198/H198,0)</f>
        <v/>
      </c>
      <c r="K198" s="7" t="n">
        <v>1761.80126239856</v>
      </c>
      <c r="L198" s="7" t="n">
        <v>9618.81082055906</v>
      </c>
      <c r="M198" s="9">
        <f>IFERROR(L198/K198,0)</f>
        <v/>
      </c>
      <c r="N198" s="7" t="n">
        <v>68.93777276825971</v>
      </c>
      <c r="O198" s="7" t="n">
        <v>181.560234445446</v>
      </c>
      <c r="P198" s="9">
        <f>IFERROR(O198/N198,0)</f>
        <v/>
      </c>
      <c r="Q198" s="7">
        <f>K198+N198</f>
        <v/>
      </c>
      <c r="R198" s="7">
        <f>L198+O198</f>
        <v/>
      </c>
      <c r="S198" s="9">
        <f>IFERROR(R198/Q198,0)</f>
        <v/>
      </c>
      <c r="T198" s="8">
        <f>IFERROR(Q198/SUMIF($A:$A,A198,$Q:$Q),0)</f>
        <v/>
      </c>
      <c r="U198" s="8">
        <f>IFERROR(Q198/F198,0)</f>
        <v/>
      </c>
      <c r="V198" s="7">
        <f>F198-R198</f>
        <v/>
      </c>
      <c r="W198" s="8">
        <f>IFERROR(V198/F198,0)</f>
        <v/>
      </c>
      <c r="X198" s="7">
        <f>IFERROR(VLOOKUP(A198,周报其他费用!$A:$B,2,FALSE)*I198,0)</f>
        <v/>
      </c>
      <c r="Y198" s="7" t="n">
        <v>1833.091</v>
      </c>
      <c r="Z198" s="8">
        <f>IFERROR(Y198/G198,0)</f>
        <v/>
      </c>
      <c r="AA198" s="7">
        <f>Y198-K198/1.06</f>
        <v/>
      </c>
      <c r="AB198" s="8">
        <f>IFERROR(AA198/G198,0)</f>
        <v/>
      </c>
      <c r="AC198" s="7">
        <f>Y198-(Q198+X198)/1.06</f>
        <v/>
      </c>
      <c r="AD198" s="8">
        <f>IFERROR(AC198/G198,0)</f>
        <v/>
      </c>
    </row>
    <row r="199" ht="14.25" customHeight="1" s="69">
      <c r="A199" s="5" t="inlineStr">
        <is>
          <t>7.6-7.12</t>
        </is>
      </c>
      <c r="B199" s="5" t="inlineStr">
        <is>
          <t>7.6-7.12</t>
        </is>
      </c>
      <c r="C199" s="119" t="n">
        <v>1057479227624</v>
      </c>
      <c r="D199" s="5" t="inlineStr">
        <is>
          <t>巴东牛肉</t>
        </is>
      </c>
      <c r="E199" s="5" t="inlineStr">
        <is>
          <t>【新口味】印尼进口营多捞面巴东炖牛肉味泡面方便面宿舍速食宵夜</t>
        </is>
      </c>
      <c r="F199" s="7" t="n">
        <v>2371.33</v>
      </c>
      <c r="G199" s="7">
        <f>IFERROR(F199/1.13,0)</f>
        <v/>
      </c>
      <c r="H199" s="5" t="n">
        <v>134</v>
      </c>
      <c r="I199" s="8">
        <f>IFERROR(H199/SUMIF($A:$A,A199,$H:$H),0)</f>
        <v/>
      </c>
      <c r="J199" s="9">
        <f>IFERROR(F199/H199,0)</f>
        <v/>
      </c>
      <c r="K199" s="7" t="n">
        <v>844.283710550045</v>
      </c>
      <c r="L199" s="7" t="n">
        <v>3757.34466185753</v>
      </c>
      <c r="M199" s="9">
        <f>IFERROR(L199/K199,0)</f>
        <v/>
      </c>
      <c r="N199" s="7" t="n">
        <v>62.4166321009919</v>
      </c>
      <c r="O199" s="7" t="n">
        <v>164.38561767358</v>
      </c>
      <c r="P199" s="9">
        <f>IFERROR(O199/N199,0)</f>
        <v/>
      </c>
      <c r="Q199" s="7">
        <f>K199+N199</f>
        <v/>
      </c>
      <c r="R199" s="7">
        <f>L199+O199</f>
        <v/>
      </c>
      <c r="S199" s="9">
        <f>IFERROR(R199/Q199,0)</f>
        <v/>
      </c>
      <c r="T199" s="8">
        <f>IFERROR(Q199/SUMIF($A:$A,A199,$Q:$Q),0)</f>
        <v/>
      </c>
      <c r="U199" s="8">
        <f>IFERROR(Q199/F199,0)</f>
        <v/>
      </c>
      <c r="V199" s="7">
        <f>F199-R199</f>
        <v/>
      </c>
      <c r="W199" s="8">
        <f>IFERROR(V199/F199,0)</f>
        <v/>
      </c>
      <c r="X199" s="7">
        <f>IFERROR(VLOOKUP(A199,周报其他费用!$A:$B,2,FALSE)*I199,0)</f>
        <v/>
      </c>
      <c r="Y199" s="7" t="n">
        <v>257.016</v>
      </c>
      <c r="Z199" s="8">
        <f>IFERROR(Y199/G199,0)</f>
        <v/>
      </c>
      <c r="AA199" s="7">
        <f>Y199-K199/1.06</f>
        <v/>
      </c>
      <c r="AB199" s="8">
        <f>IFERROR(AA199/G199,0)</f>
        <v/>
      </c>
      <c r="AC199" s="7">
        <f>Y199-(Q199+X199)/1.06</f>
        <v/>
      </c>
      <c r="AD199" s="8">
        <f>IFERROR(AC199/G199,0)</f>
        <v/>
      </c>
    </row>
    <row r="200" ht="14.25" customHeight="1" s="69">
      <c r="A200" s="5" t="inlineStr">
        <is>
          <t>7.6-7.12</t>
        </is>
      </c>
      <c r="B200" s="5" t="inlineStr">
        <is>
          <t>7.6-7.12</t>
        </is>
      </c>
      <c r="C200" s="119" t="n">
        <v>1058280415678</v>
      </c>
      <c r="D200" s="5" t="inlineStr">
        <is>
          <t>原味大包</t>
        </is>
      </c>
      <c r="E200" s="5" t="inlineStr">
        <is>
          <t>印尼进口大大包营多原味捞面5包干拌面速食超大包方便面速食宵夜</t>
        </is>
      </c>
      <c r="F200" s="7" t="n">
        <v>3110.5</v>
      </c>
      <c r="G200" s="7">
        <f>IFERROR(F200/1.13,0)</f>
        <v/>
      </c>
      <c r="H200" s="5" t="n">
        <v>123</v>
      </c>
      <c r="I200" s="8">
        <f>IFERROR(H200/SUMIF($A:$A,A200,$H:$H),0)</f>
        <v/>
      </c>
      <c r="J200" s="9">
        <f>IFERROR(F200/H200,0)</f>
        <v/>
      </c>
      <c r="K200" s="7" t="n">
        <v>529.482062669071</v>
      </c>
      <c r="L200" s="7" t="n">
        <v>2824.4019657349</v>
      </c>
      <c r="M200" s="9">
        <f>IFERROR(L200/K200,0)</f>
        <v/>
      </c>
      <c r="N200" s="7" t="n">
        <v>57.2928787195672</v>
      </c>
      <c r="O200" s="7" t="n">
        <v>150.891275924256</v>
      </c>
      <c r="P200" s="9">
        <f>IFERROR(O200/N200,0)</f>
        <v/>
      </c>
      <c r="Q200" s="7">
        <f>K200+N200</f>
        <v/>
      </c>
      <c r="R200" s="7">
        <f>L200+O200</f>
        <v/>
      </c>
      <c r="S200" s="9">
        <f>IFERROR(R200/Q200,0)</f>
        <v/>
      </c>
      <c r="T200" s="8">
        <f>IFERROR(Q200/SUMIF($A:$A,A200,$Q:$Q),0)</f>
        <v/>
      </c>
      <c r="U200" s="8">
        <f>IFERROR(Q200/F200,0)</f>
        <v/>
      </c>
      <c r="V200" s="7">
        <f>F200-R200</f>
        <v/>
      </c>
      <c r="W200" s="8">
        <f>IFERROR(V200/F200,0)</f>
        <v/>
      </c>
      <c r="X200" s="7">
        <f>IFERROR(VLOOKUP(A200,周报其他费用!$A:$B,2,FALSE)*I200,0)</f>
        <v/>
      </c>
      <c r="Y200" s="7" t="n">
        <v>636.543000000001</v>
      </c>
      <c r="Z200" s="8">
        <f>IFERROR(Y200/G200,0)</f>
        <v/>
      </c>
      <c r="AA200" s="7">
        <f>Y200-K200/1.06</f>
        <v/>
      </c>
      <c r="AB200" s="8">
        <f>IFERROR(AA200/G200,0)</f>
        <v/>
      </c>
      <c r="AC200" s="7">
        <f>Y200-(Q200+X200)/1.06</f>
        <v/>
      </c>
      <c r="AD200" s="8">
        <f>IFERROR(AC200/G200,0)</f>
        <v/>
      </c>
    </row>
    <row r="201" ht="14.25" customHeight="1" s="69">
      <c r="A201" s="5" t="inlineStr">
        <is>
          <t>7.6-7.12</t>
        </is>
      </c>
      <c r="B201" s="5" t="inlineStr">
        <is>
          <t>7.6-7.12</t>
        </is>
      </c>
      <c r="C201" s="119" t="n">
        <v>648598580775</v>
      </c>
      <c r="D201" s="5" t="inlineStr">
        <is>
          <t>15包</t>
        </is>
      </c>
      <c r="E201" s="5" t="inlineStr">
        <is>
          <t>进口营多捞面15包Indomie方便面干拌面夜宵方便速食五连包85g*5</t>
        </is>
      </c>
      <c r="F201" s="7" t="n">
        <v>3562.12</v>
      </c>
      <c r="G201" s="7">
        <f>IFERROR(F201/1.13,0)</f>
        <v/>
      </c>
      <c r="H201" s="5" t="n">
        <v>97</v>
      </c>
      <c r="I201" s="8">
        <f>IFERROR(H201/SUMIF($A:$A,A201,$H:$H),0)</f>
        <v/>
      </c>
      <c r="J201" s="9">
        <f>IFERROR(F201/H201,0)</f>
        <v/>
      </c>
      <c r="K201" s="7" t="n">
        <v>524.250894950406</v>
      </c>
      <c r="L201" s="7" t="n">
        <v>2610.94195671776</v>
      </c>
      <c r="M201" s="9">
        <f>IFERROR(L201/K201,0)</f>
        <v/>
      </c>
      <c r="N201" s="7" t="n">
        <v>45.182188908927</v>
      </c>
      <c r="O201" s="7" t="n">
        <v>118.995559062218</v>
      </c>
      <c r="P201" s="9">
        <f>IFERROR(O201/N201,0)</f>
        <v/>
      </c>
      <c r="Q201" s="7">
        <f>K201+N201</f>
        <v/>
      </c>
      <c r="R201" s="7">
        <f>L201+O201</f>
        <v/>
      </c>
      <c r="S201" s="9">
        <f>IFERROR(R201/Q201,0)</f>
        <v/>
      </c>
      <c r="T201" s="8">
        <f>IFERROR(Q201/SUMIF($A:$A,A201,$Q:$Q),0)</f>
        <v/>
      </c>
      <c r="U201" s="8">
        <f>IFERROR(Q201/F201,0)</f>
        <v/>
      </c>
      <c r="V201" s="7">
        <f>F201-R201</f>
        <v/>
      </c>
      <c r="W201" s="8">
        <f>IFERROR(V201/F201,0)</f>
        <v/>
      </c>
      <c r="X201" s="7">
        <f>IFERROR(VLOOKUP(A201,周报其他费用!$A:$B,2,FALSE)*I201,0)</f>
        <v/>
      </c>
      <c r="Y201" s="7" t="n">
        <v>643.17</v>
      </c>
      <c r="Z201" s="8">
        <f>IFERROR(Y201/G201,0)</f>
        <v/>
      </c>
      <c r="AA201" s="7">
        <f>Y201-K201/1.06</f>
        <v/>
      </c>
      <c r="AB201" s="8">
        <f>IFERROR(AA201/G201,0)</f>
        <v/>
      </c>
      <c r="AC201" s="7">
        <f>Y201-(Q201+X201)/1.06</f>
        <v/>
      </c>
      <c r="AD201" s="8">
        <f>IFERROR(AC201/G201,0)</f>
        <v/>
      </c>
    </row>
    <row r="202" ht="14.25" customHeight="1" s="69">
      <c r="A202" s="5" t="inlineStr">
        <is>
          <t>7.6-7.12</t>
        </is>
      </c>
      <c r="B202" s="5" t="inlineStr">
        <is>
          <t>7.6-7.12</t>
        </is>
      </c>
      <c r="C202" s="119" t="n">
        <v>649014937782</v>
      </c>
      <c r="D202" s="5" t="inlineStr">
        <is>
          <t>24包</t>
        </is>
      </c>
      <c r="E202" s="5" t="inlineStr">
        <is>
          <t>印尼营多捞面干拌面一整箱24袋装批发泡面宿舍速食方便面火鸡面</t>
        </is>
      </c>
      <c r="F202" s="7" t="n">
        <v>4671.21</v>
      </c>
      <c r="G202" s="7">
        <f>IFERROR(F202/1.13,0)</f>
        <v/>
      </c>
      <c r="H202" s="5" t="n">
        <v>83</v>
      </c>
      <c r="I202" s="8">
        <f>IFERROR(H202/SUMIF($A:$A,A202,$H:$H),0)</f>
        <v/>
      </c>
      <c r="J202" s="9">
        <f>IFERROR(F202/H202,0)</f>
        <v/>
      </c>
      <c r="K202" s="7" t="n">
        <v>903.783343101894</v>
      </c>
      <c r="L202" s="7" t="n">
        <v>4063.60579801623</v>
      </c>
      <c r="M202" s="9">
        <f>IFERROR(L202/K202,0)</f>
        <v/>
      </c>
      <c r="N202" s="7" t="n">
        <v>38.6610482416592</v>
      </c>
      <c r="O202" s="7" t="n">
        <v>101.820942290352</v>
      </c>
      <c r="P202" s="9">
        <f>IFERROR(O202/N202,0)</f>
        <v/>
      </c>
      <c r="Q202" s="7">
        <f>K202+N202</f>
        <v/>
      </c>
      <c r="R202" s="7">
        <f>L202+O202</f>
        <v/>
      </c>
      <c r="S202" s="9">
        <f>IFERROR(R202/Q202,0)</f>
        <v/>
      </c>
      <c r="T202" s="8">
        <f>IFERROR(Q202/SUMIF($A:$A,A202,$Q:$Q),0)</f>
        <v/>
      </c>
      <c r="U202" s="8">
        <f>IFERROR(Q202/F202,0)</f>
        <v/>
      </c>
      <c r="V202" s="7">
        <f>F202-R202</f>
        <v/>
      </c>
      <c r="W202" s="8">
        <f>IFERROR(V202/F202,0)</f>
        <v/>
      </c>
      <c r="X202" s="7">
        <f>IFERROR(VLOOKUP(A202,周报其他费用!$A:$B,2,FALSE)*I202,0)</f>
        <v/>
      </c>
      <c r="Y202" s="7" t="n">
        <v>920.4120000000009</v>
      </c>
      <c r="Z202" s="8">
        <f>IFERROR(Y202/G202,0)</f>
        <v/>
      </c>
      <c r="AA202" s="7">
        <f>Y202-K202/1.06</f>
        <v/>
      </c>
      <c r="AB202" s="8">
        <f>IFERROR(AA202/G202,0)</f>
        <v/>
      </c>
      <c r="AC202" s="7">
        <f>Y202-(Q202+X202)/1.06</f>
        <v/>
      </c>
      <c r="AD202" s="8">
        <f>IFERROR(AC202/G202,0)</f>
        <v/>
      </c>
    </row>
    <row r="203" ht="14.25" customHeight="1" s="69">
      <c r="A203" s="5" t="inlineStr">
        <is>
          <t>7.6-7.12</t>
        </is>
      </c>
      <c r="B203" s="5" t="inlineStr">
        <is>
          <t>7.6-7.12</t>
        </is>
      </c>
      <c r="C203" s="119" t="n">
        <v>1060999732877</v>
      </c>
      <c r="D203" s="5" t="inlineStr">
        <is>
          <t>原味大包</t>
        </is>
      </c>
      <c r="E203" s="5" t="inlineStr">
        <is>
          <t>印尼进口大大包营多原味捞面5包干拌面速食超大包方便面速食宵夜</t>
        </is>
      </c>
      <c r="F203" s="7" t="n">
        <v>1999.22</v>
      </c>
      <c r="G203" s="7">
        <f>IFERROR(F203/1.13,0)</f>
        <v/>
      </c>
      <c r="H203" s="5" t="n">
        <v>73</v>
      </c>
      <c r="I203" s="8">
        <f>IFERROR(H203/SUMIF($A:$A,A203,$H:$H),0)</f>
        <v/>
      </c>
      <c r="J203" s="9">
        <f>IFERROR(F203/H203,0)</f>
        <v/>
      </c>
      <c r="K203" s="7" t="n">
        <v>424.363663210099</v>
      </c>
      <c r="L203" s="7" t="n">
        <v>2128.85425608656</v>
      </c>
      <c r="M203" s="9">
        <f>IFERROR(L203/K203,0)</f>
        <v/>
      </c>
      <c r="N203" s="7" t="n">
        <v>34.0030906221821</v>
      </c>
      <c r="O203" s="7" t="n">
        <v>89.5533588818756</v>
      </c>
      <c r="P203" s="9">
        <f>IFERROR(O203/N203,0)</f>
        <v/>
      </c>
      <c r="Q203" s="7">
        <f>K203+N203</f>
        <v/>
      </c>
      <c r="R203" s="7">
        <f>L203+O203</f>
        <v/>
      </c>
      <c r="S203" s="9">
        <f>IFERROR(R203/Q203,0)</f>
        <v/>
      </c>
      <c r="T203" s="8">
        <f>IFERROR(Q203/SUMIF($A:$A,A203,$Q:$Q),0)</f>
        <v/>
      </c>
      <c r="U203" s="8">
        <f>IFERROR(Q203/F203,0)</f>
        <v/>
      </c>
      <c r="V203" s="7">
        <f>F203-R203</f>
        <v/>
      </c>
      <c r="W203" s="8">
        <f>IFERROR(V203/F203,0)</f>
        <v/>
      </c>
      <c r="X203" s="7">
        <f>IFERROR(VLOOKUP(A203,周报其他费用!$A:$B,2,FALSE)*I203,0)</f>
        <v/>
      </c>
      <c r="Y203" s="7" t="n">
        <v>424.074</v>
      </c>
      <c r="Z203" s="8">
        <f>IFERROR(Y203/G203,0)</f>
        <v/>
      </c>
      <c r="AA203" s="7">
        <f>Y203-K203/1.06</f>
        <v/>
      </c>
      <c r="AB203" s="8">
        <f>IFERROR(AA203/G203,0)</f>
        <v/>
      </c>
      <c r="AC203" s="7">
        <f>Y203-(Q203+X203)/1.06</f>
        <v/>
      </c>
      <c r="AD203" s="8">
        <f>IFERROR(AC203/G203,0)</f>
        <v/>
      </c>
    </row>
    <row r="204" ht="14.25" customHeight="1" s="69">
      <c r="A204" s="5" t="inlineStr">
        <is>
          <t>7.6-7.12</t>
        </is>
      </c>
      <c r="B204" s="5" t="inlineStr">
        <is>
          <t>7.6-7.12</t>
        </is>
      </c>
      <c r="C204" s="119" t="n">
        <v>1013887677295</v>
      </c>
      <c r="D204" s="5" t="inlineStr">
        <is>
          <t>混搭5杯</t>
        </is>
      </c>
      <c r="E204" s="5" t="inlineStr">
        <is>
          <t>进口营多原味杯面日式杯面韩式杯面泡面方便面汤面宿舍速食夜宵</t>
        </is>
      </c>
      <c r="F204" s="7" t="n">
        <v>1657.85</v>
      </c>
      <c r="G204" s="7">
        <f>IFERROR(F204/1.13,0)</f>
        <v/>
      </c>
      <c r="H204" s="5" t="n">
        <v>64</v>
      </c>
      <c r="I204" s="8">
        <f>IFERROR(H204/SUMIF($A:$A,A204,$H:$H),0)</f>
        <v/>
      </c>
      <c r="J204" s="9">
        <f>IFERROR(F204/H204,0)</f>
        <v/>
      </c>
      <c r="K204" s="7" t="n">
        <v>273.425951307484</v>
      </c>
      <c r="L204" s="7" t="n">
        <v>1077.48386834987</v>
      </c>
      <c r="M204" s="9">
        <f>IFERROR(L204/K204,0)</f>
        <v/>
      </c>
      <c r="N204" s="7" t="n">
        <v>29.8109287646528</v>
      </c>
      <c r="O204" s="7" t="n">
        <v>78.51253381424711</v>
      </c>
      <c r="P204" s="9">
        <f>IFERROR(O204/N204,0)</f>
        <v/>
      </c>
      <c r="Q204" s="7">
        <f>K204+N204</f>
        <v/>
      </c>
      <c r="R204" s="7">
        <f>L204+O204</f>
        <v/>
      </c>
      <c r="S204" s="9">
        <f>IFERROR(R204/Q204,0)</f>
        <v/>
      </c>
      <c r="T204" s="8">
        <f>IFERROR(Q204/SUMIF($A:$A,A204,$Q:$Q),0)</f>
        <v/>
      </c>
      <c r="U204" s="8">
        <f>IFERROR(Q204/F204,0)</f>
        <v/>
      </c>
      <c r="V204" s="7">
        <f>F204-R204</f>
        <v/>
      </c>
      <c r="W204" s="8">
        <f>IFERROR(V204/F204,0)</f>
        <v/>
      </c>
      <c r="X204" s="7">
        <f>IFERROR(VLOOKUP(A204,周报其他费用!$A:$B,2,FALSE)*I204,0)</f>
        <v/>
      </c>
      <c r="Y204" s="7" t="n">
        <v>186.377</v>
      </c>
      <c r="Z204" s="8">
        <f>IFERROR(Y204/G204,0)</f>
        <v/>
      </c>
      <c r="AA204" s="7">
        <f>Y204-K204/1.06</f>
        <v/>
      </c>
      <c r="AB204" s="8">
        <f>IFERROR(AA204/G204,0)</f>
        <v/>
      </c>
      <c r="AC204" s="7">
        <f>Y204-(Q204+X204)/1.06</f>
        <v/>
      </c>
      <c r="AD204" s="8">
        <f>IFERROR(AC204/G204,0)</f>
        <v/>
      </c>
    </row>
    <row r="205" ht="14.25" customHeight="1" s="69">
      <c r="A205" s="5" t="inlineStr">
        <is>
          <t>7.6-7.12</t>
        </is>
      </c>
      <c r="B205" s="5" t="inlineStr">
        <is>
          <t>7.6-7.12</t>
        </is>
      </c>
      <c r="C205" s="119" t="n">
        <v>648681860568</v>
      </c>
      <c r="D205" s="5" t="inlineStr">
        <is>
          <t>原味大包</t>
        </is>
      </c>
      <c r="E205" s="5" t="inlineStr">
        <is>
          <t>indomie印尼进口营多原味大大包129g捞面方便面速食食品宵夜小吃</t>
        </is>
      </c>
      <c r="F205" s="7" t="n">
        <v>1204.3</v>
      </c>
      <c r="G205" s="7">
        <f>IFERROR(F205/1.13,0)</f>
        <v/>
      </c>
      <c r="H205" s="5" t="n">
        <v>51</v>
      </c>
      <c r="I205" s="8">
        <f>IFERROR(H205/SUMIF($A:$A,A205,$H:$H),0)</f>
        <v/>
      </c>
      <c r="J205" s="9">
        <f>IFERROR(F205/H205,0)</f>
        <v/>
      </c>
      <c r="K205" s="7" t="n">
        <v>253.710367448152</v>
      </c>
      <c r="L205" s="7" t="n">
        <v>1232.9488638413</v>
      </c>
      <c r="M205" s="9">
        <f>IFERROR(L205/K205,0)</f>
        <v/>
      </c>
      <c r="N205" s="7" t="n">
        <v>23.7555838593327</v>
      </c>
      <c r="O205" s="7" t="n">
        <v>62.5646753832281</v>
      </c>
      <c r="P205" s="9">
        <f>IFERROR(O205/N205,0)</f>
        <v/>
      </c>
      <c r="Q205" s="7">
        <f>K205+N205</f>
        <v/>
      </c>
      <c r="R205" s="7">
        <f>L205+O205</f>
        <v/>
      </c>
      <c r="S205" s="9">
        <f>IFERROR(R205/Q205,0)</f>
        <v/>
      </c>
      <c r="T205" s="8">
        <f>IFERROR(Q205/SUMIF($A:$A,A205,$Q:$Q),0)</f>
        <v/>
      </c>
      <c r="U205" s="8">
        <f>IFERROR(Q205/F205,0)</f>
        <v/>
      </c>
      <c r="V205" s="7">
        <f>F205-R205</f>
        <v/>
      </c>
      <c r="W205" s="8">
        <f>IFERROR(V205/F205,0)</f>
        <v/>
      </c>
      <c r="X205" s="7">
        <f>IFERROR(VLOOKUP(A205,周报其他费用!$A:$B,2,FALSE)*I205,0)</f>
        <v/>
      </c>
      <c r="Y205" s="7" t="n">
        <v>123.953</v>
      </c>
      <c r="Z205" s="8">
        <f>IFERROR(Y205/G205,0)</f>
        <v/>
      </c>
      <c r="AA205" s="7">
        <f>Y205-K205/1.06</f>
        <v/>
      </c>
      <c r="AB205" s="8">
        <f>IFERROR(AA205/G205,0)</f>
        <v/>
      </c>
      <c r="AC205" s="7">
        <f>Y205-(Q205+X205)/1.06</f>
        <v/>
      </c>
      <c r="AD205" s="8">
        <f>IFERROR(AC205/G205,0)</f>
        <v/>
      </c>
    </row>
    <row r="206" ht="14.25" customHeight="1" s="69">
      <c r="A206" s="5" t="inlineStr">
        <is>
          <t>7.6-7.12</t>
        </is>
      </c>
      <c r="B206" s="5" t="inlineStr">
        <is>
          <t>7.6-7.12</t>
        </is>
      </c>
      <c r="C206" s="119" t="n">
        <v>766165464414</v>
      </c>
      <c r="D206" s="5" t="inlineStr">
        <is>
          <t>巴东牛肉</t>
        </is>
      </c>
      <c r="E206" s="5" t="inlineStr">
        <is>
          <t>营多进口新口味巴东炖牛肉味捞面印尼料理方便面泡面捞面夜宵速食</t>
        </is>
      </c>
      <c r="F206" s="7" t="n">
        <v>1293.51</v>
      </c>
      <c r="G206" s="7">
        <f>IFERROR(F206/1.13,0)</f>
        <v/>
      </c>
      <c r="H206" s="5" t="n">
        <v>44</v>
      </c>
      <c r="I206" s="8">
        <f>IFERROR(H206/SUMIF($A:$A,A206,$H:$H),0)</f>
        <v/>
      </c>
      <c r="J206" s="9">
        <f>IFERROR(F206/H206,0)</f>
        <v/>
      </c>
      <c r="K206" s="7" t="n">
        <v>48.4365915238955</v>
      </c>
      <c r="L206" s="7" t="n">
        <v>147.570784490532</v>
      </c>
      <c r="M206" s="9">
        <f>IFERROR(L206/K206,0)</f>
        <v/>
      </c>
      <c r="N206" s="7" t="n">
        <v>20.4950135256988</v>
      </c>
      <c r="O206" s="7" t="n">
        <v>53.9773669972949</v>
      </c>
      <c r="P206" s="9">
        <f>IFERROR(O206/N206,0)</f>
        <v/>
      </c>
      <c r="Q206" s="7">
        <f>K206+N206</f>
        <v/>
      </c>
      <c r="R206" s="7">
        <f>L206+O206</f>
        <v/>
      </c>
      <c r="S206" s="9">
        <f>IFERROR(R206/Q206,0)</f>
        <v/>
      </c>
      <c r="T206" s="8">
        <f>IFERROR(Q206/SUMIF($A:$A,A206,$Q:$Q),0)</f>
        <v/>
      </c>
      <c r="U206" s="8">
        <f>IFERROR(Q206/F206,0)</f>
        <v/>
      </c>
      <c r="V206" s="7">
        <f>F206-R206</f>
        <v/>
      </c>
      <c r="W206" s="8">
        <f>IFERROR(V206/F206,0)</f>
        <v/>
      </c>
      <c r="X206" s="7">
        <f>IFERROR(VLOOKUP(A206,周报其他费用!$A:$B,2,FALSE)*I206,0)</f>
        <v/>
      </c>
      <c r="Y206" s="7" t="n">
        <v>213.523</v>
      </c>
      <c r="Z206" s="8">
        <f>IFERROR(Y206/G206,0)</f>
        <v/>
      </c>
      <c r="AA206" s="7">
        <f>Y206-K206/1.06</f>
        <v/>
      </c>
      <c r="AB206" s="8">
        <f>IFERROR(AA206/G206,0)</f>
        <v/>
      </c>
      <c r="AC206" s="7">
        <f>Y206-(Q206+X206)/1.06</f>
        <v/>
      </c>
      <c r="AD206" s="8">
        <f>IFERROR(AC206/G206,0)</f>
        <v/>
      </c>
    </row>
    <row r="207" ht="14.25" customHeight="1" s="69">
      <c r="A207" s="5" t="inlineStr">
        <is>
          <t>7.6-7.12</t>
        </is>
      </c>
      <c r="B207" s="5" t="inlineStr">
        <is>
          <t>7.6-7.12</t>
        </is>
      </c>
      <c r="C207" s="119" t="n">
        <v>735014804839</v>
      </c>
      <c r="D207" s="5" t="inlineStr">
        <is>
          <t>24/30包</t>
        </is>
      </c>
      <c r="E207" s="5" t="inlineStr">
        <is>
          <t>进口营多捞面多口味Indomie网红方便面干拌面泡面30包整箱批发面</t>
        </is>
      </c>
      <c r="F207" s="7" t="n">
        <v>2314.55</v>
      </c>
      <c r="G207" s="7">
        <f>IFERROR(F207/1.13,0)</f>
        <v/>
      </c>
      <c r="H207" s="5" t="n">
        <v>34</v>
      </c>
      <c r="I207" s="8">
        <f>IFERROR(H207/SUMIF($A:$A,A207,$H:$H),0)</f>
        <v/>
      </c>
      <c r="J207" s="9">
        <f>IFERROR(F207/H207,0)</f>
        <v/>
      </c>
      <c r="K207" s="7" t="n">
        <v>328.176911632101</v>
      </c>
      <c r="L207" s="7" t="n">
        <v>1796.94924256087</v>
      </c>
      <c r="M207" s="9">
        <f>IFERROR(L207/K207,0)</f>
        <v/>
      </c>
      <c r="N207" s="7" t="n">
        <v>15.8370559062218</v>
      </c>
      <c r="O207" s="7" t="n">
        <v>41.7097835888188</v>
      </c>
      <c r="P207" s="9">
        <f>IFERROR(O207/N207,0)</f>
        <v/>
      </c>
      <c r="Q207" s="7">
        <f>K207+N207</f>
        <v/>
      </c>
      <c r="R207" s="7">
        <f>L207+O207</f>
        <v/>
      </c>
      <c r="S207" s="9">
        <f>IFERROR(R207/Q207,0)</f>
        <v/>
      </c>
      <c r="T207" s="8">
        <f>IFERROR(Q207/SUMIF($A:$A,A207,$Q:$Q),0)</f>
        <v/>
      </c>
      <c r="U207" s="8">
        <f>IFERROR(Q207/F207,0)</f>
        <v/>
      </c>
      <c r="V207" s="7">
        <f>F207-R207</f>
        <v/>
      </c>
      <c r="W207" s="8">
        <f>IFERROR(V207/F207,0)</f>
        <v/>
      </c>
      <c r="X207" s="7">
        <f>IFERROR(VLOOKUP(A207,周报其他费用!$A:$B,2,FALSE)*I207,0)</f>
        <v/>
      </c>
      <c r="Y207" s="7" t="n">
        <v>447.02</v>
      </c>
      <c r="Z207" s="8">
        <f>IFERROR(Y207/G207,0)</f>
        <v/>
      </c>
      <c r="AA207" s="7">
        <f>Y207-K207/1.06</f>
        <v/>
      </c>
      <c r="AB207" s="8">
        <f>IFERROR(AA207/G207,0)</f>
        <v/>
      </c>
      <c r="AC207" s="7">
        <f>Y207-(Q207+X207)/1.06</f>
        <v/>
      </c>
      <c r="AD207" s="8">
        <f>IFERROR(AC207/G207,0)</f>
        <v/>
      </c>
    </row>
    <row r="208" ht="14.25" customHeight="1" s="69">
      <c r="A208" s="5" t="inlineStr">
        <is>
          <t>7.6-7.12</t>
        </is>
      </c>
      <c r="B208" s="5" t="inlineStr">
        <is>
          <t>7.6-7.12</t>
        </is>
      </c>
      <c r="C208" s="119" t="n">
        <v>929504658691</v>
      </c>
      <c r="D208" s="5" t="inlineStr">
        <is>
          <t>日式袋面</t>
        </is>
      </c>
      <c r="E208" s="5" t="inlineStr">
        <is>
          <t>营多捞面日式鸡肉汤面原味辛辣味袋装泡面方便面速食宿舍夜宵食品</t>
        </is>
      </c>
      <c r="F208" s="7" t="n">
        <v>756.52</v>
      </c>
      <c r="G208" s="7">
        <f>IFERROR(F208/1.13,0)</f>
        <v/>
      </c>
      <c r="H208" s="5" t="n">
        <v>33</v>
      </c>
      <c r="I208" s="8">
        <f>IFERROR(H208/SUMIF($A:$A,A208,$H:$H),0)</f>
        <v/>
      </c>
      <c r="J208" s="9">
        <f>IFERROR(F208/H208,0)</f>
        <v/>
      </c>
      <c r="K208" s="7" t="n">
        <v>147.434943642922</v>
      </c>
      <c r="L208" s="7" t="n">
        <v>596.088088367899</v>
      </c>
      <c r="M208" s="9">
        <f>IFERROR(L208/K208,0)</f>
        <v/>
      </c>
      <c r="N208" s="7" t="n">
        <v>15.3712601442741</v>
      </c>
      <c r="O208" s="7" t="n">
        <v>40.4830252479711</v>
      </c>
      <c r="P208" s="9">
        <f>IFERROR(O208/N208,0)</f>
        <v/>
      </c>
      <c r="Q208" s="7">
        <f>K208+N208</f>
        <v/>
      </c>
      <c r="R208" s="7">
        <f>L208+O208</f>
        <v/>
      </c>
      <c r="S208" s="9">
        <f>IFERROR(R208/Q208,0)</f>
        <v/>
      </c>
      <c r="T208" s="8">
        <f>IFERROR(Q208/SUMIF($A:$A,A208,$Q:$Q),0)</f>
        <v/>
      </c>
      <c r="U208" s="8">
        <f>IFERROR(Q208/F208,0)</f>
        <v/>
      </c>
      <c r="V208" s="7">
        <f>F208-R208</f>
        <v/>
      </c>
      <c r="W208" s="8">
        <f>IFERROR(V208/F208,0)</f>
        <v/>
      </c>
      <c r="X208" s="7">
        <f>IFERROR(VLOOKUP(A208,周报其他费用!$A:$B,2,FALSE)*I208,0)</f>
        <v/>
      </c>
      <c r="Y208" s="7" t="n">
        <v>103.89</v>
      </c>
      <c r="Z208" s="8">
        <f>IFERROR(Y208/G208,0)</f>
        <v/>
      </c>
      <c r="AA208" s="7">
        <f>Y208-K208/1.06</f>
        <v/>
      </c>
      <c r="AB208" s="8">
        <f>IFERROR(AA208/G208,0)</f>
        <v/>
      </c>
      <c r="AC208" s="7">
        <f>Y208-(Q208+X208)/1.06</f>
        <v/>
      </c>
      <c r="AD208" s="8">
        <f>IFERROR(AC208/G208,0)</f>
        <v/>
      </c>
    </row>
    <row r="209" ht="14.25" customHeight="1" s="69">
      <c r="A209" s="5" t="inlineStr">
        <is>
          <t>7.6-7.12</t>
        </is>
      </c>
      <c r="B209" s="5" t="inlineStr">
        <is>
          <t>7.6-7.12</t>
        </is>
      </c>
      <c r="C209" s="119" t="n">
        <v>1059563993918</v>
      </c>
      <c r="D209" s="5" t="inlineStr">
        <is>
          <t>巴东牛肉</t>
        </is>
      </c>
      <c r="E209" s="5" t="inlineStr">
        <is>
          <t>营多进口新口味巴东炖牛肉味捞面印尼料理方便面泡面捞面夜宵速食</t>
        </is>
      </c>
      <c r="F209" s="7" t="n">
        <v>394.04</v>
      </c>
      <c r="G209" s="7">
        <f>IFERROR(F209/1.13,0)</f>
        <v/>
      </c>
      <c r="H209" s="5" t="n">
        <v>23</v>
      </c>
      <c r="I209" s="8">
        <f>IFERROR(H209/SUMIF($A:$A,A209,$H:$H),0)</f>
        <v/>
      </c>
      <c r="J209" s="9">
        <f>IFERROR(F209/H209,0)</f>
        <v/>
      </c>
      <c r="K209" s="7" t="n">
        <v>75.5752637511272</v>
      </c>
      <c r="L209" s="7" t="n">
        <v>181.796546438233</v>
      </c>
      <c r="M209" s="9">
        <f>IFERROR(L209/K209,0)</f>
        <v/>
      </c>
      <c r="N209" s="7" t="n">
        <v>10.7133025247971</v>
      </c>
      <c r="O209" s="7" t="n">
        <v>28.215441839495</v>
      </c>
      <c r="P209" s="9">
        <f>IFERROR(O209/N209,0)</f>
        <v/>
      </c>
      <c r="Q209" s="7">
        <f>K209+N209</f>
        <v/>
      </c>
      <c r="R209" s="7">
        <f>L209+O209</f>
        <v/>
      </c>
      <c r="S209" s="9">
        <f>IFERROR(R209/Q209,0)</f>
        <v/>
      </c>
      <c r="T209" s="8">
        <f>IFERROR(Q209/SUMIF($A:$A,A209,$Q:$Q),0)</f>
        <v/>
      </c>
      <c r="U209" s="8">
        <f>IFERROR(Q209/F209,0)</f>
        <v/>
      </c>
      <c r="V209" s="7">
        <f>F209-R209</f>
        <v/>
      </c>
      <c r="W209" s="8">
        <f>IFERROR(V209/F209,0)</f>
        <v/>
      </c>
      <c r="X209" s="7">
        <f>IFERROR(VLOOKUP(A209,周报其他费用!$A:$B,2,FALSE)*I209,0)</f>
        <v/>
      </c>
      <c r="Y209" s="7" t="n">
        <v>41.269</v>
      </c>
      <c r="Z209" s="8">
        <f>IFERROR(Y209/G209,0)</f>
        <v/>
      </c>
      <c r="AA209" s="7">
        <f>Y209-K209/1.06</f>
        <v/>
      </c>
      <c r="AB209" s="8">
        <f>IFERROR(AA209/G209,0)</f>
        <v/>
      </c>
      <c r="AC209" s="7">
        <f>Y209-(Q209+X209)/1.06</f>
        <v/>
      </c>
      <c r="AD209" s="8">
        <f>IFERROR(AC209/G209,0)</f>
        <v/>
      </c>
    </row>
    <row r="210" ht="14.25" customHeight="1" s="69">
      <c r="A210" s="5" t="inlineStr">
        <is>
          <t>7.6-7.12</t>
        </is>
      </c>
      <c r="B210" s="5" t="inlineStr">
        <is>
          <t>7.6-7.12</t>
        </is>
      </c>
      <c r="C210" s="119" t="n">
        <v>744317232690</v>
      </c>
      <c r="D210" s="5" t="inlineStr">
        <is>
          <t>多规格</t>
        </is>
      </c>
      <c r="E210" s="5" t="inlineStr">
        <is>
          <t>营多捞面汤面清香牛肉味方便面泡面速食食品泡面拉面整箱旅行宿舍</t>
        </is>
      </c>
      <c r="F210" s="7" t="n">
        <v>551.29</v>
      </c>
      <c r="G210" s="7">
        <f>IFERROR(F210/1.13,0)</f>
        <v/>
      </c>
      <c r="H210" s="5" t="n">
        <v>22</v>
      </c>
      <c r="I210" s="8">
        <f>IFERROR(H210/SUMIF($A:$A,A210,$H:$H),0)</f>
        <v/>
      </c>
      <c r="J210" s="9">
        <f>IFERROR(F210/H210,0)</f>
        <v/>
      </c>
      <c r="K210" s="7" t="n">
        <v>58.7932957619477</v>
      </c>
      <c r="L210" s="7" t="n">
        <v>348.885392245266</v>
      </c>
      <c r="M210" s="9">
        <f>IFERROR(L210/K210,0)</f>
        <v/>
      </c>
      <c r="N210" s="7" t="n">
        <v>10.2475067628494</v>
      </c>
      <c r="O210" s="7" t="n">
        <v>26.9886834986474</v>
      </c>
      <c r="P210" s="9">
        <f>IFERROR(O210/N210,0)</f>
        <v/>
      </c>
      <c r="Q210" s="7">
        <f>K210+N210</f>
        <v/>
      </c>
      <c r="R210" s="7">
        <f>L210+O210</f>
        <v/>
      </c>
      <c r="S210" s="9">
        <f>IFERROR(R210/Q210,0)</f>
        <v/>
      </c>
      <c r="T210" s="8">
        <f>IFERROR(Q210/SUMIF($A:$A,A210,$Q:$Q),0)</f>
        <v/>
      </c>
      <c r="U210" s="8">
        <f>IFERROR(Q210/F210,0)</f>
        <v/>
      </c>
      <c r="V210" s="7">
        <f>F210-R210</f>
        <v/>
      </c>
      <c r="W210" s="8">
        <f>IFERROR(V210/F210,0)</f>
        <v/>
      </c>
      <c r="X210" s="7">
        <f>IFERROR(VLOOKUP(A210,周报其他费用!$A:$B,2,FALSE)*I210,0)</f>
        <v/>
      </c>
      <c r="Y210" s="7" t="n">
        <v>82.45999999999999</v>
      </c>
      <c r="Z210" s="8">
        <f>IFERROR(Y210/G210,0)</f>
        <v/>
      </c>
      <c r="AA210" s="7">
        <f>Y210-K210/1.06</f>
        <v/>
      </c>
      <c r="AB210" s="8">
        <f>IFERROR(AA210/G210,0)</f>
        <v/>
      </c>
      <c r="AC210" s="7">
        <f>Y210-(Q210+X210)/1.06</f>
        <v/>
      </c>
      <c r="AD210" s="8">
        <f>IFERROR(AC210/G210,0)</f>
        <v/>
      </c>
    </row>
    <row r="211" ht="14.25" customHeight="1" s="69">
      <c r="A211" s="5" t="inlineStr">
        <is>
          <t>7.6-7.12</t>
        </is>
      </c>
      <c r="B211" s="5" t="inlineStr">
        <is>
          <t>7.6-7.12</t>
        </is>
      </c>
      <c r="C211" s="119" t="n">
        <v>969423151512</v>
      </c>
      <c r="D211" s="5" t="inlineStr">
        <is>
          <t>日韩混搭</t>
        </is>
      </c>
      <c r="E211" s="5" t="inlineStr">
        <is>
          <t>营多捞面甜辣炸鸡火鸡面辣蘑菇泡面方便面速食干拌面宿舍宵夜旅行</t>
        </is>
      </c>
      <c r="F211" s="7" t="n">
        <v>328.6</v>
      </c>
      <c r="G211" s="7">
        <f>IFERROR(F211/1.13,0)</f>
        <v/>
      </c>
      <c r="H211" s="5" t="n">
        <v>14</v>
      </c>
      <c r="I211" s="8">
        <f>IFERROR(H211/SUMIF($A:$A,A211,$H:$H),0)</f>
        <v/>
      </c>
      <c r="J211" s="9">
        <f>IFERROR(F211/H211,0)</f>
        <v/>
      </c>
      <c r="K211" s="7" t="n">
        <v>57.1475518485122</v>
      </c>
      <c r="L211" s="7" t="n">
        <v>202.566158701533</v>
      </c>
      <c r="M211" s="9">
        <f>IFERROR(L211/K211,0)</f>
        <v/>
      </c>
      <c r="N211" s="7" t="n">
        <v>6.52114066726781</v>
      </c>
      <c r="O211" s="7" t="n">
        <v>17.1746167718665</v>
      </c>
      <c r="P211" s="9">
        <f>IFERROR(O211/N211,0)</f>
        <v/>
      </c>
      <c r="Q211" s="7">
        <f>K211+N211</f>
        <v/>
      </c>
      <c r="R211" s="7">
        <f>L211+O211</f>
        <v/>
      </c>
      <c r="S211" s="9">
        <f>IFERROR(R211/Q211,0)</f>
        <v/>
      </c>
      <c r="T211" s="8">
        <f>IFERROR(Q211/SUMIF($A:$A,A211,$Q:$Q),0)</f>
        <v/>
      </c>
      <c r="U211" s="8">
        <f>IFERROR(Q211/F211,0)</f>
        <v/>
      </c>
      <c r="V211" s="7">
        <f>F211-R211</f>
        <v/>
      </c>
      <c r="W211" s="8">
        <f>IFERROR(V211/F211,0)</f>
        <v/>
      </c>
      <c r="X211" s="7">
        <f>IFERROR(VLOOKUP(A211,周报其他费用!$A:$B,2,FALSE)*I211,0)</f>
        <v/>
      </c>
      <c r="Y211" s="7" t="n">
        <v>50.334</v>
      </c>
      <c r="Z211" s="8">
        <f>IFERROR(Y211/G211,0)</f>
        <v/>
      </c>
      <c r="AA211" s="7">
        <f>Y211-K211/1.06</f>
        <v/>
      </c>
      <c r="AB211" s="8">
        <f>IFERROR(AA211/G211,0)</f>
        <v/>
      </c>
      <c r="AC211" s="7">
        <f>Y211-(Q211+X211)/1.06</f>
        <v/>
      </c>
      <c r="AD211" s="8">
        <f>IFERROR(AC211/G211,0)</f>
        <v/>
      </c>
    </row>
    <row r="212" ht="14.25" customHeight="1" s="69">
      <c r="A212" s="5" t="inlineStr">
        <is>
          <t>7.6-7.12</t>
        </is>
      </c>
      <c r="B212" s="5" t="inlineStr">
        <is>
          <t>7.6-7.12</t>
        </is>
      </c>
      <c r="C212" s="119" t="n">
        <v>898076297965</v>
      </c>
      <c r="D212" s="5" t="inlineStr">
        <is>
          <t>番茄牛肉</t>
        </is>
      </c>
      <c r="E212" s="5" t="inlineStr">
        <is>
          <t>进口正品意面风味奶香番茄牛肉味意式拌面营多捞面早餐儿童宝妈餐</t>
        </is>
      </c>
      <c r="F212" s="7" t="n">
        <v>233.07</v>
      </c>
      <c r="G212" s="7">
        <f>IFERROR(F212/1.13,0)</f>
        <v/>
      </c>
      <c r="H212" s="5" t="n">
        <v>14</v>
      </c>
      <c r="I212" s="8">
        <f>IFERROR(H212/SUMIF($A:$A,A212,$H:$H),0)</f>
        <v/>
      </c>
      <c r="J212" s="9">
        <f>IFERROR(F212/H212,0)</f>
        <v/>
      </c>
      <c r="K212" s="7" t="n">
        <v>26.5575518485122</v>
      </c>
      <c r="L212" s="7" t="n">
        <v>120.936158701533</v>
      </c>
      <c r="M212" s="9">
        <f>IFERROR(L212/K212,0)</f>
        <v/>
      </c>
      <c r="N212" s="7" t="n">
        <v>6.52114066726781</v>
      </c>
      <c r="O212" s="7" t="n">
        <v>17.1746167718665</v>
      </c>
      <c r="P212" s="9">
        <f>IFERROR(O212/N212,0)</f>
        <v/>
      </c>
      <c r="Q212" s="7">
        <f>K212+N212</f>
        <v/>
      </c>
      <c r="R212" s="7">
        <f>L212+O212</f>
        <v/>
      </c>
      <c r="S212" s="9">
        <f>IFERROR(R212/Q212,0)</f>
        <v/>
      </c>
      <c r="T212" s="8">
        <f>IFERROR(Q212/SUMIF($A:$A,A212,$Q:$Q),0)</f>
        <v/>
      </c>
      <c r="U212" s="8">
        <f>IFERROR(Q212/F212,0)</f>
        <v/>
      </c>
      <c r="V212" s="7">
        <f>F212-R212</f>
        <v/>
      </c>
      <c r="W212" s="8">
        <f>IFERROR(V212/F212,0)</f>
        <v/>
      </c>
      <c r="X212" s="7">
        <f>IFERROR(VLOOKUP(A212,周报其他费用!$A:$B,2,FALSE)*I212,0)</f>
        <v/>
      </c>
      <c r="Y212" s="7" t="n">
        <v>18.156</v>
      </c>
      <c r="Z212" s="8">
        <f>IFERROR(Y212/G212,0)</f>
        <v/>
      </c>
      <c r="AA212" s="7">
        <f>Y212-K212/1.06</f>
        <v/>
      </c>
      <c r="AB212" s="8">
        <f>IFERROR(AA212/G212,0)</f>
        <v/>
      </c>
      <c r="AC212" s="7">
        <f>Y212-(Q212+X212)/1.06</f>
        <v/>
      </c>
      <c r="AD212" s="8">
        <f>IFERROR(AC212/G212,0)</f>
        <v/>
      </c>
    </row>
    <row r="213" ht="14.25" customHeight="1" s="69">
      <c r="A213" s="5" t="inlineStr">
        <is>
          <t>7.6-7.12</t>
        </is>
      </c>
      <c r="B213" s="5" t="inlineStr">
        <is>
          <t>7.6-7.12</t>
        </is>
      </c>
      <c r="C213" s="119" t="n">
        <v>648604228786</v>
      </c>
      <c r="D213" s="5" t="inlineStr">
        <is>
          <t>杯面混搭</t>
        </is>
      </c>
      <c r="E213" s="5" t="inlineStr">
        <is>
          <t>INDOMIE营多日式杯面原味经典泡面整箱批发速食宿舍旅行宵夜宿舍</t>
        </is>
      </c>
      <c r="F213" s="7" t="n">
        <v>323.25</v>
      </c>
      <c r="G213" s="7">
        <f>IFERROR(F213/1.13,0)</f>
        <v/>
      </c>
      <c r="H213" s="5" t="n">
        <v>12</v>
      </c>
      <c r="I213" s="8">
        <f>IFERROR(H213/SUMIF($A:$A,A213,$H:$H),0)</f>
        <v/>
      </c>
      <c r="J213" s="9">
        <f>IFERROR(F213/H213,0)</f>
        <v/>
      </c>
      <c r="K213" s="7" t="n">
        <v>17.0936158701533</v>
      </c>
      <c r="L213" s="7" t="n">
        <v>37.8738503155997</v>
      </c>
      <c r="M213" s="9">
        <f>IFERROR(L213/K213,0)</f>
        <v/>
      </c>
      <c r="N213" s="7" t="n">
        <v>5.58954914337241</v>
      </c>
      <c r="O213" s="7" t="n">
        <v>14.7211000901713</v>
      </c>
      <c r="P213" s="9">
        <f>IFERROR(O213/N213,0)</f>
        <v/>
      </c>
      <c r="Q213" s="7">
        <f>K213+N213</f>
        <v/>
      </c>
      <c r="R213" s="7">
        <f>L213+O213</f>
        <v/>
      </c>
      <c r="S213" s="9">
        <f>IFERROR(R213/Q213,0)</f>
        <v/>
      </c>
      <c r="T213" s="8">
        <f>IFERROR(Q213/SUMIF($A:$A,A213,$Q:$Q),0)</f>
        <v/>
      </c>
      <c r="U213" s="8">
        <f>IFERROR(Q213/F213,0)</f>
        <v/>
      </c>
      <c r="V213" s="7">
        <f>F213-R213</f>
        <v/>
      </c>
      <c r="W213" s="8">
        <f>IFERROR(V213/F213,0)</f>
        <v/>
      </c>
      <c r="X213" s="7">
        <f>IFERROR(VLOOKUP(A213,周报其他费用!$A:$B,2,FALSE)*I213,0)</f>
        <v/>
      </c>
      <c r="Y213" s="7" t="n">
        <v>43.025</v>
      </c>
      <c r="Z213" s="8">
        <f>IFERROR(Y213/G213,0)</f>
        <v/>
      </c>
      <c r="AA213" s="7">
        <f>Y213-K213/1.06</f>
        <v/>
      </c>
      <c r="AB213" s="8">
        <f>IFERROR(AA213/G213,0)</f>
        <v/>
      </c>
      <c r="AC213" s="7">
        <f>Y213-(Q213+X213)/1.06</f>
        <v/>
      </c>
      <c r="AD213" s="8">
        <f>IFERROR(AC213/G213,0)</f>
        <v/>
      </c>
    </row>
    <row r="214" ht="14.25" customHeight="1" s="69">
      <c r="A214" s="5" t="inlineStr">
        <is>
          <t>7.6-7.12</t>
        </is>
      </c>
      <c r="B214" s="5" t="inlineStr">
        <is>
          <t>7.6-7.12</t>
        </is>
      </c>
      <c r="C214" s="119" t="n">
        <v>976479938842</v>
      </c>
      <c r="D214" s="5" t="inlineStr">
        <is>
          <t>【U选】原味5</t>
        </is>
      </c>
      <c r="E214" s="5" t="inlineStr">
        <is>
          <t>【天猫U选】indomie营多大骨牛肉味捞面拌面5包</t>
        </is>
      </c>
      <c r="F214" s="7" t="n">
        <v>85.86</v>
      </c>
      <c r="G214" s="7">
        <f>IFERROR(F214/1.13,0)</f>
        <v/>
      </c>
      <c r="H214" s="5" t="n">
        <v>9</v>
      </c>
      <c r="I214" s="8">
        <f>IFERROR(H214/SUMIF($A:$A,A214,$H:$H),0)</f>
        <v/>
      </c>
      <c r="J214" s="9">
        <f>IFERROR(F214/H214,0)</f>
        <v/>
      </c>
      <c r="K214" s="7" t="n">
        <v>1.54771190261498</v>
      </c>
      <c r="L214" s="7" t="n">
        <v>7.48038773669979</v>
      </c>
      <c r="M214" s="9">
        <f>IFERROR(L214/K214,0)</f>
        <v/>
      </c>
      <c r="N214" s="7" t="n">
        <v>4.19216185752931</v>
      </c>
      <c r="O214" s="7" t="n">
        <v>11.0408250676285</v>
      </c>
      <c r="P214" s="9">
        <f>IFERROR(O214/N214,0)</f>
        <v/>
      </c>
      <c r="Q214" s="7">
        <f>K214+N214</f>
        <v/>
      </c>
      <c r="R214" s="7">
        <f>L214+O214</f>
        <v/>
      </c>
      <c r="S214" s="9">
        <f>IFERROR(R214/Q214,0)</f>
        <v/>
      </c>
      <c r="T214" s="8">
        <f>IFERROR(Q214/SUMIF($A:$A,A214,$Q:$Q),0)</f>
        <v/>
      </c>
      <c r="U214" s="8">
        <f>IFERROR(Q214/F214,0)</f>
        <v/>
      </c>
      <c r="V214" s="7">
        <f>F214-R214</f>
        <v/>
      </c>
      <c r="W214" s="8">
        <f>IFERROR(V214/F214,0)</f>
        <v/>
      </c>
      <c r="X214" s="7">
        <f>IFERROR(VLOOKUP(A214,周报其他费用!$A:$B,2,FALSE)*I214,0)</f>
        <v/>
      </c>
      <c r="Y214" s="7" t="n">
        <v>-27.524</v>
      </c>
      <c r="Z214" s="8">
        <f>IFERROR(Y214/G214,0)</f>
        <v/>
      </c>
      <c r="AA214" s="7">
        <f>Y214-K214/1.06</f>
        <v/>
      </c>
      <c r="AB214" s="8">
        <f>IFERROR(AA214/G214,0)</f>
        <v/>
      </c>
      <c r="AC214" s="7">
        <f>Y214-(Q214+X214)/1.06</f>
        <v/>
      </c>
      <c r="AD214" s="8">
        <f>IFERROR(AC214/G214,0)</f>
        <v/>
      </c>
    </row>
    <row r="215" ht="14.25" customHeight="1" s="69">
      <c r="A215" s="5" t="inlineStr">
        <is>
          <t>7.6-7.12</t>
        </is>
      </c>
      <c r="B215" s="5" t="inlineStr">
        <is>
          <t>7.6-7.12</t>
        </is>
      </c>
      <c r="C215" s="119" t="n">
        <v>971242260371</v>
      </c>
      <c r="D215" s="5" t="inlineStr">
        <is>
          <t>韩式袋面</t>
        </is>
      </c>
      <c r="E215" s="5" t="inlineStr">
        <is>
          <t>新品营多捞面韩式辣蘑菇汤面泡面方便面速食干拌面宿舍宵夜旅行</t>
        </is>
      </c>
      <c r="F215" s="7" t="n">
        <v>150.34</v>
      </c>
      <c r="G215" s="7">
        <f>IFERROR(F215/1.13,0)</f>
        <v/>
      </c>
      <c r="H215" s="5" t="n">
        <v>7</v>
      </c>
      <c r="I215" s="8">
        <f>IFERROR(H215/SUMIF($A:$A,A215,$H:$H),0)</f>
        <v/>
      </c>
      <c r="J215" s="9">
        <f>IFERROR(F215/H215,0)</f>
        <v/>
      </c>
      <c r="K215" s="7" t="n">
        <v>82.06377592425611</v>
      </c>
      <c r="L215" s="7" t="n">
        <v>281.328079350766</v>
      </c>
      <c r="M215" s="9">
        <f>IFERROR(L215/K215,0)</f>
        <v/>
      </c>
      <c r="N215" s="7" t="n">
        <v>3.2605703336339</v>
      </c>
      <c r="O215" s="7" t="n">
        <v>8.58730838593327</v>
      </c>
      <c r="P215" s="9">
        <f>IFERROR(O215/N215,0)</f>
        <v/>
      </c>
      <c r="Q215" s="7">
        <f>K215+N215</f>
        <v/>
      </c>
      <c r="R215" s="7">
        <f>L215+O215</f>
        <v/>
      </c>
      <c r="S215" s="9">
        <f>IFERROR(R215/Q215,0)</f>
        <v/>
      </c>
      <c r="T215" s="8">
        <f>IFERROR(Q215/SUMIF($A:$A,A215,$Q:$Q),0)</f>
        <v/>
      </c>
      <c r="U215" s="8">
        <f>IFERROR(Q215/F215,0)</f>
        <v/>
      </c>
      <c r="V215" s="7">
        <f>F215-R215</f>
        <v/>
      </c>
      <c r="W215" s="8">
        <f>IFERROR(V215/F215,0)</f>
        <v/>
      </c>
      <c r="X215" s="7">
        <f>IFERROR(VLOOKUP(A215,周报其他费用!$A:$B,2,FALSE)*I215,0)</f>
        <v/>
      </c>
      <c r="Y215" s="7" t="n">
        <v>23.637</v>
      </c>
      <c r="Z215" s="8">
        <f>IFERROR(Y215/G215,0)</f>
        <v/>
      </c>
      <c r="AA215" s="7">
        <f>Y215-K215/1.06</f>
        <v/>
      </c>
      <c r="AB215" s="8">
        <f>IFERROR(AA215/G215,0)</f>
        <v/>
      </c>
      <c r="AC215" s="7">
        <f>Y215-(Q215+X215)/1.06</f>
        <v/>
      </c>
      <c r="AD215" s="8">
        <f>IFERROR(AC215/G215,0)</f>
        <v/>
      </c>
    </row>
    <row r="216" ht="14.25" customHeight="1" s="69">
      <c r="A216" s="5" t="inlineStr">
        <is>
          <t>7.6-7.12</t>
        </is>
      </c>
      <c r="B216" s="5" t="inlineStr">
        <is>
          <t>7.6-7.12</t>
        </is>
      </c>
      <c r="C216" s="119" t="n">
        <v>937005385662</v>
      </c>
      <c r="D216" s="5" t="inlineStr">
        <is>
          <t>日式袋面</t>
        </is>
      </c>
      <c r="E216" s="5" t="inlineStr">
        <is>
          <t>进口营多正品捞面日式鸡肉鸡汤辛辣味袋装泡面辣味速食方便面汤面</t>
        </is>
      </c>
      <c r="F216" s="7" t="n">
        <v>141.6</v>
      </c>
      <c r="G216" s="7">
        <f>IFERROR(F216/1.13,0)</f>
        <v/>
      </c>
      <c r="H216" s="5" t="n">
        <v>7</v>
      </c>
      <c r="I216" s="8">
        <f>IFERROR(H216/SUMIF($A:$A,A216,$H:$H),0)</f>
        <v/>
      </c>
      <c r="J216" s="9">
        <f>IFERROR(F216/H216,0)</f>
        <v/>
      </c>
      <c r="K216" s="7" t="n">
        <v>19.0537759242561</v>
      </c>
      <c r="L216" s="7" t="n">
        <v>5.8180793507665</v>
      </c>
      <c r="M216" s="9">
        <f>IFERROR(L216/K216,0)</f>
        <v/>
      </c>
      <c r="N216" s="7" t="n">
        <v>3.2605703336339</v>
      </c>
      <c r="O216" s="7" t="n">
        <v>8.58730838593327</v>
      </c>
      <c r="P216" s="9">
        <f>IFERROR(O216/N216,0)</f>
        <v/>
      </c>
      <c r="Q216" s="7">
        <f>K216+N216</f>
        <v/>
      </c>
      <c r="R216" s="7">
        <f>L216+O216</f>
        <v/>
      </c>
      <c r="S216" s="9">
        <f>IFERROR(R216/Q216,0)</f>
        <v/>
      </c>
      <c r="T216" s="8">
        <f>IFERROR(Q216/SUMIF($A:$A,A216,$Q:$Q),0)</f>
        <v/>
      </c>
      <c r="U216" s="8">
        <f>IFERROR(Q216/F216,0)</f>
        <v/>
      </c>
      <c r="V216" s="7">
        <f>F216-R216</f>
        <v/>
      </c>
      <c r="W216" s="8">
        <f>IFERROR(V216/F216,0)</f>
        <v/>
      </c>
      <c r="X216" s="7">
        <f>IFERROR(VLOOKUP(A216,周报其他费用!$A:$B,2,FALSE)*I216,0)</f>
        <v/>
      </c>
      <c r="Y216" s="7" t="n">
        <v>15.209</v>
      </c>
      <c r="Z216" s="8">
        <f>IFERROR(Y216/G216,0)</f>
        <v/>
      </c>
      <c r="AA216" s="7">
        <f>Y216-K216/1.06</f>
        <v/>
      </c>
      <c r="AB216" s="8">
        <f>IFERROR(AA216/G216,0)</f>
        <v/>
      </c>
      <c r="AC216" s="7">
        <f>Y216-(Q216+X216)/1.06</f>
        <v/>
      </c>
      <c r="AD216" s="8">
        <f>IFERROR(AC216/G216,0)</f>
        <v/>
      </c>
    </row>
    <row r="217" ht="14.25" customHeight="1" s="69">
      <c r="A217" s="5" t="inlineStr">
        <is>
          <t>7.6-7.12</t>
        </is>
      </c>
      <c r="B217" s="5" t="inlineStr">
        <is>
          <t>7.6-7.12</t>
        </is>
      </c>
      <c r="C217" s="119" t="n">
        <v>886856687067</v>
      </c>
      <c r="D217" s="5" t="inlineStr">
        <is>
          <t>大骨</t>
        </is>
      </c>
      <c r="E217" s="5" t="inlineStr">
        <is>
          <t>营多捞面牛系列大骨牛肉味方便面食品泡面拉面汤面宿舍宵夜旅行</t>
        </is>
      </c>
      <c r="F217" s="7" t="n">
        <v>151.46</v>
      </c>
      <c r="G217" s="7">
        <f>IFERROR(F217/1.13,0)</f>
        <v/>
      </c>
      <c r="H217" s="5" t="n">
        <v>7</v>
      </c>
      <c r="I217" s="8">
        <f>IFERROR(H217/SUMIF($A:$A,A217,$H:$H),0)</f>
        <v/>
      </c>
      <c r="J217" s="9">
        <f>IFERROR(F217/H217,0)</f>
        <v/>
      </c>
      <c r="K217" s="7" t="n">
        <v>5.9637759242561</v>
      </c>
      <c r="L217" s="7" t="n">
        <v>5.8180793507665</v>
      </c>
      <c r="M217" s="9">
        <f>IFERROR(L217/K217,0)</f>
        <v/>
      </c>
      <c r="N217" s="7" t="n">
        <v>3.2605703336339</v>
      </c>
      <c r="O217" s="7" t="n">
        <v>8.58730838593327</v>
      </c>
      <c r="P217" s="9">
        <f>IFERROR(O217/N217,0)</f>
        <v/>
      </c>
      <c r="Q217" s="7">
        <f>K217+N217</f>
        <v/>
      </c>
      <c r="R217" s="7">
        <f>L217+O217</f>
        <v/>
      </c>
      <c r="S217" s="9">
        <f>IFERROR(R217/Q217,0)</f>
        <v/>
      </c>
      <c r="T217" s="8">
        <f>IFERROR(Q217/SUMIF($A:$A,A217,$Q:$Q),0)</f>
        <v/>
      </c>
      <c r="U217" s="8">
        <f>IFERROR(Q217/F217,0)</f>
        <v/>
      </c>
      <c r="V217" s="7">
        <f>F217-R217</f>
        <v/>
      </c>
      <c r="W217" s="8">
        <f>IFERROR(V217/F217,0)</f>
        <v/>
      </c>
      <c r="X217" s="7">
        <f>IFERROR(VLOOKUP(A217,周报其他费用!$A:$B,2,FALSE)*I217,0)</f>
        <v/>
      </c>
      <c r="Y217" s="7" t="n">
        <v>20.033</v>
      </c>
      <c r="Z217" s="8">
        <f>IFERROR(Y217/G217,0)</f>
        <v/>
      </c>
      <c r="AA217" s="7">
        <f>Y217-K217/1.06</f>
        <v/>
      </c>
      <c r="AB217" s="8">
        <f>IFERROR(AA217/G217,0)</f>
        <v/>
      </c>
      <c r="AC217" s="7">
        <f>Y217-(Q217+X217)/1.06</f>
        <v/>
      </c>
      <c r="AD217" s="8">
        <f>IFERROR(AC217/G217,0)</f>
        <v/>
      </c>
    </row>
    <row r="218" ht="14.25" customHeight="1" s="69">
      <c r="A218" s="5" t="inlineStr">
        <is>
          <t>7.6-7.12</t>
        </is>
      </c>
      <c r="B218" s="5" t="inlineStr">
        <is>
          <t>7.6-7.12</t>
        </is>
      </c>
      <c r="C218" s="119" t="n">
        <v>932687928859</v>
      </c>
      <c r="D218" s="5" t="inlineStr">
        <is>
          <t>8包组合</t>
        </is>
      </c>
      <c r="E218" s="5" t="inlineStr">
        <is>
          <t>营多捞面八口味袋装泡面拌面速食面干拌面方便面宿舍宵夜速食家用</t>
        </is>
      </c>
      <c r="F218" s="7" t="n">
        <v>156.85</v>
      </c>
      <c r="G218" s="7">
        <f>IFERROR(F218/1.13,0)</f>
        <v/>
      </c>
      <c r="H218" s="5" t="n">
        <v>6</v>
      </c>
      <c r="I218" s="8">
        <f>IFERROR(H218/SUMIF($A:$A,A218,$H:$H),0)</f>
        <v/>
      </c>
      <c r="J218" s="9">
        <f>IFERROR(F218/H218,0)</f>
        <v/>
      </c>
      <c r="K218" s="7" t="n">
        <v>5.63180793507665</v>
      </c>
      <c r="L218" s="7" t="n">
        <v>66.88692515779989</v>
      </c>
      <c r="M218" s="9">
        <f>IFERROR(L218/K218,0)</f>
        <v/>
      </c>
      <c r="N218" s="7" t="n">
        <v>2.7947745716862</v>
      </c>
      <c r="O218" s="7" t="n">
        <v>7.36055004508566</v>
      </c>
      <c r="P218" s="9">
        <f>IFERROR(O218/N218,0)</f>
        <v/>
      </c>
      <c r="Q218" s="7">
        <f>K218+N218</f>
        <v/>
      </c>
      <c r="R218" s="7">
        <f>L218+O218</f>
        <v/>
      </c>
      <c r="S218" s="9">
        <f>IFERROR(R218/Q218,0)</f>
        <v/>
      </c>
      <c r="T218" s="8">
        <f>IFERROR(Q218/SUMIF($A:$A,A218,$Q:$Q),0)</f>
        <v/>
      </c>
      <c r="U218" s="8">
        <f>IFERROR(Q218/F218,0)</f>
        <v/>
      </c>
      <c r="V218" s="7">
        <f>F218-R218</f>
        <v/>
      </c>
      <c r="W218" s="8">
        <f>IFERROR(V218/F218,0)</f>
        <v/>
      </c>
      <c r="X218" s="7">
        <f>IFERROR(VLOOKUP(A218,周报其他费用!$A:$B,2,FALSE)*I218,0)</f>
        <v/>
      </c>
      <c r="Y218" s="7" t="n">
        <v>23.807</v>
      </c>
      <c r="Z218" s="8">
        <f>IFERROR(Y218/G218,0)</f>
        <v/>
      </c>
      <c r="AA218" s="7">
        <f>Y218-K218/1.06</f>
        <v/>
      </c>
      <c r="AB218" s="8">
        <f>IFERROR(AA218/G218,0)</f>
        <v/>
      </c>
      <c r="AC218" s="7">
        <f>Y218-(Q218+X218)/1.06</f>
        <v/>
      </c>
      <c r="AD218" s="8">
        <f>IFERROR(AC218/G218,0)</f>
        <v/>
      </c>
    </row>
    <row r="219" ht="14.25" customHeight="1" s="69">
      <c r="A219" s="5" t="inlineStr">
        <is>
          <t>7.6-7.12</t>
        </is>
      </c>
      <c r="B219" s="5" t="inlineStr">
        <is>
          <t>7.6-7.12</t>
        </is>
      </c>
      <c r="C219" s="119" t="n">
        <v>649731447266</v>
      </c>
      <c r="D219" s="5" t="inlineStr">
        <is>
          <t>20包经典/牛系列</t>
        </is>
      </c>
      <c r="E219" s="5" t="inlineStr">
        <is>
          <t>营多印尼进口营多捞面方便面火鸡面干拌面20包宿舍速食泡面夜宵</t>
        </is>
      </c>
      <c r="F219" s="7" t="n">
        <v>289.95</v>
      </c>
      <c r="G219" s="7">
        <f>IFERROR(F219/1.13,0)</f>
        <v/>
      </c>
      <c r="H219" s="5" t="n">
        <v>6</v>
      </c>
      <c r="I219" s="8">
        <f>IFERROR(H219/SUMIF($A:$A,A219,$H:$H),0)</f>
        <v/>
      </c>
      <c r="J219" s="9">
        <f>IFERROR(F219/H219,0)</f>
        <v/>
      </c>
      <c r="K219" s="7" t="n">
        <v>18.5218079350767</v>
      </c>
      <c r="L219" s="7" t="n">
        <v>53.8869251577999</v>
      </c>
      <c r="M219" s="9">
        <f>IFERROR(L219/K219,0)</f>
        <v/>
      </c>
      <c r="N219" s="7" t="n">
        <v>2.7947745716862</v>
      </c>
      <c r="O219" s="7" t="n">
        <v>7.36055004508566</v>
      </c>
      <c r="P219" s="9">
        <f>IFERROR(O219/N219,0)</f>
        <v/>
      </c>
      <c r="Q219" s="7">
        <f>K219+N219</f>
        <v/>
      </c>
      <c r="R219" s="7">
        <f>L219+O219</f>
        <v/>
      </c>
      <c r="S219" s="9">
        <f>IFERROR(R219/Q219,0)</f>
        <v/>
      </c>
      <c r="T219" s="8">
        <f>IFERROR(Q219/SUMIF($A:$A,A219,$Q:$Q),0)</f>
        <v/>
      </c>
      <c r="U219" s="8">
        <f>IFERROR(Q219/F219,0)</f>
        <v/>
      </c>
      <c r="V219" s="7">
        <f>F219-R219</f>
        <v/>
      </c>
      <c r="W219" s="8">
        <f>IFERROR(V219/F219,0)</f>
        <v/>
      </c>
      <c r="X219" s="7">
        <f>IFERROR(VLOOKUP(A219,周报其他费用!$A:$B,2,FALSE)*I219,0)</f>
        <v/>
      </c>
      <c r="Y219" s="7" t="n">
        <v>58.524</v>
      </c>
      <c r="Z219" s="8">
        <f>IFERROR(Y219/G219,0)</f>
        <v/>
      </c>
      <c r="AA219" s="7">
        <f>Y219-K219/1.06</f>
        <v/>
      </c>
      <c r="AB219" s="8">
        <f>IFERROR(AA219/G219,0)</f>
        <v/>
      </c>
      <c r="AC219" s="7">
        <f>Y219-(Q219+X219)/1.06</f>
        <v/>
      </c>
      <c r="AD219" s="8">
        <f>IFERROR(AC219/G219,0)</f>
        <v/>
      </c>
    </row>
    <row r="220" ht="14.25" customHeight="1" s="69">
      <c r="A220" s="5" t="inlineStr">
        <is>
          <t>7.6-7.12</t>
        </is>
      </c>
      <c r="B220" s="5" t="inlineStr">
        <is>
          <t>7.6-7.12</t>
        </is>
      </c>
      <c r="C220" s="119" t="n">
        <v>649729851594</v>
      </c>
      <c r="D220" s="5" t="inlineStr">
        <is>
          <t>小规格</t>
        </is>
      </c>
      <c r="E220" s="5" t="inlineStr">
        <is>
          <t>营多捞面袋装8包装泡面宿舍速食面热干面干拌面方便面火鸡面食品</t>
        </is>
      </c>
      <c r="F220" s="7" t="n">
        <v>129.2</v>
      </c>
      <c r="G220" s="7">
        <f>IFERROR(F220/1.13,0)</f>
        <v/>
      </c>
      <c r="H220" s="5" t="n">
        <v>6</v>
      </c>
      <c r="I220" s="8">
        <f>IFERROR(H220/SUMIF($A:$A,A220,$H:$H),0)</f>
        <v/>
      </c>
      <c r="J220" s="9">
        <f>IFERROR(F220/H220,0)</f>
        <v/>
      </c>
      <c r="K220" s="7" t="n">
        <v>4.71180793507665</v>
      </c>
      <c r="L220" s="7" t="n">
        <v>4.98692515779986</v>
      </c>
      <c r="M220" s="9">
        <f>IFERROR(L220/K220,0)</f>
        <v/>
      </c>
      <c r="N220" s="7" t="n">
        <v>2.7947745716862</v>
      </c>
      <c r="O220" s="7" t="n">
        <v>7.36055004508566</v>
      </c>
      <c r="P220" s="9">
        <f>IFERROR(O220/N220,0)</f>
        <v/>
      </c>
      <c r="Q220" s="7">
        <f>K220+N220</f>
        <v/>
      </c>
      <c r="R220" s="7">
        <f>L220+O220</f>
        <v/>
      </c>
      <c r="S220" s="9">
        <f>IFERROR(R220/Q220,0)</f>
        <v/>
      </c>
      <c r="T220" s="8">
        <f>IFERROR(Q220/SUMIF($A:$A,A220,$Q:$Q),0)</f>
        <v/>
      </c>
      <c r="U220" s="8">
        <f>IFERROR(Q220/F220,0)</f>
        <v/>
      </c>
      <c r="V220" s="7">
        <f>F220-R220</f>
        <v/>
      </c>
      <c r="W220" s="8">
        <f>IFERROR(V220/F220,0)</f>
        <v/>
      </c>
      <c r="X220" s="7">
        <f>IFERROR(VLOOKUP(A220,周报其他费用!$A:$B,2,FALSE)*I220,0)</f>
        <v/>
      </c>
      <c r="Y220" s="7" t="n">
        <v>17.304</v>
      </c>
      <c r="Z220" s="8">
        <f>IFERROR(Y220/G220,0)</f>
        <v/>
      </c>
      <c r="AA220" s="7">
        <f>Y220-K220/1.06</f>
        <v/>
      </c>
      <c r="AB220" s="8">
        <f>IFERROR(AA220/G220,0)</f>
        <v/>
      </c>
      <c r="AC220" s="7">
        <f>Y220-(Q220+X220)/1.06</f>
        <v/>
      </c>
      <c r="AD220" s="8">
        <f>IFERROR(AC220/G220,0)</f>
        <v/>
      </c>
    </row>
    <row r="221" ht="14.25" customHeight="1" s="69">
      <c r="A221" s="5" t="inlineStr">
        <is>
          <t>7.6-7.12</t>
        </is>
      </c>
      <c r="B221" s="5" t="inlineStr">
        <is>
          <t>7.6-7.12</t>
        </is>
      </c>
      <c r="C221" s="119" t="n">
        <v>969433743398</v>
      </c>
      <c r="D221" s="5" t="inlineStr">
        <is>
          <t>韩蘑菇</t>
        </is>
      </c>
      <c r="E221" s="5" t="inlineStr">
        <is>
          <t>新品营多捞面韩式辣蘑菇汤面泡面方便面速食干拌面宿舍宵夜旅行</t>
        </is>
      </c>
      <c r="F221" s="7" t="n">
        <v>95.75</v>
      </c>
      <c r="G221" s="7">
        <f>IFERROR(F221/1.13,0)</f>
        <v/>
      </c>
      <c r="H221" s="5" t="n">
        <v>5</v>
      </c>
      <c r="I221" s="8">
        <f>IFERROR(H221/SUMIF($A:$A,A221,$H:$H),0)</f>
        <v/>
      </c>
      <c r="J221" s="9">
        <f>IFERROR(F221/H221,0)</f>
        <v/>
      </c>
      <c r="K221" s="7" t="n">
        <v>6.28983994589721</v>
      </c>
      <c r="L221" s="7" t="n">
        <v>36.9157709648332</v>
      </c>
      <c r="M221" s="9">
        <f>IFERROR(L221/K221,0)</f>
        <v/>
      </c>
      <c r="N221" s="7" t="n">
        <v>2.3289788097385</v>
      </c>
      <c r="O221" s="7" t="n">
        <v>6.13379170423805</v>
      </c>
      <c r="P221" s="9">
        <f>IFERROR(O221/N221,0)</f>
        <v/>
      </c>
      <c r="Q221" s="7">
        <f>K221+N221</f>
        <v/>
      </c>
      <c r="R221" s="7">
        <f>L221+O221</f>
        <v/>
      </c>
      <c r="S221" s="9">
        <f>IFERROR(R221/Q221,0)</f>
        <v/>
      </c>
      <c r="T221" s="8">
        <f>IFERROR(Q221/SUMIF($A:$A,A221,$Q:$Q),0)</f>
        <v/>
      </c>
      <c r="U221" s="8">
        <f>IFERROR(Q221/F221,0)</f>
        <v/>
      </c>
      <c r="V221" s="7">
        <f>F221-R221</f>
        <v/>
      </c>
      <c r="W221" s="8">
        <f>IFERROR(V221/F221,0)</f>
        <v/>
      </c>
      <c r="X221" s="7">
        <f>IFERROR(VLOOKUP(A221,周报其他费用!$A:$B,2,FALSE)*I221,0)</f>
        <v/>
      </c>
      <c r="Y221" s="7" t="n">
        <v>10.58</v>
      </c>
      <c r="Z221" s="8">
        <f>IFERROR(Y221/G221,0)</f>
        <v/>
      </c>
      <c r="AA221" s="7">
        <f>Y221-K221/1.06</f>
        <v/>
      </c>
      <c r="AB221" s="8">
        <f>IFERROR(AA221/G221,0)</f>
        <v/>
      </c>
      <c r="AC221" s="7">
        <f>Y221-(Q221+X221)/1.06</f>
        <v/>
      </c>
      <c r="AD221" s="8">
        <f>IFERROR(AC221/G221,0)</f>
        <v/>
      </c>
    </row>
    <row r="222" ht="14.25" customHeight="1" s="69">
      <c r="A222" s="5" t="inlineStr">
        <is>
          <t>7.6-7.12</t>
        </is>
      </c>
      <c r="B222" s="5" t="inlineStr">
        <is>
          <t>7.6-7.12</t>
        </is>
      </c>
      <c r="C222" s="119" t="n">
        <v>1028450344901</v>
      </c>
      <c r="D222" s="5" t="inlineStr">
        <is>
          <t>韩式火鸡</t>
        </is>
      </c>
      <c r="E222" s="5" t="inlineStr">
        <is>
          <t>营多韩式火鸡面袋装拌面干拌面泡面方便面速食面宿舍宵夜旅行</t>
        </is>
      </c>
      <c r="F222" s="7" t="n">
        <v>136.4</v>
      </c>
      <c r="G222" s="7">
        <f>IFERROR(F222/1.13,0)</f>
        <v/>
      </c>
      <c r="H222" s="5" t="n">
        <v>5</v>
      </c>
      <c r="I222" s="8">
        <f>IFERROR(H222/SUMIF($A:$A,A222,$H:$H),0)</f>
        <v/>
      </c>
      <c r="J222" s="9">
        <f>IFERROR(F222/H222,0)</f>
        <v/>
      </c>
      <c r="K222" s="7" t="n">
        <v>22.5598399458972</v>
      </c>
      <c r="L222" s="7" t="n">
        <v>95.7457709648332</v>
      </c>
      <c r="M222" s="9">
        <f>IFERROR(L222/K222,0)</f>
        <v/>
      </c>
      <c r="N222" s="7" t="n">
        <v>2.3289788097385</v>
      </c>
      <c r="O222" s="7" t="n">
        <v>6.13379170423805</v>
      </c>
      <c r="P222" s="9">
        <f>IFERROR(O222/N222,0)</f>
        <v/>
      </c>
      <c r="Q222" s="7">
        <f>K222+N222</f>
        <v/>
      </c>
      <c r="R222" s="7">
        <f>L222+O222</f>
        <v/>
      </c>
      <c r="S222" s="9">
        <f>IFERROR(R222/Q222,0)</f>
        <v/>
      </c>
      <c r="T222" s="8">
        <f>IFERROR(Q222/SUMIF($A:$A,A222,$Q:$Q),0)</f>
        <v/>
      </c>
      <c r="U222" s="8">
        <f>IFERROR(Q222/F222,0)</f>
        <v/>
      </c>
      <c r="V222" s="7">
        <f>F222-R222</f>
        <v/>
      </c>
      <c r="W222" s="8">
        <f>IFERROR(V222/F222,0)</f>
        <v/>
      </c>
      <c r="X222" s="7">
        <f>IFERROR(VLOOKUP(A222,周报其他费用!$A:$B,2,FALSE)*I222,0)</f>
        <v/>
      </c>
      <c r="Y222" s="7" t="n">
        <v>25.742</v>
      </c>
      <c r="Z222" s="8">
        <f>IFERROR(Y222/G222,0)</f>
        <v/>
      </c>
      <c r="AA222" s="7">
        <f>Y222-K222/1.06</f>
        <v/>
      </c>
      <c r="AB222" s="8">
        <f>IFERROR(AA222/G222,0)</f>
        <v/>
      </c>
      <c r="AC222" s="7">
        <f>Y222-(Q222+X222)/1.06</f>
        <v/>
      </c>
      <c r="AD222" s="8">
        <f>IFERROR(AC222/G222,0)</f>
        <v/>
      </c>
    </row>
    <row r="223" ht="14.25" customHeight="1" s="69">
      <c r="A223" s="5" t="inlineStr">
        <is>
          <t>7.6-7.12</t>
        </is>
      </c>
      <c r="B223" s="5" t="inlineStr">
        <is>
          <t>7.6-7.12</t>
        </is>
      </c>
      <c r="C223" s="119" t="n">
        <v>885645733215</v>
      </c>
      <c r="D223" s="5" t="inlineStr">
        <is>
          <t>大骨牛肉</t>
        </is>
      </c>
      <c r="E223" s="5" t="inlineStr">
        <is>
          <t>进口营多大骨番茄牛肉味营多捞面意式泡面宿舍宿舍宵夜速食方便面</t>
        </is>
      </c>
      <c r="F223" s="7" t="n">
        <v>60.38</v>
      </c>
      <c r="G223" s="7">
        <f>IFERROR(F223/1.13,0)</f>
        <v/>
      </c>
      <c r="H223" s="5" t="n">
        <v>4</v>
      </c>
      <c r="I223" s="8">
        <f>IFERROR(H223/SUMIF($A:$A,A223,$H:$H),0)</f>
        <v/>
      </c>
      <c r="J223" s="9">
        <f>IFERROR(F223/H223,0)</f>
        <v/>
      </c>
      <c r="K223" s="7" t="n">
        <v>3.83787195671777</v>
      </c>
      <c r="L223" s="7" t="n">
        <v>77.3746167718666</v>
      </c>
      <c r="M223" s="9">
        <f>IFERROR(L223/K223,0)</f>
        <v/>
      </c>
      <c r="N223" s="7" t="n">
        <v>1.8631830477908</v>
      </c>
      <c r="O223" s="7" t="n">
        <v>4.90703336339044</v>
      </c>
      <c r="P223" s="9">
        <f>IFERROR(O223/N223,0)</f>
        <v/>
      </c>
      <c r="Q223" s="7">
        <f>K223+N223</f>
        <v/>
      </c>
      <c r="R223" s="7">
        <f>L223+O223</f>
        <v/>
      </c>
      <c r="S223" s="9">
        <f>IFERROR(R223/Q223,0)</f>
        <v/>
      </c>
      <c r="T223" s="8">
        <f>IFERROR(Q223/SUMIF($A:$A,A223,$Q:$Q),0)</f>
        <v/>
      </c>
      <c r="U223" s="8">
        <f>IFERROR(Q223/F223,0)</f>
        <v/>
      </c>
      <c r="V223" s="7">
        <f>F223-R223</f>
        <v/>
      </c>
      <c r="W223" s="8">
        <f>IFERROR(V223/F223,0)</f>
        <v/>
      </c>
      <c r="X223" s="7">
        <f>IFERROR(VLOOKUP(A223,周报其他费用!$A:$B,2,FALSE)*I223,0)</f>
        <v/>
      </c>
      <c r="Y223" s="7" t="n">
        <v>0.885</v>
      </c>
      <c r="Z223" s="8">
        <f>IFERROR(Y223/G223,0)</f>
        <v/>
      </c>
      <c r="AA223" s="7">
        <f>Y223-K223/1.06</f>
        <v/>
      </c>
      <c r="AB223" s="8">
        <f>IFERROR(AA223/G223,0)</f>
        <v/>
      </c>
      <c r="AC223" s="7">
        <f>Y223-(Q223+X223)/1.06</f>
        <v/>
      </c>
      <c r="AD223" s="8">
        <f>IFERROR(AC223/G223,0)</f>
        <v/>
      </c>
    </row>
    <row r="224" ht="14.25" customHeight="1" s="69">
      <c r="A224" s="5" t="inlineStr">
        <is>
          <t>7.6-7.12</t>
        </is>
      </c>
      <c r="B224" s="5" t="inlineStr">
        <is>
          <t>7.6-7.12</t>
        </is>
      </c>
      <c r="C224" s="119" t="n">
        <v>869217868453</v>
      </c>
      <c r="D224" s="5" t="inlineStr">
        <is>
          <t>韩式杯面</t>
        </is>
      </c>
      <c r="E224" s="5" t="inlineStr">
        <is>
          <t>营多捞面韩式甜辣炸鸡辣蘑菇杯面方便面拌面泡面宿舍速食面</t>
        </is>
      </c>
      <c r="F224" s="7" t="n">
        <v>111.61</v>
      </c>
      <c r="G224" s="7">
        <f>IFERROR(F224/1.13,0)</f>
        <v/>
      </c>
      <c r="H224" s="5" t="n">
        <v>3</v>
      </c>
      <c r="I224" s="8">
        <f>IFERROR(H224/SUMIF($A:$A,A224,$H:$H),0)</f>
        <v/>
      </c>
      <c r="J224" s="9">
        <f>IFERROR(F224/H224,0)</f>
        <v/>
      </c>
      <c r="K224" s="7" t="n">
        <v>6.68590396753833</v>
      </c>
      <c r="L224" s="7" t="n">
        <v>99.9534625788999</v>
      </c>
      <c r="M224" s="9">
        <f>IFERROR(L224/K224,0)</f>
        <v/>
      </c>
      <c r="N224" s="7" t="n">
        <v>1.3973872858431</v>
      </c>
      <c r="O224" s="7" t="n">
        <v>3.68027502254283</v>
      </c>
      <c r="P224" s="9">
        <f>IFERROR(O224/N224,0)</f>
        <v/>
      </c>
      <c r="Q224" s="7">
        <f>K224+N224</f>
        <v/>
      </c>
      <c r="R224" s="7">
        <f>L224+O224</f>
        <v/>
      </c>
      <c r="S224" s="9">
        <f>IFERROR(R224/Q224,0)</f>
        <v/>
      </c>
      <c r="T224" s="8">
        <f>IFERROR(Q224/SUMIF($A:$A,A224,$Q:$Q),0)</f>
        <v/>
      </c>
      <c r="U224" s="8">
        <f>IFERROR(Q224/F224,0)</f>
        <v/>
      </c>
      <c r="V224" s="7">
        <f>F224-R224</f>
        <v/>
      </c>
      <c r="W224" s="8">
        <f>IFERROR(V224/F224,0)</f>
        <v/>
      </c>
      <c r="X224" s="7">
        <f>IFERROR(VLOOKUP(A224,周报其他费用!$A:$B,2,FALSE)*I224,0)</f>
        <v/>
      </c>
      <c r="Y224" s="7" t="n">
        <v>15.287</v>
      </c>
      <c r="Z224" s="8">
        <f>IFERROR(Y224/G224,0)</f>
        <v/>
      </c>
      <c r="AA224" s="7">
        <f>Y224-K224/1.06</f>
        <v/>
      </c>
      <c r="AB224" s="8">
        <f>IFERROR(AA224/G224,0)</f>
        <v/>
      </c>
      <c r="AC224" s="7">
        <f>Y224-(Q224+X224)/1.06</f>
        <v/>
      </c>
      <c r="AD224" s="8">
        <f>IFERROR(AC224/G224,0)</f>
        <v/>
      </c>
    </row>
    <row r="225" ht="14.25" customHeight="1" s="69">
      <c r="A225" s="5" t="inlineStr">
        <is>
          <t>7.6-7.12</t>
        </is>
      </c>
      <c r="B225" s="5" t="inlineStr">
        <is>
          <t>7.6-7.12</t>
        </is>
      </c>
      <c r="C225" s="119" t="n">
        <v>947413291596</v>
      </c>
      <c r="D225" s="5" t="inlineStr">
        <is>
          <t>杯面</t>
        </is>
      </c>
      <c r="E225" s="5" t="inlineStr">
        <is>
          <t>营多捞面杯装方便面泡面速食干拌面原味整箱批发印尼进口桶装拌面</t>
        </is>
      </c>
      <c r="F225" s="7" t="n">
        <v>53.57</v>
      </c>
      <c r="G225" s="7">
        <f>IFERROR(F225/1.13,0)</f>
        <v/>
      </c>
      <c r="H225" s="5" t="n">
        <v>2</v>
      </c>
      <c r="I225" s="8">
        <f>IFERROR(H225/SUMIF($A:$A,A225,$H:$H),0)</f>
        <v/>
      </c>
      <c r="J225" s="9">
        <f>IFERROR(F225/H225,0)</f>
        <v/>
      </c>
      <c r="K225" s="7" t="n">
        <v>13.4939359783589</v>
      </c>
      <c r="L225" s="7" t="n">
        <v>1.66230838593329</v>
      </c>
      <c r="M225" s="9">
        <f>IFERROR(L225/K225,0)</f>
        <v/>
      </c>
      <c r="N225" s="7" t="n">
        <v>0.931591523895401</v>
      </c>
      <c r="O225" s="7" t="n">
        <v>2.45351668169522</v>
      </c>
      <c r="P225" s="9">
        <f>IFERROR(O225/N225,0)</f>
        <v/>
      </c>
      <c r="Q225" s="7">
        <f>K225+N225</f>
        <v/>
      </c>
      <c r="R225" s="7">
        <f>L225+O225</f>
        <v/>
      </c>
      <c r="S225" s="9">
        <f>IFERROR(R225/Q225,0)</f>
        <v/>
      </c>
      <c r="T225" s="8">
        <f>IFERROR(Q225/SUMIF($A:$A,A225,$Q:$Q),0)</f>
        <v/>
      </c>
      <c r="U225" s="8">
        <f>IFERROR(Q225/F225,0)</f>
        <v/>
      </c>
      <c r="V225" s="7">
        <f>F225-R225</f>
        <v/>
      </c>
      <c r="W225" s="8">
        <f>IFERROR(V225/F225,0)</f>
        <v/>
      </c>
      <c r="X225" s="7">
        <f>IFERROR(VLOOKUP(A225,周报其他费用!$A:$B,2,FALSE)*I225,0)</f>
        <v/>
      </c>
      <c r="Y225" s="7" t="n">
        <v>5.564</v>
      </c>
      <c r="Z225" s="8">
        <f>IFERROR(Y225/G225,0)</f>
        <v/>
      </c>
      <c r="AA225" s="7">
        <f>Y225-K225/1.06</f>
        <v/>
      </c>
      <c r="AB225" s="8">
        <f>IFERROR(AA225/G225,0)</f>
        <v/>
      </c>
      <c r="AC225" s="7">
        <f>Y225-(Q225+X225)/1.06</f>
        <v/>
      </c>
      <c r="AD225" s="8">
        <f>IFERROR(AC225/G225,0)</f>
        <v/>
      </c>
    </row>
    <row r="226" ht="14.25" customHeight="1" s="69">
      <c r="A226" s="5" t="inlineStr">
        <is>
          <t>7.6-7.12</t>
        </is>
      </c>
      <c r="B226" s="5" t="inlineStr">
        <is>
          <t>7.6-7.12</t>
        </is>
      </c>
      <c r="C226" s="119" t="n">
        <v>903183018417</v>
      </c>
      <c r="D226" s="5" t="inlineStr">
        <is>
          <t>七口味混搭</t>
        </is>
      </c>
      <c r="E226" s="5" t="inlineStr">
        <is>
          <t>进口营多捞面汤面拌面七口味混合方便面速拉面宿舍拌面泡面食食品</t>
        </is>
      </c>
      <c r="F226" s="7" t="n">
        <v>33.43</v>
      </c>
      <c r="G226" s="7">
        <f>IFERROR(F226/1.13,0)</f>
        <v/>
      </c>
      <c r="H226" s="5" t="n">
        <v>2</v>
      </c>
      <c r="I226" s="8">
        <f>IFERROR(H226/SUMIF($A:$A,A226,$H:$H),0)</f>
        <v/>
      </c>
      <c r="J226" s="9">
        <f>IFERROR(F226/H226,0)</f>
        <v/>
      </c>
      <c r="K226" s="7" t="n">
        <v>13.8739359783589</v>
      </c>
      <c r="L226" s="7" t="n">
        <v>1.66230838593329</v>
      </c>
      <c r="M226" s="9">
        <f>IFERROR(L226/K226,0)</f>
        <v/>
      </c>
      <c r="N226" s="7" t="n">
        <v>0.931591523895401</v>
      </c>
      <c r="O226" s="7" t="n">
        <v>2.45351668169522</v>
      </c>
      <c r="P226" s="9">
        <f>IFERROR(O226/N226,0)</f>
        <v/>
      </c>
      <c r="Q226" s="7">
        <f>K226+N226</f>
        <v/>
      </c>
      <c r="R226" s="7">
        <f>L226+O226</f>
        <v/>
      </c>
      <c r="S226" s="9">
        <f>IFERROR(R226/Q226,0)</f>
        <v/>
      </c>
      <c r="T226" s="8">
        <f>IFERROR(Q226/SUMIF($A:$A,A226,$Q:$Q),0)</f>
        <v/>
      </c>
      <c r="U226" s="8">
        <f>IFERROR(Q226/F226,0)</f>
        <v/>
      </c>
      <c r="V226" s="7">
        <f>F226-R226</f>
        <v/>
      </c>
      <c r="W226" s="8">
        <f>IFERROR(V226/F226,0)</f>
        <v/>
      </c>
      <c r="X226" s="7">
        <f>IFERROR(VLOOKUP(A226,周报其他费用!$A:$B,2,FALSE)*I226,0)</f>
        <v/>
      </c>
      <c r="Y226" s="7" t="n">
        <v>-0.904</v>
      </c>
      <c r="Z226" s="8">
        <f>IFERROR(Y226/G226,0)</f>
        <v/>
      </c>
      <c r="AA226" s="7">
        <f>Y226-K226/1.06</f>
        <v/>
      </c>
      <c r="AB226" s="8">
        <f>IFERROR(AA226/G226,0)</f>
        <v/>
      </c>
      <c r="AC226" s="7">
        <f>Y226-(Q226+X226)/1.06</f>
        <v/>
      </c>
      <c r="AD226" s="8">
        <f>IFERROR(AC226/G226,0)</f>
        <v/>
      </c>
    </row>
    <row r="227" ht="14.25" customHeight="1" s="69">
      <c r="A227" s="5" t="inlineStr">
        <is>
          <t>7.6-7.12</t>
        </is>
      </c>
      <c r="B227" s="5" t="inlineStr">
        <is>
          <t>7.6-7.12</t>
        </is>
      </c>
      <c r="C227" s="119" t="n">
        <v>775016827115</v>
      </c>
      <c r="D227" s="5" t="inlineStr">
        <is>
          <t>杯面混搭</t>
        </is>
      </c>
      <c r="E227" s="5" t="inlineStr">
        <is>
          <t>进口营多原味杯面日式杯面韩式杯面泡面方便面汤面宿舍速食夜宵</t>
        </is>
      </c>
      <c r="F227" s="7" t="n">
        <v>55.8</v>
      </c>
      <c r="G227" s="7">
        <f>IFERROR(F227/1.13,0)</f>
        <v/>
      </c>
      <c r="H227" s="5" t="n">
        <v>2</v>
      </c>
      <c r="I227" s="8">
        <f>IFERROR(H227/SUMIF($A:$A,A227,$H:$H),0)</f>
        <v/>
      </c>
      <c r="J227" s="9">
        <f>IFERROR(F227/H227,0)</f>
        <v/>
      </c>
      <c r="K227" s="7" t="n">
        <v>2.10393597835888</v>
      </c>
      <c r="L227" s="7" t="n">
        <v>1.66230838593329</v>
      </c>
      <c r="M227" s="9">
        <f>IFERROR(L227/K227,0)</f>
        <v/>
      </c>
      <c r="N227" s="7" t="n">
        <v>0.931591523895401</v>
      </c>
      <c r="O227" s="7" t="n">
        <v>2.45351668169522</v>
      </c>
      <c r="P227" s="9">
        <f>IFERROR(O227/N227,0)</f>
        <v/>
      </c>
      <c r="Q227" s="7">
        <f>K227+N227</f>
        <v/>
      </c>
      <c r="R227" s="7">
        <f>L227+O227</f>
        <v/>
      </c>
      <c r="S227" s="9">
        <f>IFERROR(R227/Q227,0)</f>
        <v/>
      </c>
      <c r="T227" s="8">
        <f>IFERROR(Q227/SUMIF($A:$A,A227,$Q:$Q),0)</f>
        <v/>
      </c>
      <c r="U227" s="8">
        <f>IFERROR(Q227/F227,0)</f>
        <v/>
      </c>
      <c r="V227" s="7">
        <f>F227-R227</f>
        <v/>
      </c>
      <c r="W227" s="8">
        <f>IFERROR(V227/F227,0)</f>
        <v/>
      </c>
      <c r="X227" s="7">
        <f>IFERROR(VLOOKUP(A227,周报其他费用!$A:$B,2,FALSE)*I227,0)</f>
        <v/>
      </c>
      <c r="Y227" s="7" t="n">
        <v>7.3</v>
      </c>
      <c r="Z227" s="8">
        <f>IFERROR(Y227/G227,0)</f>
        <v/>
      </c>
      <c r="AA227" s="7">
        <f>Y227-K227/1.06</f>
        <v/>
      </c>
      <c r="AB227" s="8">
        <f>IFERROR(AA227/G227,0)</f>
        <v/>
      </c>
      <c r="AC227" s="7">
        <f>Y227-(Q227+X227)/1.06</f>
        <v/>
      </c>
      <c r="AD227" s="8">
        <f>IFERROR(AC227/G227,0)</f>
        <v/>
      </c>
    </row>
    <row r="228" ht="14.25" customHeight="1" s="69">
      <c r="A228" s="5" t="inlineStr">
        <is>
          <t>7.6-7.12</t>
        </is>
      </c>
      <c r="B228" s="5" t="inlineStr">
        <is>
          <t>7.6-7.12</t>
        </is>
      </c>
      <c r="C228" s="119" t="n">
        <v>916072786304</v>
      </c>
      <c r="D228" s="5" t="inlineStr">
        <is>
          <t>小规格</t>
        </is>
      </c>
      <c r="E228" s="5" t="inlineStr">
        <is>
          <t>营多印尼进口营多捞面方便面火鸡面干拌面10包宿舍速食泡面夜宵</t>
        </is>
      </c>
      <c r="F228" s="7" t="n">
        <v>22.38</v>
      </c>
      <c r="G228" s="7">
        <f>IFERROR(F228/1.13,0)</f>
        <v/>
      </c>
      <c r="H228" s="5" t="n">
        <v>1</v>
      </c>
      <c r="I228" s="8">
        <f>IFERROR(H228/SUMIF($A:$A,A228,$H:$H),0)</f>
        <v/>
      </c>
      <c r="J228" s="9">
        <f>IFERROR(F228/H228,0)</f>
        <v/>
      </c>
      <c r="K228" s="7" t="n">
        <v>0.431967989179442</v>
      </c>
      <c r="L228" s="7" t="n">
        <v>0.8311541929666429</v>
      </c>
      <c r="M228" s="9">
        <f>IFERROR(L228/K228,0)</f>
        <v/>
      </c>
      <c r="N228" s="7" t="n">
        <v>0.465795761947701</v>
      </c>
      <c r="O228" s="7" t="n">
        <v>1.22675834084761</v>
      </c>
      <c r="P228" s="9">
        <f>IFERROR(O228/N228,0)</f>
        <v/>
      </c>
      <c r="Q228" s="7">
        <f>K228+N228</f>
        <v/>
      </c>
      <c r="R228" s="7">
        <f>L228+O228</f>
        <v/>
      </c>
      <c r="S228" s="9">
        <f>IFERROR(R228/Q228,0)</f>
        <v/>
      </c>
      <c r="T228" s="8">
        <f>IFERROR(Q228/SUMIF($A:$A,A228,$Q:$Q),0)</f>
        <v/>
      </c>
      <c r="U228" s="8">
        <f>IFERROR(Q228/F228,0)</f>
        <v/>
      </c>
      <c r="V228" s="7">
        <f>F228-R228</f>
        <v/>
      </c>
      <c r="W228" s="8">
        <f>IFERROR(V228/F228,0)</f>
        <v/>
      </c>
      <c r="X228" s="7">
        <f>IFERROR(VLOOKUP(A228,周报其他费用!$A:$B,2,FALSE)*I228,0)</f>
        <v/>
      </c>
      <c r="Y228" s="7" t="n">
        <v>1.177</v>
      </c>
      <c r="Z228" s="8">
        <f>IFERROR(Y228/G228,0)</f>
        <v/>
      </c>
      <c r="AA228" s="7">
        <f>Y228-K228/1.06</f>
        <v/>
      </c>
      <c r="AB228" s="8">
        <f>IFERROR(AA228/G228,0)</f>
        <v/>
      </c>
      <c r="AC228" s="7">
        <f>Y228-(Q228+X228)/1.06</f>
        <v/>
      </c>
      <c r="AD228" s="8">
        <f>IFERROR(AC228/G228,0)</f>
        <v/>
      </c>
    </row>
    <row r="229" ht="14.25" customHeight="1" s="69">
      <c r="A229" s="5" t="inlineStr">
        <is>
          <t>7.6-7.12</t>
        </is>
      </c>
      <c r="B229" s="5" t="inlineStr">
        <is>
          <t>7.6-7.12</t>
        </is>
      </c>
      <c r="C229" s="119" t="n">
        <v>1014512281808</v>
      </c>
      <c r="D229" s="5" t="inlineStr">
        <is>
          <t>杯面混搭</t>
        </is>
      </c>
      <c r="E229" s="5" t="inlineStr">
        <is>
          <t>营多捞面韩式甜辣炸鸡辣蘑菇杯面方便面拌面泡面宿舍速食面</t>
        </is>
      </c>
      <c r="F229" s="7" t="n">
        <v>55.56</v>
      </c>
      <c r="G229" s="7">
        <f>IFERROR(F229/1.13,0)</f>
        <v/>
      </c>
      <c r="H229" s="5" t="n">
        <v>1</v>
      </c>
      <c r="I229" s="8">
        <f>IFERROR(H229/SUMIF($A:$A,A229,$H:$H),0)</f>
        <v/>
      </c>
      <c r="J229" s="9">
        <f>IFERROR(F229/H229,0)</f>
        <v/>
      </c>
      <c r="K229" s="7" t="n">
        <v>0.481967989179442</v>
      </c>
      <c r="L229" s="7" t="n">
        <v>0.8311541929666429</v>
      </c>
      <c r="M229" s="9">
        <f>IFERROR(L229/K229,0)</f>
        <v/>
      </c>
      <c r="N229" s="7" t="n">
        <v>0.465795761947701</v>
      </c>
      <c r="O229" s="7" t="n">
        <v>1.22675834084761</v>
      </c>
      <c r="P229" s="9">
        <f>IFERROR(O229/N229,0)</f>
        <v/>
      </c>
      <c r="Q229" s="7">
        <f>K229+N229</f>
        <v/>
      </c>
      <c r="R229" s="7">
        <f>L229+O229</f>
        <v/>
      </c>
      <c r="S229" s="9">
        <f>IFERROR(R229/Q229,0)</f>
        <v/>
      </c>
      <c r="T229" s="8">
        <f>IFERROR(Q229/SUMIF($A:$A,A229,$Q:$Q),0)</f>
        <v/>
      </c>
      <c r="U229" s="8">
        <f>IFERROR(Q229/F229,0)</f>
        <v/>
      </c>
      <c r="V229" s="7">
        <f>F229-R229</f>
        <v/>
      </c>
      <c r="W229" s="8">
        <f>IFERROR(V229/F229,0)</f>
        <v/>
      </c>
      <c r="X229" s="7">
        <f>IFERROR(VLOOKUP(A229,周报其他费用!$A:$B,2,FALSE)*I229,0)</f>
        <v/>
      </c>
      <c r="Y229" s="7" t="n">
        <v>10.599</v>
      </c>
      <c r="Z229" s="8">
        <f>IFERROR(Y229/G229,0)</f>
        <v/>
      </c>
      <c r="AA229" s="7">
        <f>Y229-K229/1.06</f>
        <v/>
      </c>
      <c r="AB229" s="8">
        <f>IFERROR(AA229/G229,0)</f>
        <v/>
      </c>
      <c r="AC229" s="7">
        <f>Y229-(Q229+X229)/1.06</f>
        <v/>
      </c>
      <c r="AD229" s="8">
        <f>IFERROR(AC229/G229,0)</f>
        <v/>
      </c>
    </row>
    <row r="230" ht="14.25" customHeight="1" s="69">
      <c r="A230" s="5" t="inlineStr">
        <is>
          <t>7.6-7.12</t>
        </is>
      </c>
      <c r="B230" s="5" t="inlineStr">
        <is>
          <t>7.6-7.12</t>
        </is>
      </c>
      <c r="C230" s="119" t="n">
        <v>1019572719528</v>
      </c>
      <c r="D230" s="5" t="inlineStr">
        <is>
          <t>杯面混搭</t>
        </is>
      </c>
      <c r="E230" s="5" t="inlineStr">
        <is>
          <t>印尼进口营多捞面杯面原味甜辣蘑菇味整箱速食拌面拉面泡面方便面</t>
        </is>
      </c>
      <c r="F230" s="7" t="n">
        <v>27.25</v>
      </c>
      <c r="G230" s="7">
        <f>IFERROR(F230/1.13,0)</f>
        <v/>
      </c>
      <c r="H230" s="5" t="n">
        <v>1</v>
      </c>
      <c r="I230" s="8">
        <f>IFERROR(H230/SUMIF($A:$A,A230,$H:$H),0)</f>
        <v/>
      </c>
      <c r="J230" s="9">
        <f>IFERROR(F230/H230,0)</f>
        <v/>
      </c>
      <c r="K230" s="7" t="n">
        <v>0.691967989179442</v>
      </c>
      <c r="L230" s="7" t="n">
        <v>0.8311541929666429</v>
      </c>
      <c r="M230" s="9">
        <f>IFERROR(L230/K230,0)</f>
        <v/>
      </c>
      <c r="N230" s="7" t="n">
        <v>0.465795761947701</v>
      </c>
      <c r="O230" s="7" t="n">
        <v>1.22675834084761</v>
      </c>
      <c r="P230" s="9">
        <f>IFERROR(O230/N230,0)</f>
        <v/>
      </c>
      <c r="Q230" s="7">
        <f>K230+N230</f>
        <v/>
      </c>
      <c r="R230" s="7">
        <f>L230+O230</f>
        <v/>
      </c>
      <c r="S230" s="9">
        <f>IFERROR(R230/Q230,0)</f>
        <v/>
      </c>
      <c r="T230" s="8">
        <f>IFERROR(Q230/SUMIF($A:$A,A230,$Q:$Q),0)</f>
        <v/>
      </c>
      <c r="U230" s="8">
        <f>IFERROR(Q230/F230,0)</f>
        <v/>
      </c>
      <c r="V230" s="7">
        <f>F230-R230</f>
        <v/>
      </c>
      <c r="W230" s="8">
        <f>IFERROR(V230/F230,0)</f>
        <v/>
      </c>
      <c r="X230" s="7">
        <f>IFERROR(VLOOKUP(A230,周报其他费用!$A:$B,2,FALSE)*I230,0)</f>
        <v/>
      </c>
      <c r="Y230" s="7" t="n">
        <v>3.826</v>
      </c>
      <c r="Z230" s="8">
        <f>IFERROR(Y230/G230,0)</f>
        <v/>
      </c>
      <c r="AA230" s="7">
        <f>Y230-K230/1.06</f>
        <v/>
      </c>
      <c r="AB230" s="8">
        <f>IFERROR(AA230/G230,0)</f>
        <v/>
      </c>
      <c r="AC230" s="7">
        <f>Y230-(Q230+X230)/1.06</f>
        <v/>
      </c>
      <c r="AD230" s="8">
        <f>IFERROR(AC230/G230,0)</f>
        <v/>
      </c>
    </row>
    <row r="231" ht="14.25" customHeight="1" s="69">
      <c r="A231" s="5" t="inlineStr">
        <is>
          <t>7.6-7.12</t>
        </is>
      </c>
      <c r="B231" s="5" t="inlineStr">
        <is>
          <t>7.6-7.12</t>
        </is>
      </c>
      <c r="C231" s="119" t="n">
        <v>976467954327</v>
      </c>
      <c r="D231" s="5" t="inlineStr">
        <is>
          <t>十全十美</t>
        </is>
      </c>
      <c r="E231" s="5" t="inlineStr">
        <is>
          <t>营多捞面多口味袋装泡面拌面速食面干拌面方便面速食宵夜宿舍旅行</t>
        </is>
      </c>
      <c r="F231" s="7" t="n">
        <v>9.41</v>
      </c>
      <c r="G231" s="7">
        <f>IFERROR(F231/1.13,0)</f>
        <v/>
      </c>
      <c r="H231" s="5" t="n">
        <v>1</v>
      </c>
      <c r="I231" s="8">
        <f>IFERROR(H231/SUMIF($A:$A,A231,$H:$H),0)</f>
        <v/>
      </c>
      <c r="J231" s="9">
        <f>IFERROR(F231/H231,0)</f>
        <v/>
      </c>
      <c r="K231" s="7" t="n">
        <v>0.171967989179442</v>
      </c>
      <c r="L231" s="7" t="n">
        <v>0.8311541929666429</v>
      </c>
      <c r="M231" s="9">
        <f>IFERROR(L231/K231,0)</f>
        <v/>
      </c>
      <c r="N231" s="7" t="n">
        <v>0.465795761947701</v>
      </c>
      <c r="O231" s="7" t="n">
        <v>1.22675834084761</v>
      </c>
      <c r="P231" s="9">
        <f>IFERROR(O231/N231,0)</f>
        <v/>
      </c>
      <c r="Q231" s="7">
        <f>K231+N231</f>
        <v/>
      </c>
      <c r="R231" s="7">
        <f>L231+O231</f>
        <v/>
      </c>
      <c r="S231" s="9">
        <f>IFERROR(R231/Q231,0)</f>
        <v/>
      </c>
      <c r="T231" s="8">
        <f>IFERROR(Q231/SUMIF($A:$A,A231,$Q:$Q),0)</f>
        <v/>
      </c>
      <c r="U231" s="8">
        <f>IFERROR(Q231/F231,0)</f>
        <v/>
      </c>
      <c r="V231" s="7">
        <f>F231-R231</f>
        <v/>
      </c>
      <c r="W231" s="8">
        <f>IFERROR(V231/F231,0)</f>
        <v/>
      </c>
      <c r="X231" s="7">
        <f>IFERROR(VLOOKUP(A231,周报其他费用!$A:$B,2,FALSE)*I231,0)</f>
        <v/>
      </c>
      <c r="Y231" s="7" t="n">
        <v>-1.761</v>
      </c>
      <c r="Z231" s="8">
        <f>IFERROR(Y231/G231,0)</f>
        <v/>
      </c>
      <c r="AA231" s="7">
        <f>Y231-K231/1.06</f>
        <v/>
      </c>
      <c r="AB231" s="8">
        <f>IFERROR(AA231/G231,0)</f>
        <v/>
      </c>
      <c r="AC231" s="7">
        <f>Y231-(Q231+X231)/1.06</f>
        <v/>
      </c>
      <c r="AD231" s="8">
        <f>IFERROR(AC231/G231,0)</f>
        <v/>
      </c>
    </row>
    <row r="232" ht="14.25" customHeight="1" s="69">
      <c r="A232" s="5" t="inlineStr">
        <is>
          <t>7.6-7.12</t>
        </is>
      </c>
      <c r="B232" s="5" t="inlineStr">
        <is>
          <t>7.6-7.12</t>
        </is>
      </c>
      <c r="C232" s="119" t="n">
        <v>976466902934</v>
      </c>
      <c r="D232" s="5" t="inlineStr">
        <is>
          <t>日韩杯面</t>
        </is>
      </c>
      <c r="E232" s="5" t="inlineStr">
        <is>
          <t>【天猫U选】indomie营多捞面辣火鸡味日式鸡肉原味杯面</t>
        </is>
      </c>
      <c r="F232" s="7" t="n">
        <v>7.6</v>
      </c>
      <c r="G232" s="7">
        <f>IFERROR(F232/1.13,0)</f>
        <v/>
      </c>
      <c r="H232" s="5" t="n">
        <v>1</v>
      </c>
      <c r="I232" s="8">
        <f>IFERROR(H232/SUMIF($A:$A,A232,$H:$H),0)</f>
        <v/>
      </c>
      <c r="J232" s="9">
        <f>IFERROR(F232/H232,0)</f>
        <v/>
      </c>
      <c r="K232" s="7" t="n">
        <v>0.171967989179442</v>
      </c>
      <c r="L232" s="7" t="n">
        <v>0.8311541929666429</v>
      </c>
      <c r="M232" s="9">
        <f>IFERROR(L232/K232,0)</f>
        <v/>
      </c>
      <c r="N232" s="7" t="n">
        <v>0.465795761947701</v>
      </c>
      <c r="O232" s="7" t="n">
        <v>1.22675834084761</v>
      </c>
      <c r="P232" s="9">
        <f>IFERROR(O232/N232,0)</f>
        <v/>
      </c>
      <c r="Q232" s="7">
        <f>K232+N232</f>
        <v/>
      </c>
      <c r="R232" s="7">
        <f>L232+O232</f>
        <v/>
      </c>
      <c r="S232" s="9">
        <f>IFERROR(R232/Q232,0)</f>
        <v/>
      </c>
      <c r="T232" s="8">
        <f>IFERROR(Q232/SUMIF($A:$A,A232,$Q:$Q),0)</f>
        <v/>
      </c>
      <c r="U232" s="8">
        <f>IFERROR(Q232/F232,0)</f>
        <v/>
      </c>
      <c r="V232" s="7">
        <f>F232-R232</f>
        <v/>
      </c>
      <c r="W232" s="8">
        <f>IFERROR(V232/F232,0)</f>
        <v/>
      </c>
      <c r="X232" s="7">
        <f>IFERROR(VLOOKUP(A232,周报其他费用!$A:$B,2,FALSE)*I232,0)</f>
        <v/>
      </c>
      <c r="Y232" s="7" t="n">
        <v>-3.241</v>
      </c>
      <c r="Z232" s="8">
        <f>IFERROR(Y232/G232,0)</f>
        <v/>
      </c>
      <c r="AA232" s="7">
        <f>Y232-K232/1.06</f>
        <v/>
      </c>
      <c r="AB232" s="8">
        <f>IFERROR(AA232/G232,0)</f>
        <v/>
      </c>
      <c r="AC232" s="7">
        <f>Y232-(Q232+X232)/1.06</f>
        <v/>
      </c>
      <c r="AD232" s="8">
        <f>IFERROR(AC232/G232,0)</f>
        <v/>
      </c>
    </row>
    <row r="233" ht="14.25" customHeight="1" s="69">
      <c r="A233" s="5" t="inlineStr">
        <is>
          <t>7.6-7.12</t>
        </is>
      </c>
      <c r="B233" s="5" t="inlineStr">
        <is>
          <t>7.6-7.12</t>
        </is>
      </c>
      <c r="C233" s="119" t="n">
        <v>949962665617</v>
      </c>
      <c r="D233" s="5" t="inlineStr">
        <is>
          <t>韩式袋面</t>
        </is>
      </c>
      <c r="E233" s="5" t="inlineStr">
        <is>
          <t>营多捞面韩式火鸡面辣蘑菇汤面袋装泡面辣味速食方便面宿舍宵夜面</t>
        </is>
      </c>
      <c r="F233" s="7" t="n">
        <v>28.9</v>
      </c>
      <c r="G233" s="7">
        <f>IFERROR(F233/1.13,0)</f>
        <v/>
      </c>
      <c r="H233" s="5" t="n">
        <v>1</v>
      </c>
      <c r="I233" s="8">
        <f>IFERROR(H233/SUMIF($A:$A,A233,$H:$H),0)</f>
        <v/>
      </c>
      <c r="J233" s="9">
        <f>IFERROR(F233/H233,0)</f>
        <v/>
      </c>
      <c r="K233" s="7" t="n">
        <v>25.8919679891794</v>
      </c>
      <c r="L233" s="7" t="n">
        <v>55.0211541929666</v>
      </c>
      <c r="M233" s="9">
        <f>IFERROR(L233/K233,0)</f>
        <v/>
      </c>
      <c r="N233" s="7" t="n">
        <v>0.465795761947701</v>
      </c>
      <c r="O233" s="7" t="n">
        <v>1.22675834084761</v>
      </c>
      <c r="P233" s="9">
        <f>IFERROR(O233/N233,0)</f>
        <v/>
      </c>
      <c r="Q233" s="7">
        <f>K233+N233</f>
        <v/>
      </c>
      <c r="R233" s="7">
        <f>L233+O233</f>
        <v/>
      </c>
      <c r="S233" s="9">
        <f>IFERROR(R233/Q233,0)</f>
        <v/>
      </c>
      <c r="T233" s="8">
        <f>IFERROR(Q233/SUMIF($A:$A,A233,$Q:$Q),0)</f>
        <v/>
      </c>
      <c r="U233" s="8">
        <f>IFERROR(Q233/F233,0)</f>
        <v/>
      </c>
      <c r="V233" s="7">
        <f>F233-R233</f>
        <v/>
      </c>
      <c r="W233" s="8">
        <f>IFERROR(V233/F233,0)</f>
        <v/>
      </c>
      <c r="X233" s="7">
        <f>IFERROR(VLOOKUP(A233,周报其他费用!$A:$B,2,FALSE)*I233,0)</f>
        <v/>
      </c>
      <c r="Y233" s="7" t="n">
        <v>4.577</v>
      </c>
      <c r="Z233" s="8">
        <f>IFERROR(Y233/G233,0)</f>
        <v/>
      </c>
      <c r="AA233" s="7">
        <f>Y233-K233/1.06</f>
        <v/>
      </c>
      <c r="AB233" s="8">
        <f>IFERROR(AA233/G233,0)</f>
        <v/>
      </c>
      <c r="AC233" s="7">
        <f>Y233-(Q233+X233)/1.06</f>
        <v/>
      </c>
      <c r="AD233" s="8">
        <f>IFERROR(AC233/G233,0)</f>
        <v/>
      </c>
    </row>
    <row r="234" ht="14.25" customHeight="1" s="69">
      <c r="A234" s="5" t="inlineStr">
        <is>
          <t>7.6-7.12</t>
        </is>
      </c>
      <c r="B234" s="5" t="inlineStr">
        <is>
          <t>7.6-7.12</t>
        </is>
      </c>
      <c r="C234" s="119" t="n">
        <v>898120785283</v>
      </c>
      <c r="D234" s="5" t="inlineStr">
        <is>
          <t>韩式袋面</t>
        </is>
      </c>
      <c r="E234" s="5" t="inlineStr">
        <is>
          <t>营多韩式火鸡面袋装拌面干拌面泡面方便面速食面宿舍宵夜旅行</t>
        </is>
      </c>
      <c r="F234" s="7" t="n">
        <v>12.92</v>
      </c>
      <c r="G234" s="7">
        <f>IFERROR(F234/1.13,0)</f>
        <v/>
      </c>
      <c r="H234" s="5" t="n">
        <v>1</v>
      </c>
      <c r="I234" s="8">
        <f>IFERROR(H234/SUMIF($A:$A,A234,$H:$H),0)</f>
        <v/>
      </c>
      <c r="J234" s="9">
        <f>IFERROR(F234/H234,0)</f>
        <v/>
      </c>
      <c r="K234" s="7" t="n">
        <v>0.431967989179442</v>
      </c>
      <c r="L234" s="7" t="n">
        <v>0.8311541929666429</v>
      </c>
      <c r="M234" s="9">
        <f>IFERROR(L234/K234,0)</f>
        <v/>
      </c>
      <c r="N234" s="7" t="n">
        <v>0.465795761947701</v>
      </c>
      <c r="O234" s="7" t="n">
        <v>1.22675834084761</v>
      </c>
      <c r="P234" s="9">
        <f>IFERROR(O234/N234,0)</f>
        <v/>
      </c>
      <c r="Q234" s="7">
        <f>K234+N234</f>
        <v/>
      </c>
      <c r="R234" s="7">
        <f>L234+O234</f>
        <v/>
      </c>
      <c r="S234" s="9">
        <f>IFERROR(R234/Q234,0)</f>
        <v/>
      </c>
      <c r="T234" s="8">
        <f>IFERROR(Q234/SUMIF($A:$A,A234,$Q:$Q),0)</f>
        <v/>
      </c>
      <c r="U234" s="8">
        <f>IFERROR(Q234/F234,0)</f>
        <v/>
      </c>
      <c r="V234" s="7">
        <f>F234-R234</f>
        <v/>
      </c>
      <c r="W234" s="8">
        <f>IFERROR(V234/F234,0)</f>
        <v/>
      </c>
      <c r="X234" s="7">
        <f>IFERROR(VLOOKUP(A234,周报其他费用!$A:$B,2,FALSE)*I234,0)</f>
        <v/>
      </c>
      <c r="Y234" s="7" t="n">
        <v>-0.289</v>
      </c>
      <c r="Z234" s="8">
        <f>IFERROR(Y234/G234,0)</f>
        <v/>
      </c>
      <c r="AA234" s="7">
        <f>Y234-K234/1.06</f>
        <v/>
      </c>
      <c r="AB234" s="8">
        <f>IFERROR(AA234/G234,0)</f>
        <v/>
      </c>
      <c r="AC234" s="7">
        <f>Y234-(Q234+X234)/1.06</f>
        <v/>
      </c>
      <c r="AD234" s="8">
        <f>IFERROR(AC234/G234,0)</f>
        <v/>
      </c>
    </row>
    <row r="235" ht="14.25" customHeight="1" s="69">
      <c r="A235" s="5" t="inlineStr">
        <is>
          <t>7.13-7.19</t>
        </is>
      </c>
      <c r="B235" s="5" t="inlineStr">
        <is>
          <t>7.13-7.19</t>
        </is>
      </c>
      <c r="C235" s="119" t="n">
        <v>668566625747</v>
      </c>
      <c r="D235" s="5" t="inlineStr">
        <is>
          <t>袋面主链接</t>
        </is>
      </c>
      <c r="E235" s="5" t="inlineStr">
        <is>
          <t>印尼营多捞面进口网红泡面袋装方便面速食食品拉面火鸡面拌面整箱</t>
        </is>
      </c>
      <c r="F235" s="7" t="n">
        <v>36984.4400000008</v>
      </c>
      <c r="G235" s="7">
        <f>IFERROR(F235/1.13,0)</f>
        <v/>
      </c>
      <c r="H235" s="5" t="n">
        <v>1501</v>
      </c>
      <c r="I235" s="8">
        <f>IFERROR(H235/SUMIF($A:$A,A235,$H:$H),0)</f>
        <v/>
      </c>
      <c r="J235" s="9">
        <f>IFERROR(F235/H235,0)</f>
        <v/>
      </c>
      <c r="K235" s="7" t="n">
        <v>5014.63370010504</v>
      </c>
      <c r="L235" s="7" t="n">
        <v>28818.5743881303</v>
      </c>
      <c r="M235" s="9">
        <f>IFERROR(L235/K235,0)</f>
        <v/>
      </c>
      <c r="N235" s="7" t="n">
        <v>795.261964285714</v>
      </c>
      <c r="O235" s="7" t="n">
        <v>1730.86427521008</v>
      </c>
      <c r="P235" s="9">
        <f>IFERROR(O235/N235,0)</f>
        <v/>
      </c>
      <c r="Q235" s="7">
        <f>K235+N235</f>
        <v/>
      </c>
      <c r="R235" s="7">
        <f>L235+O235</f>
        <v/>
      </c>
      <c r="S235" s="9">
        <f>IFERROR(R235/Q235,0)</f>
        <v/>
      </c>
      <c r="T235" s="8">
        <f>IFERROR(Q235/SUMIF($A:$A,A235,$Q:$Q),0)</f>
        <v/>
      </c>
      <c r="U235" s="8">
        <f>IFERROR(Q235/F235,0)</f>
        <v/>
      </c>
      <c r="V235" s="7">
        <f>F235-R235</f>
        <v/>
      </c>
      <c r="W235" s="8">
        <f>IFERROR(V235/F235,0)</f>
        <v/>
      </c>
      <c r="X235" s="7">
        <f>IFERROR(VLOOKUP(A235,周报其他费用!$A:$B,2,FALSE)*I235,0)</f>
        <v/>
      </c>
      <c r="Y235" s="7" t="n">
        <v>4797.53600000005</v>
      </c>
      <c r="Z235" s="8">
        <f>IFERROR(Y235/G235,0)</f>
        <v/>
      </c>
      <c r="AA235" s="7">
        <f>Y235-K235/1.06</f>
        <v/>
      </c>
      <c r="AB235" s="8">
        <f>IFERROR(AA235/G235,0)</f>
        <v/>
      </c>
      <c r="AC235" s="7">
        <f>Y235-(Q235+X235)/1.06</f>
        <v/>
      </c>
      <c r="AD235" s="8">
        <f>IFERROR(AC235/G235,0)</f>
        <v/>
      </c>
    </row>
    <row r="236" ht="14.25" customHeight="1" s="69">
      <c r="A236" s="5" t="inlineStr">
        <is>
          <t>7.13-7.19</t>
        </is>
      </c>
      <c r="B236" s="5" t="inlineStr">
        <is>
          <t>7.13-7.19</t>
        </is>
      </c>
      <c r="C236" s="119" t="n">
        <v>649361890551</v>
      </c>
      <c r="D236" s="5" t="inlineStr">
        <is>
          <t>袋面次链接</t>
        </is>
      </c>
      <c r="E236" s="5" t="inlineStr">
        <is>
          <t>营多捞面印尼进口Indomie网红夜宵早餐方便面火鸡面泡面拌面</t>
        </is>
      </c>
      <c r="F236" s="7" t="n">
        <v>14291.7099999999</v>
      </c>
      <c r="G236" s="7">
        <f>IFERROR(F236/1.13,0)</f>
        <v/>
      </c>
      <c r="H236" s="5" t="n">
        <v>768</v>
      </c>
      <c r="I236" s="8">
        <f>IFERROR(H236/SUMIF($A:$A,A236,$H:$H),0)</f>
        <v/>
      </c>
      <c r="J236" s="9">
        <f>IFERROR(F236/H236,0)</f>
        <v/>
      </c>
      <c r="K236" s="7" t="n">
        <v>2013.89605042017</v>
      </c>
      <c r="L236" s="7" t="n">
        <v>9309.94630252101</v>
      </c>
      <c r="M236" s="9">
        <f>IFERROR(L236/K236,0)</f>
        <v/>
      </c>
      <c r="N236" s="7" t="n">
        <v>406.902857142857</v>
      </c>
      <c r="O236" s="7" t="n">
        <v>885.612100840336</v>
      </c>
      <c r="P236" s="9">
        <f>IFERROR(O236/N236,0)</f>
        <v/>
      </c>
      <c r="Q236" s="7">
        <f>K236+N236</f>
        <v/>
      </c>
      <c r="R236" s="7">
        <f>L236+O236</f>
        <v/>
      </c>
      <c r="S236" s="9">
        <f>IFERROR(R236/Q236,0)</f>
        <v/>
      </c>
      <c r="T236" s="8">
        <f>IFERROR(Q236/SUMIF($A:$A,A236,$Q:$Q),0)</f>
        <v/>
      </c>
      <c r="U236" s="8">
        <f>IFERROR(Q236/F236,0)</f>
        <v/>
      </c>
      <c r="V236" s="7">
        <f>F236-R236</f>
        <v/>
      </c>
      <c r="W236" s="8">
        <f>IFERROR(V236/F236,0)</f>
        <v/>
      </c>
      <c r="X236" s="7">
        <f>IFERROR(VLOOKUP(A236,周报其他费用!$A:$B,2,FALSE)*I236,0)</f>
        <v/>
      </c>
      <c r="Y236" s="7" t="n">
        <v>1294.14099999999</v>
      </c>
      <c r="Z236" s="8">
        <f>IFERROR(Y236/G236,0)</f>
        <v/>
      </c>
      <c r="AA236" s="7">
        <f>Y236-K236/1.06</f>
        <v/>
      </c>
      <c r="AB236" s="8">
        <f>IFERROR(AA236/G236,0)</f>
        <v/>
      </c>
      <c r="AC236" s="7">
        <f>Y236-(Q236+X236)/1.06</f>
        <v/>
      </c>
      <c r="AD236" s="8">
        <f>IFERROR(AC236/G236,0)</f>
        <v/>
      </c>
    </row>
    <row r="237" ht="14.25" customHeight="1" s="69">
      <c r="A237" s="5" t="inlineStr">
        <is>
          <t>7.13-7.19</t>
        </is>
      </c>
      <c r="B237" s="5" t="inlineStr">
        <is>
          <t>7.13-7.19</t>
        </is>
      </c>
      <c r="C237" s="119" t="n">
        <v>649735171438</v>
      </c>
      <c r="D237" s="5" t="inlineStr">
        <is>
          <t>杯面主链接</t>
        </is>
      </c>
      <c r="E237" s="5" t="inlineStr">
        <is>
          <t>印尼进口indomie营多捞面杯面速食泡面干拌面盒桶装方便面火鸡面</t>
        </is>
      </c>
      <c r="F237" s="7" t="n">
        <v>13724.93</v>
      </c>
      <c r="G237" s="7">
        <f>IFERROR(F237/1.13,0)</f>
        <v/>
      </c>
      <c r="H237" s="5" t="n">
        <v>532</v>
      </c>
      <c r="I237" s="8">
        <f>IFERROR(H237/SUMIF($A:$A,A237,$H:$H),0)</f>
        <v/>
      </c>
      <c r="J237" s="9">
        <f>IFERROR(F237/H237,0)</f>
        <v/>
      </c>
      <c r="K237" s="7" t="n">
        <v>2040.81169117647</v>
      </c>
      <c r="L237" s="7" t="n">
        <v>8420.14889705882</v>
      </c>
      <c r="M237" s="9">
        <f>IFERROR(L237/K237,0)</f>
        <v/>
      </c>
      <c r="N237" s="7" t="n">
        <v>281.865</v>
      </c>
      <c r="O237" s="7" t="n">
        <v>613.470882352941</v>
      </c>
      <c r="P237" s="9">
        <f>IFERROR(O237/N237,0)</f>
        <v/>
      </c>
      <c r="Q237" s="7">
        <f>K237+N237</f>
        <v/>
      </c>
      <c r="R237" s="7">
        <f>L237+O237</f>
        <v/>
      </c>
      <c r="S237" s="9">
        <f>IFERROR(R237/Q237,0)</f>
        <v/>
      </c>
      <c r="T237" s="8">
        <f>IFERROR(Q237/SUMIF($A:$A,A237,$Q:$Q),0)</f>
        <v/>
      </c>
      <c r="U237" s="8">
        <f>IFERROR(Q237/F237,0)</f>
        <v/>
      </c>
      <c r="V237" s="7">
        <f>F237-R237</f>
        <v/>
      </c>
      <c r="W237" s="8">
        <f>IFERROR(V237/F237,0)</f>
        <v/>
      </c>
      <c r="X237" s="7">
        <f>IFERROR(VLOOKUP(A237,周报其他费用!$A:$B,2,FALSE)*I237,0)</f>
        <v/>
      </c>
      <c r="Y237" s="7" t="n">
        <v>1545.435</v>
      </c>
      <c r="Z237" s="8">
        <f>IFERROR(Y237/G237,0)</f>
        <v/>
      </c>
      <c r="AA237" s="7">
        <f>Y237-K237/1.06</f>
        <v/>
      </c>
      <c r="AB237" s="8">
        <f>IFERROR(AA237/G237,0)</f>
        <v/>
      </c>
      <c r="AC237" s="7">
        <f>Y237-(Q237+X237)/1.06</f>
        <v/>
      </c>
      <c r="AD237" s="8">
        <f>IFERROR(AC237/G237,0)</f>
        <v/>
      </c>
    </row>
    <row r="238" ht="14.25" customHeight="1" s="69">
      <c r="A238" s="5" t="inlineStr">
        <is>
          <t>7.13-7.19</t>
        </is>
      </c>
      <c r="B238" s="5" t="inlineStr">
        <is>
          <t>7.13-7.19</t>
        </is>
      </c>
      <c r="C238" s="119" t="n">
        <v>1057479227624</v>
      </c>
      <c r="D238" s="5" t="inlineStr">
        <is>
          <t>巴东牛肉</t>
        </is>
      </c>
      <c r="E238" s="5" t="inlineStr">
        <is>
          <t>【新口味】印尼进口营多捞面巴东炖牛肉味泡面方便面宿舍速食宵夜</t>
        </is>
      </c>
      <c r="F238" s="7" t="n">
        <v>2425.45</v>
      </c>
      <c r="G238" s="7">
        <f>IFERROR(F238/1.13,0)</f>
        <v/>
      </c>
      <c r="H238" s="5" t="n">
        <v>140</v>
      </c>
      <c r="I238" s="8">
        <f>IFERROR(H238/SUMIF($A:$A,A238,$H:$H),0)</f>
        <v/>
      </c>
      <c r="J238" s="9">
        <f>IFERROR(F238/H238,0)</f>
        <v/>
      </c>
      <c r="K238" s="7" t="n">
        <v>817.473602941176</v>
      </c>
      <c r="L238" s="7" t="n">
        <v>3686.15286764706</v>
      </c>
      <c r="M238" s="9">
        <f>IFERROR(L238/K238,0)</f>
        <v/>
      </c>
      <c r="N238" s="7" t="n">
        <v>74.175</v>
      </c>
      <c r="O238" s="7" t="n">
        <v>161.439705882353</v>
      </c>
      <c r="P238" s="9">
        <f>IFERROR(O238/N238,0)</f>
        <v/>
      </c>
      <c r="Q238" s="7">
        <f>K238+N238</f>
        <v/>
      </c>
      <c r="R238" s="7">
        <f>L238+O238</f>
        <v/>
      </c>
      <c r="S238" s="9">
        <f>IFERROR(R238/Q238,0)</f>
        <v/>
      </c>
      <c r="T238" s="8">
        <f>IFERROR(Q238/SUMIF($A:$A,A238,$Q:$Q),0)</f>
        <v/>
      </c>
      <c r="U238" s="8">
        <f>IFERROR(Q238/F238,0)</f>
        <v/>
      </c>
      <c r="V238" s="7">
        <f>F238-R238</f>
        <v/>
      </c>
      <c r="W238" s="8">
        <f>IFERROR(V238/F238,0)</f>
        <v/>
      </c>
      <c r="X238" s="7">
        <f>IFERROR(VLOOKUP(A238,周报其他费用!$A:$B,2,FALSE)*I238,0)</f>
        <v/>
      </c>
      <c r="Y238" s="7" t="n">
        <v>250.574</v>
      </c>
      <c r="Z238" s="8">
        <f>IFERROR(Y238/G238,0)</f>
        <v/>
      </c>
      <c r="AA238" s="7">
        <f>Y238-K238/1.06</f>
        <v/>
      </c>
      <c r="AB238" s="8">
        <f>IFERROR(AA238/G238,0)</f>
        <v/>
      </c>
      <c r="AC238" s="7">
        <f>Y238-(Q238+X238)/1.06</f>
        <v/>
      </c>
      <c r="AD238" s="8">
        <f>IFERROR(AC238/G238,0)</f>
        <v/>
      </c>
    </row>
    <row r="239" ht="14.25" customHeight="1" s="69">
      <c r="A239" s="5" t="inlineStr">
        <is>
          <t>7.13-7.19</t>
        </is>
      </c>
      <c r="B239" s="5" t="inlineStr">
        <is>
          <t>7.13-7.19</t>
        </is>
      </c>
      <c r="C239" s="119" t="n">
        <v>1058280415678</v>
      </c>
      <c r="D239" s="5" t="inlineStr">
        <is>
          <t>巴东牛肉</t>
        </is>
      </c>
      <c r="E239" s="5" t="inlineStr">
        <is>
          <t>【新口味】印尼进口营多捞面巴东炖牛肉味泡面方便面宿舍速食宵夜</t>
        </is>
      </c>
      <c r="F239" s="7" t="n">
        <v>3341.78</v>
      </c>
      <c r="G239" s="7">
        <f>IFERROR(F239/1.13,0)</f>
        <v/>
      </c>
      <c r="H239" s="5" t="n">
        <v>120</v>
      </c>
      <c r="I239" s="8">
        <f>IFERROR(H239/SUMIF($A:$A,A239,$H:$H),0)</f>
        <v/>
      </c>
      <c r="J239" s="9">
        <f>IFERROR(F239/H239,0)</f>
        <v/>
      </c>
      <c r="K239" s="7" t="n">
        <v>559.055945378151</v>
      </c>
      <c r="L239" s="7" t="n">
        <v>3162.31817226891</v>
      </c>
      <c r="M239" s="9">
        <f>IFERROR(L239/K239,0)</f>
        <v/>
      </c>
      <c r="N239" s="7" t="n">
        <v>63.5785714285714</v>
      </c>
      <c r="O239" s="7" t="n">
        <v>138.376890756303</v>
      </c>
      <c r="P239" s="9">
        <f>IFERROR(O239/N239,0)</f>
        <v/>
      </c>
      <c r="Q239" s="7">
        <f>K239+N239</f>
        <v/>
      </c>
      <c r="R239" s="7">
        <f>L239+O239</f>
        <v/>
      </c>
      <c r="S239" s="9">
        <f>IFERROR(R239/Q239,0)</f>
        <v/>
      </c>
      <c r="T239" s="8">
        <f>IFERROR(Q239/SUMIF($A:$A,A239,$Q:$Q),0)</f>
        <v/>
      </c>
      <c r="U239" s="8">
        <f>IFERROR(Q239/F239,0)</f>
        <v/>
      </c>
      <c r="V239" s="7">
        <f>F239-R239</f>
        <v/>
      </c>
      <c r="W239" s="8">
        <f>IFERROR(V239/F239,0)</f>
        <v/>
      </c>
      <c r="X239" s="7">
        <f>IFERROR(VLOOKUP(A239,周报其他费用!$A:$B,2,FALSE)*I239,0)</f>
        <v/>
      </c>
      <c r="Y239" s="7" t="n">
        <v>710.569000000001</v>
      </c>
      <c r="Z239" s="8">
        <f>IFERROR(Y239/G239,0)</f>
        <v/>
      </c>
      <c r="AA239" s="7">
        <f>Y239-K239/1.06</f>
        <v/>
      </c>
      <c r="AB239" s="8">
        <f>IFERROR(AA239/G239,0)</f>
        <v/>
      </c>
      <c r="AC239" s="7">
        <f>Y239-(Q239+X239)/1.06</f>
        <v/>
      </c>
      <c r="AD239" s="8">
        <f>IFERROR(AC239/G239,0)</f>
        <v/>
      </c>
    </row>
    <row r="240" ht="14.25" customHeight="1" s="69">
      <c r="A240" s="5" t="inlineStr">
        <is>
          <t>7.13-7.19</t>
        </is>
      </c>
      <c r="B240" s="5" t="inlineStr">
        <is>
          <t>7.13-7.19</t>
        </is>
      </c>
      <c r="C240" s="119" t="n">
        <v>649369494424</v>
      </c>
      <c r="D240" s="5" t="inlineStr">
        <is>
          <t>24包经典/牛系列</t>
        </is>
      </c>
      <c r="E240" s="5" t="inlineStr">
        <is>
          <t>营多捞面干拌面一整箱24袋装批发泡面混搭宿舍速食方便面火鸡面</t>
        </is>
      </c>
      <c r="F240" s="7" t="n">
        <v>5758.78</v>
      </c>
      <c r="G240" s="7">
        <f>IFERROR(F240/1.13,0)</f>
        <v/>
      </c>
      <c r="H240" s="5" t="n">
        <v>104</v>
      </c>
      <c r="I240" s="8">
        <f>IFERROR(H240/SUMIF($A:$A,A240,$H:$H),0)</f>
        <v/>
      </c>
      <c r="J240" s="9">
        <f>IFERROR(F240/H240,0)</f>
        <v/>
      </c>
      <c r="K240" s="7" t="n">
        <v>767.8658193277309</v>
      </c>
      <c r="L240" s="7" t="n">
        <v>3786.22241596639</v>
      </c>
      <c r="M240" s="9">
        <f>IFERROR(L240/K240,0)</f>
        <v/>
      </c>
      <c r="N240" s="7" t="n">
        <v>55.1014285714286</v>
      </c>
      <c r="O240" s="7" t="n">
        <v>119.926638655462</v>
      </c>
      <c r="P240" s="9">
        <f>IFERROR(O240/N240,0)</f>
        <v/>
      </c>
      <c r="Q240" s="7">
        <f>K240+N240</f>
        <v/>
      </c>
      <c r="R240" s="7">
        <f>L240+O240</f>
        <v/>
      </c>
      <c r="S240" s="9">
        <f>IFERROR(R240/Q240,0)</f>
        <v/>
      </c>
      <c r="T240" s="8">
        <f>IFERROR(Q240/SUMIF($A:$A,A240,$Q:$Q),0)</f>
        <v/>
      </c>
      <c r="U240" s="8">
        <f>IFERROR(Q240/F240,0)</f>
        <v/>
      </c>
      <c r="V240" s="7">
        <f>F240-R240</f>
        <v/>
      </c>
      <c r="W240" s="8">
        <f>IFERROR(V240/F240,0)</f>
        <v/>
      </c>
      <c r="X240" s="7">
        <f>IFERROR(VLOOKUP(A240,周报其他费用!$A:$B,2,FALSE)*I240,0)</f>
        <v/>
      </c>
      <c r="Y240" s="7" t="n">
        <v>1085.147</v>
      </c>
      <c r="Z240" s="8">
        <f>IFERROR(Y240/G240,0)</f>
        <v/>
      </c>
      <c r="AA240" s="7">
        <f>Y240-K240/1.06</f>
        <v/>
      </c>
      <c r="AB240" s="8">
        <f>IFERROR(AA240/G240,0)</f>
        <v/>
      </c>
      <c r="AC240" s="7">
        <f>Y240-(Q240+X240)/1.06</f>
        <v/>
      </c>
      <c r="AD240" s="8">
        <f>IFERROR(AC240/G240,0)</f>
        <v/>
      </c>
    </row>
    <row r="241" ht="14.25" customHeight="1" s="69">
      <c r="A241" s="5" t="inlineStr">
        <is>
          <t>7.13-7.19</t>
        </is>
      </c>
      <c r="B241" s="5" t="inlineStr">
        <is>
          <t>7.13-7.19</t>
        </is>
      </c>
      <c r="C241" s="119" t="n">
        <v>648600900806</v>
      </c>
      <c r="D241" s="5" t="inlineStr">
        <is>
          <t>30包</t>
        </is>
      </c>
      <c r="E241" s="5" t="inlineStr">
        <is>
          <t>进口营多捞面一整箱30包网红速食方便面宿舍速食泡面干拌面拉面</t>
        </is>
      </c>
      <c r="F241" s="7" t="n">
        <v>6834.31</v>
      </c>
      <c r="G241" s="7">
        <f>IFERROR(F241/1.13,0)</f>
        <v/>
      </c>
      <c r="H241" s="5" t="n">
        <v>101</v>
      </c>
      <c r="I241" s="8">
        <f>IFERROR(H241/SUMIF($A:$A,A241,$H:$H),0)</f>
        <v/>
      </c>
      <c r="J241" s="9">
        <f>IFERROR(F241/H241,0)</f>
        <v/>
      </c>
      <c r="K241" s="7" t="n">
        <v>1417.99767069328</v>
      </c>
      <c r="L241" s="7" t="n">
        <v>6253.45571165966</v>
      </c>
      <c r="M241" s="9">
        <f>IFERROR(L241/K241,0)</f>
        <v/>
      </c>
      <c r="N241" s="7" t="n">
        <v>53.5119642857143</v>
      </c>
      <c r="O241" s="7" t="n">
        <v>116.467216386555</v>
      </c>
      <c r="P241" s="9">
        <f>IFERROR(O241/N241,0)</f>
        <v/>
      </c>
      <c r="Q241" s="7">
        <f>K241+N241</f>
        <v/>
      </c>
      <c r="R241" s="7">
        <f>L241+O241</f>
        <v/>
      </c>
      <c r="S241" s="9">
        <f>IFERROR(R241/Q241,0)</f>
        <v/>
      </c>
      <c r="T241" s="8">
        <f>IFERROR(Q241/SUMIF($A:$A,A241,$Q:$Q),0)</f>
        <v/>
      </c>
      <c r="U241" s="8">
        <f>IFERROR(Q241/F241,0)</f>
        <v/>
      </c>
      <c r="V241" s="7">
        <f>F241-R241</f>
        <v/>
      </c>
      <c r="W241" s="8">
        <f>IFERROR(V241/F241,0)</f>
        <v/>
      </c>
      <c r="X241" s="7">
        <f>IFERROR(VLOOKUP(A241,周报其他费用!$A:$B,2,FALSE)*I241,0)</f>
        <v/>
      </c>
      <c r="Y241" s="7" t="n">
        <v>1246.154</v>
      </c>
      <c r="Z241" s="8">
        <f>IFERROR(Y241/G241,0)</f>
        <v/>
      </c>
      <c r="AA241" s="7">
        <f>Y241-K241/1.06</f>
        <v/>
      </c>
      <c r="AB241" s="8">
        <f>IFERROR(AA241/G241,0)</f>
        <v/>
      </c>
      <c r="AC241" s="7">
        <f>Y241-(Q241+X241)/1.06</f>
        <v/>
      </c>
      <c r="AD241" s="8">
        <f>IFERROR(AC241/G241,0)</f>
        <v/>
      </c>
    </row>
    <row r="242" ht="14.25" customHeight="1" s="69">
      <c r="A242" s="5" t="inlineStr">
        <is>
          <t>7.13-7.19</t>
        </is>
      </c>
      <c r="B242" s="5" t="inlineStr">
        <is>
          <t>7.13-7.19</t>
        </is>
      </c>
      <c r="C242" s="119" t="n">
        <v>649014937782</v>
      </c>
      <c r="D242" s="5" t="inlineStr">
        <is>
          <t>24包</t>
        </is>
      </c>
      <c r="E242" s="5" t="inlineStr">
        <is>
          <t>印尼营多捞面干拌面一整箱24袋装批发泡面宿舍速食方便面火鸡面</t>
        </is>
      </c>
      <c r="F242" s="7" t="n">
        <v>4410.05</v>
      </c>
      <c r="G242" s="7">
        <f>IFERROR(F242/1.13,0)</f>
        <v/>
      </c>
      <c r="H242" s="5" t="n">
        <v>80</v>
      </c>
      <c r="I242" s="8">
        <f>IFERROR(H242/SUMIF($A:$A,A242,$H:$H),0)</f>
        <v/>
      </c>
      <c r="J242" s="9">
        <f>IFERROR(F242/H242,0)</f>
        <v/>
      </c>
      <c r="K242" s="7" t="n">
        <v>836.600630252101</v>
      </c>
      <c r="L242" s="7" t="n">
        <v>3057.04878151261</v>
      </c>
      <c r="M242" s="9">
        <f>IFERROR(L242/K242,0)</f>
        <v/>
      </c>
      <c r="N242" s="7" t="n">
        <v>42.3857142857143</v>
      </c>
      <c r="O242" s="7" t="n">
        <v>92.2512605042017</v>
      </c>
      <c r="P242" s="9">
        <f>IFERROR(O242/N242,0)</f>
        <v/>
      </c>
      <c r="Q242" s="7">
        <f>K242+N242</f>
        <v/>
      </c>
      <c r="R242" s="7">
        <f>L242+O242</f>
        <v/>
      </c>
      <c r="S242" s="9">
        <f>IFERROR(R242/Q242,0)</f>
        <v/>
      </c>
      <c r="T242" s="8">
        <f>IFERROR(Q242/SUMIF($A:$A,A242,$Q:$Q),0)</f>
        <v/>
      </c>
      <c r="U242" s="8">
        <f>IFERROR(Q242/F242,0)</f>
        <v/>
      </c>
      <c r="V242" s="7">
        <f>F242-R242</f>
        <v/>
      </c>
      <c r="W242" s="8">
        <f>IFERROR(V242/F242,0)</f>
        <v/>
      </c>
      <c r="X242" s="7">
        <f>IFERROR(VLOOKUP(A242,周报其他费用!$A:$B,2,FALSE)*I242,0)</f>
        <v/>
      </c>
      <c r="Y242" s="7" t="n">
        <v>814.107</v>
      </c>
      <c r="Z242" s="8">
        <f>IFERROR(Y242/G242,0)</f>
        <v/>
      </c>
      <c r="AA242" s="7">
        <f>Y242-K242/1.06</f>
        <v/>
      </c>
      <c r="AB242" s="8">
        <f>IFERROR(AA242/G242,0)</f>
        <v/>
      </c>
      <c r="AC242" s="7">
        <f>Y242-(Q242+X242)/1.06</f>
        <v/>
      </c>
      <c r="AD242" s="8">
        <f>IFERROR(AC242/G242,0)</f>
        <v/>
      </c>
    </row>
    <row r="243" ht="14.25" customHeight="1" s="69">
      <c r="A243" s="5" t="inlineStr">
        <is>
          <t>7.13-7.19</t>
        </is>
      </c>
      <c r="B243" s="5" t="inlineStr">
        <is>
          <t>7.13-7.19</t>
        </is>
      </c>
      <c r="C243" s="119" t="n">
        <v>1060999732877</v>
      </c>
      <c r="D243" s="5" t="inlineStr">
        <is>
          <t>原味大包</t>
        </is>
      </c>
      <c r="E243" s="5" t="inlineStr">
        <is>
          <t>indomie印尼进口营多原味大大包129g捞面方便面速食食品宵夜小吃</t>
        </is>
      </c>
      <c r="F243" s="7" t="n">
        <v>2081.11</v>
      </c>
      <c r="G243" s="7">
        <f>IFERROR(F243/1.13,0)</f>
        <v/>
      </c>
      <c r="H243" s="5" t="n">
        <v>79</v>
      </c>
      <c r="I243" s="8">
        <f>IFERROR(H243/SUMIF($A:$A,A243,$H:$H),0)</f>
        <v/>
      </c>
      <c r="J243" s="9">
        <f>IFERROR(F243/H243,0)</f>
        <v/>
      </c>
      <c r="K243" s="7" t="n">
        <v>410.281247373949</v>
      </c>
      <c r="L243" s="7" t="n">
        <v>2025.4465467437</v>
      </c>
      <c r="M243" s="9">
        <f>IFERROR(L243/K243,0)</f>
        <v/>
      </c>
      <c r="N243" s="7" t="n">
        <v>41.8558928571429</v>
      </c>
      <c r="O243" s="7" t="n">
        <v>91.0981197478991</v>
      </c>
      <c r="P243" s="9">
        <f>IFERROR(O243/N243,0)</f>
        <v/>
      </c>
      <c r="Q243" s="7">
        <f>K243+N243</f>
        <v/>
      </c>
      <c r="R243" s="7">
        <f>L243+O243</f>
        <v/>
      </c>
      <c r="S243" s="9">
        <f>IFERROR(R243/Q243,0)</f>
        <v/>
      </c>
      <c r="T243" s="8">
        <f>IFERROR(Q243/SUMIF($A:$A,A243,$Q:$Q),0)</f>
        <v/>
      </c>
      <c r="U243" s="8">
        <f>IFERROR(Q243/F243,0)</f>
        <v/>
      </c>
      <c r="V243" s="7">
        <f>F243-R243</f>
        <v/>
      </c>
      <c r="W243" s="8">
        <f>IFERROR(V243/F243,0)</f>
        <v/>
      </c>
      <c r="X243" s="7">
        <f>IFERROR(VLOOKUP(A243,周报其他费用!$A:$B,2,FALSE)*I243,0)</f>
        <v/>
      </c>
      <c r="Y243" s="7" t="n">
        <v>429.475</v>
      </c>
      <c r="Z243" s="8">
        <f>IFERROR(Y243/G243,0)</f>
        <v/>
      </c>
      <c r="AA243" s="7">
        <f>Y243-K243/1.06</f>
        <v/>
      </c>
      <c r="AB243" s="8">
        <f>IFERROR(AA243/G243,0)</f>
        <v/>
      </c>
      <c r="AC243" s="7">
        <f>Y243-(Q243+X243)/1.06</f>
        <v/>
      </c>
      <c r="AD243" s="8">
        <f>IFERROR(AC243/G243,0)</f>
        <v/>
      </c>
    </row>
    <row r="244" ht="14.25" customHeight="1" s="69">
      <c r="A244" s="5" t="inlineStr">
        <is>
          <t>7.13-7.19</t>
        </is>
      </c>
      <c r="B244" s="5" t="inlineStr">
        <is>
          <t>7.13-7.19</t>
        </is>
      </c>
      <c r="C244" s="119" t="n">
        <v>648598580775</v>
      </c>
      <c r="D244" s="5" t="inlineStr">
        <is>
          <t>原味大包</t>
        </is>
      </c>
      <c r="E244" s="5" t="inlineStr">
        <is>
          <t>印尼进口大大包营多原味捞面5包干拌面速食超大包方便面速食宵夜</t>
        </is>
      </c>
      <c r="F244" s="7" t="n">
        <v>2576.83</v>
      </c>
      <c r="G244" s="7">
        <f>IFERROR(F244/1.13,0)</f>
        <v/>
      </c>
      <c r="H244" s="5" t="n">
        <v>71</v>
      </c>
      <c r="I244" s="8">
        <f>IFERROR(H244/SUMIF($A:$A,A244,$H:$H),0)</f>
        <v/>
      </c>
      <c r="J244" s="9">
        <f>IFERROR(F244/H244,0)</f>
        <v/>
      </c>
      <c r="K244" s="7" t="n">
        <v>426.046184348739</v>
      </c>
      <c r="L244" s="7" t="n">
        <v>1938.47866859244</v>
      </c>
      <c r="M244" s="9">
        <f>IFERROR(L244/K244,0)</f>
        <v/>
      </c>
      <c r="N244" s="7" t="n">
        <v>37.6173214285714</v>
      </c>
      <c r="O244" s="7" t="n">
        <v>81.872993697479</v>
      </c>
      <c r="P244" s="9">
        <f>IFERROR(O244/N244,0)</f>
        <v/>
      </c>
      <c r="Q244" s="7">
        <f>K244+N244</f>
        <v/>
      </c>
      <c r="R244" s="7">
        <f>L244+O244</f>
        <v/>
      </c>
      <c r="S244" s="9">
        <f>IFERROR(R244/Q244,0)</f>
        <v/>
      </c>
      <c r="T244" s="8">
        <f>IFERROR(Q244/SUMIF($A:$A,A244,$Q:$Q),0)</f>
        <v/>
      </c>
      <c r="U244" s="8">
        <f>IFERROR(Q244/F244,0)</f>
        <v/>
      </c>
      <c r="V244" s="7">
        <f>F244-R244</f>
        <v/>
      </c>
      <c r="W244" s="8">
        <f>IFERROR(V244/F244,0)</f>
        <v/>
      </c>
      <c r="X244" s="7">
        <f>IFERROR(VLOOKUP(A244,周报其他费用!$A:$B,2,FALSE)*I244,0)</f>
        <v/>
      </c>
      <c r="Y244" s="7" t="n">
        <v>443.09</v>
      </c>
      <c r="Z244" s="8">
        <f>IFERROR(Y244/G244,0)</f>
        <v/>
      </c>
      <c r="AA244" s="7">
        <f>Y244-K244/1.06</f>
        <v/>
      </c>
      <c r="AB244" s="8">
        <f>IFERROR(AA244/G244,0)</f>
        <v/>
      </c>
      <c r="AC244" s="7">
        <f>Y244-(Q244+X244)/1.06</f>
        <v/>
      </c>
      <c r="AD244" s="8">
        <f>IFERROR(AC244/G244,0)</f>
        <v/>
      </c>
    </row>
    <row r="245" ht="14.25" customHeight="1" s="69">
      <c r="A245" s="5" t="inlineStr">
        <is>
          <t>7.13-7.19</t>
        </is>
      </c>
      <c r="B245" s="5" t="inlineStr">
        <is>
          <t>7.13-7.19</t>
        </is>
      </c>
      <c r="C245" s="119" t="n">
        <v>1013887677295</v>
      </c>
      <c r="D245" s="5" t="inlineStr">
        <is>
          <t>混搭5杯</t>
        </is>
      </c>
      <c r="E245" s="5" t="inlineStr">
        <is>
          <t>进口营多原味杯面日式杯面韩式杯面泡面方便面汤面宿舍速食夜宵</t>
        </is>
      </c>
      <c r="F245" s="7" t="n">
        <v>1260.68</v>
      </c>
      <c r="G245" s="7">
        <f>IFERROR(F245/1.13,0)</f>
        <v/>
      </c>
      <c r="H245" s="5" t="n">
        <v>49</v>
      </c>
      <c r="I245" s="8">
        <f>IFERROR(H245/SUMIF($A:$A,A245,$H:$H),0)</f>
        <v/>
      </c>
      <c r="J245" s="9">
        <f>IFERROR(F245/H245,0)</f>
        <v/>
      </c>
      <c r="K245" s="7" t="n">
        <v>256.539761029412</v>
      </c>
      <c r="L245" s="7" t="n">
        <v>738.549503676471</v>
      </c>
      <c r="M245" s="9">
        <f>IFERROR(L245/K245,0)</f>
        <v/>
      </c>
      <c r="N245" s="7" t="n">
        <v>25.96125</v>
      </c>
      <c r="O245" s="7" t="n">
        <v>56.5038970588235</v>
      </c>
      <c r="P245" s="9">
        <f>IFERROR(O245/N245,0)</f>
        <v/>
      </c>
      <c r="Q245" s="7">
        <f>K245+N245</f>
        <v/>
      </c>
      <c r="R245" s="7">
        <f>L245+O245</f>
        <v/>
      </c>
      <c r="S245" s="9">
        <f>IFERROR(R245/Q245,0)</f>
        <v/>
      </c>
      <c r="T245" s="8">
        <f>IFERROR(Q245/SUMIF($A:$A,A245,$Q:$Q),0)</f>
        <v/>
      </c>
      <c r="U245" s="8">
        <f>IFERROR(Q245/F245,0)</f>
        <v/>
      </c>
      <c r="V245" s="7">
        <f>F245-R245</f>
        <v/>
      </c>
      <c r="W245" s="8">
        <f>IFERROR(V245/F245,0)</f>
        <v/>
      </c>
      <c r="X245" s="7">
        <f>IFERROR(VLOOKUP(A245,周报其他费用!$A:$B,2,FALSE)*I245,0)</f>
        <v/>
      </c>
      <c r="Y245" s="7" t="n">
        <v>121.911</v>
      </c>
      <c r="Z245" s="8">
        <f>IFERROR(Y245/G245,0)</f>
        <v/>
      </c>
      <c r="AA245" s="7">
        <f>Y245-K245/1.06</f>
        <v/>
      </c>
      <c r="AB245" s="8">
        <f>IFERROR(AA245/G245,0)</f>
        <v/>
      </c>
      <c r="AC245" s="7">
        <f>Y245-(Q245+X245)/1.06</f>
        <v/>
      </c>
      <c r="AD245" s="8">
        <f>IFERROR(AC245/G245,0)</f>
        <v/>
      </c>
    </row>
    <row r="246" ht="14.25" customHeight="1" s="69">
      <c r="A246" s="5" t="inlineStr">
        <is>
          <t>7.13-7.19</t>
        </is>
      </c>
      <c r="B246" s="5" t="inlineStr">
        <is>
          <t>7.13-7.19</t>
        </is>
      </c>
      <c r="C246" s="119" t="n">
        <v>1059563993918</v>
      </c>
      <c r="D246" s="5" t="inlineStr">
        <is>
          <t>原味大包</t>
        </is>
      </c>
      <c r="E246" s="5" t="inlineStr">
        <is>
          <t>indomie印尼进口营多原味大大包129g捞面方便面速食食品宵夜小吃</t>
        </is>
      </c>
      <c r="F246" s="7" t="n">
        <v>540.67</v>
      </c>
      <c r="G246" s="7">
        <f>IFERROR(F246/1.13,0)</f>
        <v/>
      </c>
      <c r="H246" s="5" t="n">
        <v>36</v>
      </c>
      <c r="I246" s="8">
        <f>IFERROR(H246/SUMIF($A:$A,A246,$H:$H),0)</f>
        <v/>
      </c>
      <c r="J246" s="9">
        <f>IFERROR(F246/H246,0)</f>
        <v/>
      </c>
      <c r="K246" s="7" t="n">
        <v>74.82778361344531</v>
      </c>
      <c r="L246" s="7" t="n">
        <v>404.720451680672</v>
      </c>
      <c r="M246" s="9">
        <f>IFERROR(L246/K246,0)</f>
        <v/>
      </c>
      <c r="N246" s="7" t="n">
        <v>19.0735714285714</v>
      </c>
      <c r="O246" s="7" t="n">
        <v>41.5130672268908</v>
      </c>
      <c r="P246" s="9">
        <f>IFERROR(O246/N246,0)</f>
        <v/>
      </c>
      <c r="Q246" s="7">
        <f>K246+N246</f>
        <v/>
      </c>
      <c r="R246" s="7">
        <f>L246+O246</f>
        <v/>
      </c>
      <c r="S246" s="9">
        <f>IFERROR(R246/Q246,0)</f>
        <v/>
      </c>
      <c r="T246" s="8">
        <f>IFERROR(Q246/SUMIF($A:$A,A246,$Q:$Q),0)</f>
        <v/>
      </c>
      <c r="U246" s="8">
        <f>IFERROR(Q246/F246,0)</f>
        <v/>
      </c>
      <c r="V246" s="7">
        <f>F246-R246</f>
        <v/>
      </c>
      <c r="W246" s="8">
        <f>IFERROR(V246/F246,0)</f>
        <v/>
      </c>
      <c r="X246" s="7">
        <f>IFERROR(VLOOKUP(A246,周报其他费用!$A:$B,2,FALSE)*I246,0)</f>
        <v/>
      </c>
      <c r="Y246" s="7" t="n">
        <v>-5.07499999999999</v>
      </c>
      <c r="Z246" s="8">
        <f>IFERROR(Y246/G246,0)</f>
        <v/>
      </c>
      <c r="AA246" s="7">
        <f>Y246-K246/1.06</f>
        <v/>
      </c>
      <c r="AB246" s="8">
        <f>IFERROR(AA246/G246,0)</f>
        <v/>
      </c>
      <c r="AC246" s="7">
        <f>Y246-(Q246+X246)/1.06</f>
        <v/>
      </c>
      <c r="AD246" s="8">
        <f>IFERROR(AC246/G246,0)</f>
        <v/>
      </c>
    </row>
    <row r="247" ht="14.25" customHeight="1" s="69">
      <c r="A247" s="5" t="inlineStr">
        <is>
          <t>7.13-7.19</t>
        </is>
      </c>
      <c r="B247" s="5" t="inlineStr">
        <is>
          <t>7.13-7.19</t>
        </is>
      </c>
      <c r="C247" s="119" t="n">
        <v>648681860568</v>
      </c>
      <c r="D247" s="5" t="inlineStr">
        <is>
          <t>巴东牛肉</t>
        </is>
      </c>
      <c r="E247" s="5" t="inlineStr">
        <is>
          <t>营多进口新口味巴东炖牛肉味捞面印尼料理方便面泡面捞面夜宵速食</t>
        </is>
      </c>
      <c r="F247" s="7" t="n">
        <v>841.6799999999999</v>
      </c>
      <c r="G247" s="7">
        <f>IFERROR(F247/1.13,0)</f>
        <v/>
      </c>
      <c r="H247" s="5" t="n">
        <v>36</v>
      </c>
      <c r="I247" s="8">
        <f>IFERROR(H247/SUMIF($A:$A,A247,$H:$H),0)</f>
        <v/>
      </c>
      <c r="J247" s="9">
        <f>IFERROR(F247/H247,0)</f>
        <v/>
      </c>
      <c r="K247" s="7" t="n">
        <v>141.077783613445</v>
      </c>
      <c r="L247" s="7" t="n">
        <v>830.9104516806721</v>
      </c>
      <c r="M247" s="9">
        <f>IFERROR(L247/K247,0)</f>
        <v/>
      </c>
      <c r="N247" s="7" t="n">
        <v>19.0735714285714</v>
      </c>
      <c r="O247" s="7" t="n">
        <v>41.5130672268908</v>
      </c>
      <c r="P247" s="9">
        <f>IFERROR(O247/N247,0)</f>
        <v/>
      </c>
      <c r="Q247" s="7">
        <f>K247+N247</f>
        <v/>
      </c>
      <c r="R247" s="7">
        <f>L247+O247</f>
        <v/>
      </c>
      <c r="S247" s="9">
        <f>IFERROR(R247/Q247,0)</f>
        <v/>
      </c>
      <c r="T247" s="8">
        <f>IFERROR(Q247/SUMIF($A:$A,A247,$Q:$Q),0)</f>
        <v/>
      </c>
      <c r="U247" s="8">
        <f>IFERROR(Q247/F247,0)</f>
        <v/>
      </c>
      <c r="V247" s="7">
        <f>F247-R247</f>
        <v/>
      </c>
      <c r="W247" s="8">
        <f>IFERROR(V247/F247,0)</f>
        <v/>
      </c>
      <c r="X247" s="7">
        <f>IFERROR(VLOOKUP(A247,周报其他费用!$A:$B,2,FALSE)*I247,0)</f>
        <v/>
      </c>
      <c r="Y247" s="7" t="n">
        <v>72.681</v>
      </c>
      <c r="Z247" s="8">
        <f>IFERROR(Y247/G247,0)</f>
        <v/>
      </c>
      <c r="AA247" s="7">
        <f>Y247-K247/1.06</f>
        <v/>
      </c>
      <c r="AB247" s="8">
        <f>IFERROR(AA247/G247,0)</f>
        <v/>
      </c>
      <c r="AC247" s="7">
        <f>Y247-(Q247+X247)/1.06</f>
        <v/>
      </c>
      <c r="AD247" s="8">
        <f>IFERROR(AC247/G247,0)</f>
        <v/>
      </c>
    </row>
    <row r="248" ht="14.25" customHeight="1" s="69">
      <c r="A248" s="5" t="inlineStr">
        <is>
          <t>7.13-7.19</t>
        </is>
      </c>
      <c r="B248" s="5" t="inlineStr">
        <is>
          <t>7.13-7.19</t>
        </is>
      </c>
      <c r="C248" s="119" t="n">
        <v>735014804839</v>
      </c>
      <c r="D248" s="5" t="inlineStr">
        <is>
          <t>24/30包</t>
        </is>
      </c>
      <c r="E248" s="5" t="inlineStr">
        <is>
          <t>进口营多捞面多口味Indomie网红方便面干拌面泡面30包整箱批发面</t>
        </is>
      </c>
      <c r="F248" s="7" t="n">
        <v>1857.12</v>
      </c>
      <c r="G248" s="7">
        <f>IFERROR(F248/1.13,0)</f>
        <v/>
      </c>
      <c r="H248" s="5" t="n">
        <v>27</v>
      </c>
      <c r="I248" s="8">
        <f>IFERROR(H248/SUMIF($A:$A,A248,$H:$H),0)</f>
        <v/>
      </c>
      <c r="J248" s="9">
        <f>IFERROR(F248/H248,0)</f>
        <v/>
      </c>
      <c r="K248" s="7" t="n">
        <v>278.083337710084</v>
      </c>
      <c r="L248" s="7" t="n">
        <v>1360.8103387605</v>
      </c>
      <c r="M248" s="9">
        <f>IFERROR(L248/K248,0)</f>
        <v/>
      </c>
      <c r="N248" s="7" t="n">
        <v>14.3051785714286</v>
      </c>
      <c r="O248" s="7" t="n">
        <v>31.1348004201681</v>
      </c>
      <c r="P248" s="9">
        <f>IFERROR(O248/N248,0)</f>
        <v/>
      </c>
      <c r="Q248" s="7">
        <f>K248+N248</f>
        <v/>
      </c>
      <c r="R248" s="7">
        <f>L248+O248</f>
        <v/>
      </c>
      <c r="S248" s="9">
        <f>IFERROR(R248/Q248,0)</f>
        <v/>
      </c>
      <c r="T248" s="8">
        <f>IFERROR(Q248/SUMIF($A:$A,A248,$Q:$Q),0)</f>
        <v/>
      </c>
      <c r="U248" s="8">
        <f>IFERROR(Q248/F248,0)</f>
        <v/>
      </c>
      <c r="V248" s="7">
        <f>F248-R248</f>
        <v/>
      </c>
      <c r="W248" s="8">
        <f>IFERROR(V248/F248,0)</f>
        <v/>
      </c>
      <c r="X248" s="7">
        <f>IFERROR(VLOOKUP(A248,周报其他费用!$A:$B,2,FALSE)*I248,0)</f>
        <v/>
      </c>
      <c r="Y248" s="7" t="n">
        <v>370.62</v>
      </c>
      <c r="Z248" s="8">
        <f>IFERROR(Y248/G248,0)</f>
        <v/>
      </c>
      <c r="AA248" s="7">
        <f>Y248-K248/1.06</f>
        <v/>
      </c>
      <c r="AB248" s="8">
        <f>IFERROR(AA248/G248,0)</f>
        <v/>
      </c>
      <c r="AC248" s="7">
        <f>Y248-(Q248+X248)/1.06</f>
        <v/>
      </c>
      <c r="AD248" s="8">
        <f>IFERROR(AC248/G248,0)</f>
        <v/>
      </c>
    </row>
    <row r="249" ht="14.25" customHeight="1" s="69">
      <c r="A249" s="5" t="inlineStr">
        <is>
          <t>7.13-7.19</t>
        </is>
      </c>
      <c r="B249" s="5" t="inlineStr">
        <is>
          <t>7.13-7.19</t>
        </is>
      </c>
      <c r="C249" s="119" t="n">
        <v>929504658691</v>
      </c>
      <c r="D249" s="5" t="inlineStr">
        <is>
          <t>日式袋面</t>
        </is>
      </c>
      <c r="E249" s="5" t="inlineStr">
        <is>
          <t>营多捞面日式鸡肉汤面原味辛辣味袋装泡面方便面速食宿舍夜宵食品</t>
        </is>
      </c>
      <c r="F249" s="7" t="n">
        <v>652.4299999999999</v>
      </c>
      <c r="G249" s="7">
        <f>IFERROR(F249/1.13,0)</f>
        <v/>
      </c>
      <c r="H249" s="5" t="n">
        <v>26</v>
      </c>
      <c r="I249" s="8">
        <f>IFERROR(H249/SUMIF($A:$A,A249,$H:$H),0)</f>
        <v/>
      </c>
      <c r="J249" s="9">
        <f>IFERROR(F249/H249,0)</f>
        <v/>
      </c>
      <c r="K249" s="7" t="n">
        <v>142.713954831933</v>
      </c>
      <c r="L249" s="7" t="n">
        <v>470.598103991597</v>
      </c>
      <c r="M249" s="9">
        <f>IFERROR(L249/K249,0)</f>
        <v/>
      </c>
      <c r="N249" s="7" t="n">
        <v>13.7753571428571</v>
      </c>
      <c r="O249" s="7" t="n">
        <v>29.9816596638655</v>
      </c>
      <c r="P249" s="9">
        <f>IFERROR(O249/N249,0)</f>
        <v/>
      </c>
      <c r="Q249" s="7">
        <f>K249+N249</f>
        <v/>
      </c>
      <c r="R249" s="7">
        <f>L249+O249</f>
        <v/>
      </c>
      <c r="S249" s="9">
        <f>IFERROR(R249/Q249,0)</f>
        <v/>
      </c>
      <c r="T249" s="8">
        <f>IFERROR(Q249/SUMIF($A:$A,A249,$Q:$Q),0)</f>
        <v/>
      </c>
      <c r="U249" s="8">
        <f>IFERROR(Q249/F249,0)</f>
        <v/>
      </c>
      <c r="V249" s="7">
        <f>F249-R249</f>
        <v/>
      </c>
      <c r="W249" s="8">
        <f>IFERROR(V249/F249,0)</f>
        <v/>
      </c>
      <c r="X249" s="7">
        <f>IFERROR(VLOOKUP(A249,周报其他费用!$A:$B,2,FALSE)*I249,0)</f>
        <v/>
      </c>
      <c r="Y249" s="7" t="n">
        <v>114.322</v>
      </c>
      <c r="Z249" s="8">
        <f>IFERROR(Y249/G249,0)</f>
        <v/>
      </c>
      <c r="AA249" s="7">
        <f>Y249-K249/1.06</f>
        <v/>
      </c>
      <c r="AB249" s="8">
        <f>IFERROR(AA249/G249,0)</f>
        <v/>
      </c>
      <c r="AC249" s="7">
        <f>Y249-(Q249+X249)/1.06</f>
        <v/>
      </c>
      <c r="AD249" s="8">
        <f>IFERROR(AC249/G249,0)</f>
        <v/>
      </c>
    </row>
    <row r="250" ht="14.25" customHeight="1" s="69">
      <c r="A250" s="5" t="inlineStr">
        <is>
          <t>7.13-7.19</t>
        </is>
      </c>
      <c r="B250" s="5" t="inlineStr">
        <is>
          <t>7.13-7.19</t>
        </is>
      </c>
      <c r="C250" s="119" t="n">
        <v>744317232690</v>
      </c>
      <c r="D250" s="5" t="inlineStr">
        <is>
          <t>多规格</t>
        </is>
      </c>
      <c r="E250" s="5" t="inlineStr">
        <is>
          <t>营多捞面汤面清香牛肉味方便面泡面速食食品泡面拉面整箱旅行宿舍</t>
        </is>
      </c>
      <c r="F250" s="7" t="n">
        <v>461.75</v>
      </c>
      <c r="G250" s="7">
        <f>IFERROR(F250/1.13,0)</f>
        <v/>
      </c>
      <c r="H250" s="5" t="n">
        <v>22</v>
      </c>
      <c r="I250" s="8">
        <f>IFERROR(H250/SUMIF($A:$A,A250,$H:$H),0)</f>
        <v/>
      </c>
      <c r="J250" s="9">
        <f>IFERROR(F250/H250,0)</f>
        <v/>
      </c>
      <c r="K250" s="7" t="n">
        <v>41.4764233193277</v>
      </c>
      <c r="L250" s="7" t="n">
        <v>213.309164915966</v>
      </c>
      <c r="M250" s="9">
        <f>IFERROR(L250/K250,0)</f>
        <v/>
      </c>
      <c r="N250" s="7" t="n">
        <v>11.6560714285714</v>
      </c>
      <c r="O250" s="7" t="n">
        <v>25.3690966386555</v>
      </c>
      <c r="P250" s="9">
        <f>IFERROR(O250/N250,0)</f>
        <v/>
      </c>
      <c r="Q250" s="7">
        <f>K250+N250</f>
        <v/>
      </c>
      <c r="R250" s="7">
        <f>L250+O250</f>
        <v/>
      </c>
      <c r="S250" s="9">
        <f>IFERROR(R250/Q250,0)</f>
        <v/>
      </c>
      <c r="T250" s="8">
        <f>IFERROR(Q250/SUMIF($A:$A,A250,$Q:$Q),0)</f>
        <v/>
      </c>
      <c r="U250" s="8">
        <f>IFERROR(Q250/F250,0)</f>
        <v/>
      </c>
      <c r="V250" s="7">
        <f>F250-R250</f>
        <v/>
      </c>
      <c r="W250" s="8">
        <f>IFERROR(V250/F250,0)</f>
        <v/>
      </c>
      <c r="X250" s="7">
        <f>IFERROR(VLOOKUP(A250,周报其他费用!$A:$B,2,FALSE)*I250,0)</f>
        <v/>
      </c>
      <c r="Y250" s="7" t="n">
        <v>53.033</v>
      </c>
      <c r="Z250" s="8">
        <f>IFERROR(Y250/G250,0)</f>
        <v/>
      </c>
      <c r="AA250" s="7">
        <f>Y250-K250/1.06</f>
        <v/>
      </c>
      <c r="AB250" s="8">
        <f>IFERROR(AA250/G250,0)</f>
        <v/>
      </c>
      <c r="AC250" s="7">
        <f>Y250-(Q250+X250)/1.06</f>
        <v/>
      </c>
      <c r="AD250" s="8">
        <f>IFERROR(AC250/G250,0)</f>
        <v/>
      </c>
    </row>
    <row r="251" ht="14.25" customHeight="1" s="69">
      <c r="A251" s="5" t="inlineStr">
        <is>
          <t>7.13-7.19</t>
        </is>
      </c>
      <c r="B251" s="5" t="inlineStr">
        <is>
          <t>7.13-7.19</t>
        </is>
      </c>
      <c r="C251" s="119" t="n">
        <v>969423151512</v>
      </c>
      <c r="D251" s="5" t="inlineStr">
        <is>
          <t>日韩混搭</t>
        </is>
      </c>
      <c r="E251" s="5" t="inlineStr">
        <is>
          <t>营多捞面甜辣炸鸡火鸡面辣蘑菇泡面方便面速食干拌面宿舍宵夜旅行</t>
        </is>
      </c>
      <c r="F251" s="7" t="n">
        <v>365.92</v>
      </c>
      <c r="G251" s="7">
        <f>IFERROR(F251/1.13,0)</f>
        <v/>
      </c>
      <c r="H251" s="5" t="n">
        <v>17</v>
      </c>
      <c r="I251" s="8">
        <f>IFERROR(H251/SUMIF($A:$A,A251,$H:$H),0)</f>
        <v/>
      </c>
      <c r="J251" s="9">
        <f>IFERROR(F251/H251,0)</f>
        <v/>
      </c>
      <c r="K251" s="7" t="n">
        <v>64.5595089285714</v>
      </c>
      <c r="L251" s="7" t="n">
        <v>292.947991071429</v>
      </c>
      <c r="M251" s="9">
        <f>IFERROR(L251/K251,0)</f>
        <v/>
      </c>
      <c r="N251" s="7" t="n">
        <v>9.006964285714281</v>
      </c>
      <c r="O251" s="7" t="n">
        <v>19.6033928571429</v>
      </c>
      <c r="P251" s="9">
        <f>IFERROR(O251/N251,0)</f>
        <v/>
      </c>
      <c r="Q251" s="7">
        <f>K251+N251</f>
        <v/>
      </c>
      <c r="R251" s="7">
        <f>L251+O251</f>
        <v/>
      </c>
      <c r="S251" s="9">
        <f>IFERROR(R251/Q251,0)</f>
        <v/>
      </c>
      <c r="T251" s="8">
        <f>IFERROR(Q251/SUMIF($A:$A,A251,$Q:$Q),0)</f>
        <v/>
      </c>
      <c r="U251" s="8">
        <f>IFERROR(Q251/F251,0)</f>
        <v/>
      </c>
      <c r="V251" s="7">
        <f>F251-R251</f>
        <v/>
      </c>
      <c r="W251" s="8">
        <f>IFERROR(V251/F251,0)</f>
        <v/>
      </c>
      <c r="X251" s="7">
        <f>IFERROR(VLOOKUP(A251,周报其他费用!$A:$B,2,FALSE)*I251,0)</f>
        <v/>
      </c>
      <c r="Y251" s="7" t="n">
        <v>53.776</v>
      </c>
      <c r="Z251" s="8">
        <f>IFERROR(Y251/G251,0)</f>
        <v/>
      </c>
      <c r="AA251" s="7">
        <f>Y251-K251/1.06</f>
        <v/>
      </c>
      <c r="AB251" s="8">
        <f>IFERROR(AA251/G251,0)</f>
        <v/>
      </c>
      <c r="AC251" s="7">
        <f>Y251-(Q251+X251)/1.06</f>
        <v/>
      </c>
      <c r="AD251" s="8">
        <f>IFERROR(AC251/G251,0)</f>
        <v/>
      </c>
    </row>
    <row r="252" ht="14.25" customHeight="1" s="69">
      <c r="A252" s="5" t="inlineStr">
        <is>
          <t>7.13-7.19</t>
        </is>
      </c>
      <c r="B252" s="5" t="inlineStr">
        <is>
          <t>7.13-7.19</t>
        </is>
      </c>
      <c r="C252" s="119" t="n">
        <v>766165464414</v>
      </c>
      <c r="D252" s="5" t="inlineStr">
        <is>
          <t>12包</t>
        </is>
      </c>
      <c r="E252" s="5" t="inlineStr">
        <is>
          <t>营多印尼进口营多捞面方便面火鸡面干拌面12包宿舍速食泡面夜宵</t>
        </is>
      </c>
      <c r="F252" s="7" t="n">
        <v>483.08</v>
      </c>
      <c r="G252" s="7">
        <f>IFERROR(F252/1.13,0)</f>
        <v/>
      </c>
      <c r="H252" s="5" t="n">
        <v>17</v>
      </c>
      <c r="I252" s="8">
        <f>IFERROR(H252/SUMIF($A:$A,A252,$H:$H),0)</f>
        <v/>
      </c>
      <c r="J252" s="9">
        <f>IFERROR(F252/H252,0)</f>
        <v/>
      </c>
      <c r="K252" s="7" t="n">
        <v>30.3295089285714</v>
      </c>
      <c r="L252" s="7" t="n">
        <v>127.737991071429</v>
      </c>
      <c r="M252" s="9">
        <f>IFERROR(L252/K252,0)</f>
        <v/>
      </c>
      <c r="N252" s="7" t="n">
        <v>9.006964285714281</v>
      </c>
      <c r="O252" s="7" t="n">
        <v>19.6033928571429</v>
      </c>
      <c r="P252" s="9">
        <f>IFERROR(O252/N252,0)</f>
        <v/>
      </c>
      <c r="Q252" s="7">
        <f>K252+N252</f>
        <v/>
      </c>
      <c r="R252" s="7">
        <f>L252+O252</f>
        <v/>
      </c>
      <c r="S252" s="9">
        <f>IFERROR(R252/Q252,0)</f>
        <v/>
      </c>
      <c r="T252" s="8">
        <f>IFERROR(Q252/SUMIF($A:$A,A252,$Q:$Q),0)</f>
        <v/>
      </c>
      <c r="U252" s="8">
        <f>IFERROR(Q252/F252,0)</f>
        <v/>
      </c>
      <c r="V252" s="7">
        <f>F252-R252</f>
        <v/>
      </c>
      <c r="W252" s="8">
        <f>IFERROR(V252/F252,0)</f>
        <v/>
      </c>
      <c r="X252" s="7">
        <f>IFERROR(VLOOKUP(A252,周报其他费用!$A:$B,2,FALSE)*I252,0)</f>
        <v/>
      </c>
      <c r="Y252" s="7" t="n">
        <v>57.048</v>
      </c>
      <c r="Z252" s="8">
        <f>IFERROR(Y252/G252,0)</f>
        <v/>
      </c>
      <c r="AA252" s="7">
        <f>Y252-K252/1.06</f>
        <v/>
      </c>
      <c r="AB252" s="8">
        <f>IFERROR(AA252/G252,0)</f>
        <v/>
      </c>
      <c r="AC252" s="7">
        <f>Y252-(Q252+X252)/1.06</f>
        <v/>
      </c>
      <c r="AD252" s="8">
        <f>IFERROR(AC252/G252,0)</f>
        <v/>
      </c>
    </row>
    <row r="253" ht="14.25" customHeight="1" s="69">
      <c r="A253" s="5" t="inlineStr">
        <is>
          <t>7.13-7.19</t>
        </is>
      </c>
      <c r="B253" s="5" t="inlineStr">
        <is>
          <t>7.13-7.19</t>
        </is>
      </c>
      <c r="C253" s="119" t="n">
        <v>886856687067</v>
      </c>
      <c r="D253" s="5" t="inlineStr">
        <is>
          <t>大骨</t>
        </is>
      </c>
      <c r="E253" s="5" t="inlineStr">
        <is>
          <t>营多捞面牛系列大骨牛肉味方便面食品泡面拉面汤面宿舍宵夜旅行</t>
        </is>
      </c>
      <c r="F253" s="7" t="n">
        <v>292.02</v>
      </c>
      <c r="G253" s="7">
        <f>IFERROR(F253/1.13,0)</f>
        <v/>
      </c>
      <c r="H253" s="5" t="n">
        <v>12</v>
      </c>
      <c r="I253" s="8">
        <f>IFERROR(H253/SUMIF($A:$A,A253,$H:$H),0)</f>
        <v/>
      </c>
      <c r="J253" s="9">
        <f>IFERROR(F253/H253,0)</f>
        <v/>
      </c>
      <c r="K253" s="7" t="n">
        <v>9.952594537815109</v>
      </c>
      <c r="L253" s="7" t="n">
        <v>37.4468172268908</v>
      </c>
      <c r="M253" s="9">
        <f>IFERROR(L253/K253,0)</f>
        <v/>
      </c>
      <c r="N253" s="7" t="n">
        <v>6.35785714285714</v>
      </c>
      <c r="O253" s="7" t="n">
        <v>13.8376890756303</v>
      </c>
      <c r="P253" s="9">
        <f>IFERROR(O253/N253,0)</f>
        <v/>
      </c>
      <c r="Q253" s="7">
        <f>K253+N253</f>
        <v/>
      </c>
      <c r="R253" s="7">
        <f>L253+O253</f>
        <v/>
      </c>
      <c r="S253" s="9">
        <f>IFERROR(R253/Q253,0)</f>
        <v/>
      </c>
      <c r="T253" s="8">
        <f>IFERROR(Q253/SUMIF($A:$A,A253,$Q:$Q),0)</f>
        <v/>
      </c>
      <c r="U253" s="8">
        <f>IFERROR(Q253/F253,0)</f>
        <v/>
      </c>
      <c r="V253" s="7">
        <f>F253-R253</f>
        <v/>
      </c>
      <c r="W253" s="8">
        <f>IFERROR(V253/F253,0)</f>
        <v/>
      </c>
      <c r="X253" s="7">
        <f>IFERROR(VLOOKUP(A253,周报其他费用!$A:$B,2,FALSE)*I253,0)</f>
        <v/>
      </c>
      <c r="Y253" s="7" t="n">
        <v>52.838</v>
      </c>
      <c r="Z253" s="8">
        <f>IFERROR(Y253/G253,0)</f>
        <v/>
      </c>
      <c r="AA253" s="7">
        <f>Y253-K253/1.06</f>
        <v/>
      </c>
      <c r="AB253" s="8">
        <f>IFERROR(AA253/G253,0)</f>
        <v/>
      </c>
      <c r="AC253" s="7">
        <f>Y253-(Q253+X253)/1.06</f>
        <v/>
      </c>
      <c r="AD253" s="8">
        <f>IFERROR(AC253/G253,0)</f>
        <v/>
      </c>
    </row>
    <row r="254" ht="14.25" customHeight="1" s="69">
      <c r="A254" s="5" t="inlineStr">
        <is>
          <t>7.13-7.19</t>
        </is>
      </c>
      <c r="B254" s="5" t="inlineStr">
        <is>
          <t>7.13-7.19</t>
        </is>
      </c>
      <c r="C254" s="119" t="n">
        <v>898076297965</v>
      </c>
      <c r="D254" s="5" t="inlineStr">
        <is>
          <t>番茄牛肉</t>
        </is>
      </c>
      <c r="E254" s="5" t="inlineStr">
        <is>
          <t>进口正品意面风味奶香番茄牛肉味意式拌面营多捞面早餐儿童宝妈餐</t>
        </is>
      </c>
      <c r="F254" s="7" t="n">
        <v>176.42</v>
      </c>
      <c r="G254" s="7">
        <f>IFERROR(F254/1.13,0)</f>
        <v/>
      </c>
      <c r="H254" s="5" t="n">
        <v>10</v>
      </c>
      <c r="I254" s="8">
        <f>IFERROR(H254/SUMIF($A:$A,A254,$H:$H),0)</f>
        <v/>
      </c>
      <c r="J254" s="9">
        <f>IFERROR(F254/H254,0)</f>
        <v/>
      </c>
      <c r="K254" s="7" t="n">
        <v>16.5338287815126</v>
      </c>
      <c r="L254" s="7" t="n">
        <v>62.6723476890756</v>
      </c>
      <c r="M254" s="9">
        <f>IFERROR(L254/K254,0)</f>
        <v/>
      </c>
      <c r="N254" s="7" t="n">
        <v>5.29821428571429</v>
      </c>
      <c r="O254" s="7" t="n">
        <v>11.5314075630252</v>
      </c>
      <c r="P254" s="9">
        <f>IFERROR(O254/N254,0)</f>
        <v/>
      </c>
      <c r="Q254" s="7">
        <f>K254+N254</f>
        <v/>
      </c>
      <c r="R254" s="7">
        <f>L254+O254</f>
        <v/>
      </c>
      <c r="S254" s="9">
        <f>IFERROR(R254/Q254,0)</f>
        <v/>
      </c>
      <c r="T254" s="8">
        <f>IFERROR(Q254/SUMIF($A:$A,A254,$Q:$Q),0)</f>
        <v/>
      </c>
      <c r="U254" s="8">
        <f>IFERROR(Q254/F254,0)</f>
        <v/>
      </c>
      <c r="V254" s="7">
        <f>F254-R254</f>
        <v/>
      </c>
      <c r="W254" s="8">
        <f>IFERROR(V254/F254,0)</f>
        <v/>
      </c>
      <c r="X254" s="7">
        <f>IFERROR(VLOOKUP(A254,周报其他费用!$A:$B,2,FALSE)*I254,0)</f>
        <v/>
      </c>
      <c r="Y254" s="7" t="n">
        <v>10.553</v>
      </c>
      <c r="Z254" s="8">
        <f>IFERROR(Y254/G254,0)</f>
        <v/>
      </c>
      <c r="AA254" s="7">
        <f>Y254-K254/1.06</f>
        <v/>
      </c>
      <c r="AB254" s="8">
        <f>IFERROR(AA254/G254,0)</f>
        <v/>
      </c>
      <c r="AC254" s="7">
        <f>Y254-(Q254+X254)/1.06</f>
        <v/>
      </c>
      <c r="AD254" s="8">
        <f>IFERROR(AC254/G254,0)</f>
        <v/>
      </c>
    </row>
    <row r="255" ht="14.25" customHeight="1" s="69">
      <c r="A255" s="5" t="inlineStr">
        <is>
          <t>7.13-7.19</t>
        </is>
      </c>
      <c r="B255" s="5" t="inlineStr">
        <is>
          <t>7.13-7.19</t>
        </is>
      </c>
      <c r="C255" s="119" t="n">
        <v>937005385662</v>
      </c>
      <c r="D255" s="5" t="inlineStr">
        <is>
          <t>日式袋面</t>
        </is>
      </c>
      <c r="E255" s="5" t="inlineStr">
        <is>
          <t>进口营多正品捞面日式鸡肉鸡汤辛辣味袋装泡面辣味速食方便面汤面</t>
        </is>
      </c>
      <c r="F255" s="7" t="n">
        <v>210.86</v>
      </c>
      <c r="G255" s="7">
        <f>IFERROR(F255/1.13,0)</f>
        <v/>
      </c>
      <c r="H255" s="5" t="n">
        <v>9</v>
      </c>
      <c r="I255" s="8">
        <f>IFERROR(H255/SUMIF($A:$A,A255,$H:$H),0)</f>
        <v/>
      </c>
      <c r="J255" s="9">
        <f>IFERROR(F255/H255,0)</f>
        <v/>
      </c>
      <c r="K255" s="7" t="n">
        <v>33.5844459033613</v>
      </c>
      <c r="L255" s="7" t="n">
        <v>120.980112920168</v>
      </c>
      <c r="M255" s="9">
        <f>IFERROR(L255/K255,0)</f>
        <v/>
      </c>
      <c r="N255" s="7" t="n">
        <v>4.76839285714286</v>
      </c>
      <c r="O255" s="7" t="n">
        <v>10.3782668067227</v>
      </c>
      <c r="P255" s="9">
        <f>IFERROR(O255/N255,0)</f>
        <v/>
      </c>
      <c r="Q255" s="7">
        <f>K255+N255</f>
        <v/>
      </c>
      <c r="R255" s="7">
        <f>L255+O255</f>
        <v/>
      </c>
      <c r="S255" s="9">
        <f>IFERROR(R255/Q255,0)</f>
        <v/>
      </c>
      <c r="T255" s="8">
        <f>IFERROR(Q255/SUMIF($A:$A,A255,$Q:$Q),0)</f>
        <v/>
      </c>
      <c r="U255" s="8">
        <f>IFERROR(Q255/F255,0)</f>
        <v/>
      </c>
      <c r="V255" s="7">
        <f>F255-R255</f>
        <v/>
      </c>
      <c r="W255" s="8">
        <f>IFERROR(V255/F255,0)</f>
        <v/>
      </c>
      <c r="X255" s="7">
        <f>IFERROR(VLOOKUP(A255,周报其他费用!$A:$B,2,FALSE)*I255,0)</f>
        <v/>
      </c>
      <c r="Y255" s="7" t="n">
        <v>28.344</v>
      </c>
      <c r="Z255" s="8">
        <f>IFERROR(Y255/G255,0)</f>
        <v/>
      </c>
      <c r="AA255" s="7">
        <f>Y255-K255/1.06</f>
        <v/>
      </c>
      <c r="AB255" s="8">
        <f>IFERROR(AA255/G255,0)</f>
        <v/>
      </c>
      <c r="AC255" s="7">
        <f>Y255-(Q255+X255)/1.06</f>
        <v/>
      </c>
      <c r="AD255" s="8">
        <f>IFERROR(AC255/G255,0)</f>
        <v/>
      </c>
    </row>
    <row r="256" ht="14.25" customHeight="1" s="69">
      <c r="A256" s="5" t="inlineStr">
        <is>
          <t>7.13-7.19</t>
        </is>
      </c>
      <c r="B256" s="5" t="inlineStr">
        <is>
          <t>7.13-7.19</t>
        </is>
      </c>
      <c r="C256" s="119" t="n">
        <v>932687928859</v>
      </c>
      <c r="D256" s="5" t="inlineStr">
        <is>
          <t>8包组合</t>
        </is>
      </c>
      <c r="E256" s="5" t="inlineStr">
        <is>
          <t>营多捞面八口味袋装泡面拌面速食面干拌面方便面宿舍宵夜速食家用</t>
        </is>
      </c>
      <c r="F256" s="7" t="n">
        <v>127.58</v>
      </c>
      <c r="G256" s="7">
        <f>IFERROR(F256/1.13,0)</f>
        <v/>
      </c>
      <c r="H256" s="5" t="n">
        <v>5</v>
      </c>
      <c r="I256" s="8">
        <f>IFERROR(H256/SUMIF($A:$A,A256,$H:$H),0)</f>
        <v/>
      </c>
      <c r="J256" s="9">
        <f>IFERROR(F256/H256,0)</f>
        <v/>
      </c>
      <c r="K256" s="7" t="n">
        <v>16.7669143907563</v>
      </c>
      <c r="L256" s="7" t="n">
        <v>4.81117384453782</v>
      </c>
      <c r="M256" s="9">
        <f>IFERROR(L256/K256,0)</f>
        <v/>
      </c>
      <c r="N256" s="7" t="n">
        <v>2.64910714285714</v>
      </c>
      <c r="O256" s="7" t="n">
        <v>5.76570378151261</v>
      </c>
      <c r="P256" s="9">
        <f>IFERROR(O256/N256,0)</f>
        <v/>
      </c>
      <c r="Q256" s="7">
        <f>K256+N256</f>
        <v/>
      </c>
      <c r="R256" s="7">
        <f>L256+O256</f>
        <v/>
      </c>
      <c r="S256" s="9">
        <f>IFERROR(R256/Q256,0)</f>
        <v/>
      </c>
      <c r="T256" s="8">
        <f>IFERROR(Q256/SUMIF($A:$A,A256,$Q:$Q),0)</f>
        <v/>
      </c>
      <c r="U256" s="8">
        <f>IFERROR(Q256/F256,0)</f>
        <v/>
      </c>
      <c r="V256" s="7">
        <f>F256-R256</f>
        <v/>
      </c>
      <c r="W256" s="8">
        <f>IFERROR(V256/F256,0)</f>
        <v/>
      </c>
      <c r="X256" s="7">
        <f>IFERROR(VLOOKUP(A256,周报其他费用!$A:$B,2,FALSE)*I256,0)</f>
        <v/>
      </c>
      <c r="Y256" s="7" t="n">
        <v>18.928</v>
      </c>
      <c r="Z256" s="8">
        <f>IFERROR(Y256/G256,0)</f>
        <v/>
      </c>
      <c r="AA256" s="7">
        <f>Y256-K256/1.06</f>
        <v/>
      </c>
      <c r="AB256" s="8">
        <f>IFERROR(AA256/G256,0)</f>
        <v/>
      </c>
      <c r="AC256" s="7">
        <f>Y256-(Q256+X256)/1.06</f>
        <v/>
      </c>
      <c r="AD256" s="8">
        <f>IFERROR(AC256/G256,0)</f>
        <v/>
      </c>
    </row>
    <row r="257" ht="14.25" customHeight="1" s="69">
      <c r="A257" s="5" t="inlineStr">
        <is>
          <t>7.13-7.19</t>
        </is>
      </c>
      <c r="B257" s="5" t="inlineStr">
        <is>
          <t>7.13-7.19</t>
        </is>
      </c>
      <c r="C257" s="119" t="n">
        <v>976479938842</v>
      </c>
      <c r="D257" s="5" t="inlineStr">
        <is>
          <t>【U选】原味5</t>
        </is>
      </c>
      <c r="E257" s="5" t="inlineStr">
        <is>
          <t>【天猫U选】indomie营多大骨牛肉味捞面拌面5包</t>
        </is>
      </c>
      <c r="F257" s="7" t="n">
        <v>47.05</v>
      </c>
      <c r="G257" s="7">
        <f>IFERROR(F257/1.13,0)</f>
        <v/>
      </c>
      <c r="H257" s="5" t="n">
        <v>5</v>
      </c>
      <c r="I257" s="8">
        <f>IFERROR(H257/SUMIF($A:$A,A257,$H:$H),0)</f>
        <v/>
      </c>
      <c r="J257" s="9">
        <f>IFERROR(F257/H257,0)</f>
        <v/>
      </c>
      <c r="K257" s="7" t="n">
        <v>1.0969143907563</v>
      </c>
      <c r="L257" s="7" t="n">
        <v>4.81117384453782</v>
      </c>
      <c r="M257" s="9">
        <f>IFERROR(L257/K257,0)</f>
        <v/>
      </c>
      <c r="N257" s="7" t="n">
        <v>2.64910714285714</v>
      </c>
      <c r="O257" s="7" t="n">
        <v>5.76570378151261</v>
      </c>
      <c r="P257" s="9">
        <f>IFERROR(O257/N257,0)</f>
        <v/>
      </c>
      <c r="Q257" s="7">
        <f>K257+N257</f>
        <v/>
      </c>
      <c r="R257" s="7">
        <f>L257+O257</f>
        <v/>
      </c>
      <c r="S257" s="9">
        <f>IFERROR(R257/Q257,0)</f>
        <v/>
      </c>
      <c r="T257" s="8">
        <f>IFERROR(Q257/SUMIF($A:$A,A257,$Q:$Q),0)</f>
        <v/>
      </c>
      <c r="U257" s="8">
        <f>IFERROR(Q257/F257,0)</f>
        <v/>
      </c>
      <c r="V257" s="7">
        <f>F257-R257</f>
        <v/>
      </c>
      <c r="W257" s="8">
        <f>IFERROR(V257/F257,0)</f>
        <v/>
      </c>
      <c r="X257" s="7">
        <f>IFERROR(VLOOKUP(A257,周报其他费用!$A:$B,2,FALSE)*I257,0)</f>
        <v/>
      </c>
      <c r="Y257" s="7" t="n">
        <v>-15.825</v>
      </c>
      <c r="Z257" s="8">
        <f>IFERROR(Y257/G257,0)</f>
        <v/>
      </c>
      <c r="AA257" s="7">
        <f>Y257-K257/1.06</f>
        <v/>
      </c>
      <c r="AB257" s="8">
        <f>IFERROR(AA257/G257,0)</f>
        <v/>
      </c>
      <c r="AC257" s="7">
        <f>Y257-(Q257+X257)/1.06</f>
        <v/>
      </c>
      <c r="AD257" s="8">
        <f>IFERROR(AC257/G257,0)</f>
        <v/>
      </c>
    </row>
    <row r="258" ht="14.25" customHeight="1" s="69">
      <c r="A258" s="5" t="inlineStr">
        <is>
          <t>7.13-7.19</t>
        </is>
      </c>
      <c r="B258" s="5" t="inlineStr">
        <is>
          <t>7.13-7.19</t>
        </is>
      </c>
      <c r="C258" s="119" t="n">
        <v>969433743398</v>
      </c>
      <c r="D258" s="5" t="inlineStr">
        <is>
          <t>韩蘑菇</t>
        </is>
      </c>
      <c r="E258" s="5" t="inlineStr">
        <is>
          <t>新品营多捞面韩式辣蘑菇汤面泡面方便面速食干拌面宿舍宵夜旅行</t>
        </is>
      </c>
      <c r="F258" s="7" t="n">
        <v>85.18000000000001</v>
      </c>
      <c r="G258" s="7">
        <f>IFERROR(F258/1.13,0)</f>
        <v/>
      </c>
      <c r="H258" s="5" t="n">
        <v>5</v>
      </c>
      <c r="I258" s="8">
        <f>IFERROR(H258/SUMIF($A:$A,A258,$H:$H),0)</f>
        <v/>
      </c>
      <c r="J258" s="9">
        <f>IFERROR(F258/H258,0)</f>
        <v/>
      </c>
      <c r="K258" s="7" t="n">
        <v>7.2869143907563</v>
      </c>
      <c r="L258" s="7" t="n">
        <v>36.8511738445378</v>
      </c>
      <c r="M258" s="9">
        <f>IFERROR(L258/K258,0)</f>
        <v/>
      </c>
      <c r="N258" s="7" t="n">
        <v>2.64910714285714</v>
      </c>
      <c r="O258" s="7" t="n">
        <v>5.76570378151261</v>
      </c>
      <c r="P258" s="9">
        <f>IFERROR(O258/N258,0)</f>
        <v/>
      </c>
      <c r="Q258" s="7">
        <f>K258+N258</f>
        <v/>
      </c>
      <c r="R258" s="7">
        <f>L258+O258</f>
        <v/>
      </c>
      <c r="S258" s="9">
        <f>IFERROR(R258/Q258,0)</f>
        <v/>
      </c>
      <c r="T258" s="8">
        <f>IFERROR(Q258/SUMIF($A:$A,A258,$Q:$Q),0)</f>
        <v/>
      </c>
      <c r="U258" s="8">
        <f>IFERROR(Q258/F258,0)</f>
        <v/>
      </c>
      <c r="V258" s="7">
        <f>F258-R258</f>
        <v/>
      </c>
      <c r="W258" s="8">
        <f>IFERROR(V258/F258,0)</f>
        <v/>
      </c>
      <c r="X258" s="7">
        <f>IFERROR(VLOOKUP(A258,周报其他费用!$A:$B,2,FALSE)*I258,0)</f>
        <v/>
      </c>
      <c r="Y258" s="7" t="n">
        <v>7.255</v>
      </c>
      <c r="Z258" s="8">
        <f>IFERROR(Y258/G258,0)</f>
        <v/>
      </c>
      <c r="AA258" s="7">
        <f>Y258-K258/1.06</f>
        <v/>
      </c>
      <c r="AB258" s="8">
        <f>IFERROR(AA258/G258,0)</f>
        <v/>
      </c>
      <c r="AC258" s="7">
        <f>Y258-(Q258+X258)/1.06</f>
        <v/>
      </c>
      <c r="AD258" s="8">
        <f>IFERROR(AC258/G258,0)</f>
        <v/>
      </c>
    </row>
    <row r="259" ht="14.25" customHeight="1" s="69">
      <c r="A259" s="5" t="inlineStr">
        <is>
          <t>7.13-7.19</t>
        </is>
      </c>
      <c r="B259" s="5" t="inlineStr">
        <is>
          <t>7.13-7.19</t>
        </is>
      </c>
      <c r="C259" s="119" t="n">
        <v>885645733215</v>
      </c>
      <c r="D259" s="5" t="inlineStr">
        <is>
          <t>大骨牛肉</t>
        </is>
      </c>
      <c r="E259" s="5" t="inlineStr">
        <is>
          <t>进口营多大骨番茄牛肉味营多捞面意式泡面宿舍宿舍宵夜速食方便面</t>
        </is>
      </c>
      <c r="F259" s="7" t="n">
        <v>76.73</v>
      </c>
      <c r="G259" s="7">
        <f>IFERROR(F259/1.13,0)</f>
        <v/>
      </c>
      <c r="H259" s="5" t="n">
        <v>5</v>
      </c>
      <c r="I259" s="8">
        <f>IFERROR(H259/SUMIF($A:$A,A259,$H:$H),0)</f>
        <v/>
      </c>
      <c r="J259" s="9">
        <f>IFERROR(F259/H259,0)</f>
        <v/>
      </c>
      <c r="K259" s="7" t="n">
        <v>4.0369143907563</v>
      </c>
      <c r="L259" s="7" t="n">
        <v>26.5811738445378</v>
      </c>
      <c r="M259" s="9">
        <f>IFERROR(L259/K259,0)</f>
        <v/>
      </c>
      <c r="N259" s="7" t="n">
        <v>2.64910714285714</v>
      </c>
      <c r="O259" s="7" t="n">
        <v>5.76570378151261</v>
      </c>
      <c r="P259" s="9">
        <f>IFERROR(O259/N259,0)</f>
        <v/>
      </c>
      <c r="Q259" s="7">
        <f>K259+N259</f>
        <v/>
      </c>
      <c r="R259" s="7">
        <f>L259+O259</f>
        <v/>
      </c>
      <c r="S259" s="9">
        <f>IFERROR(R259/Q259,0)</f>
        <v/>
      </c>
      <c r="T259" s="8">
        <f>IFERROR(Q259/SUMIF($A:$A,A259,$Q:$Q),0)</f>
        <v/>
      </c>
      <c r="U259" s="8">
        <f>IFERROR(Q259/F259,0)</f>
        <v/>
      </c>
      <c r="V259" s="7">
        <f>F259-R259</f>
        <v/>
      </c>
      <c r="W259" s="8">
        <f>IFERROR(V259/F259,0)</f>
        <v/>
      </c>
      <c r="X259" s="7">
        <f>IFERROR(VLOOKUP(A259,周报其他费用!$A:$B,2,FALSE)*I259,0)</f>
        <v/>
      </c>
      <c r="Y259" s="7" t="n">
        <v>2.205</v>
      </c>
      <c r="Z259" s="8">
        <f>IFERROR(Y259/G259,0)</f>
        <v/>
      </c>
      <c r="AA259" s="7">
        <f>Y259-K259/1.06</f>
        <v/>
      </c>
      <c r="AB259" s="8">
        <f>IFERROR(AA259/G259,0)</f>
        <v/>
      </c>
      <c r="AC259" s="7">
        <f>Y259-(Q259+X259)/1.06</f>
        <v/>
      </c>
      <c r="AD259" s="8">
        <f>IFERROR(AC259/G259,0)</f>
        <v/>
      </c>
    </row>
    <row r="260" ht="14.25" customHeight="1" s="69">
      <c r="A260" s="5" t="inlineStr">
        <is>
          <t>7.13-7.19</t>
        </is>
      </c>
      <c r="B260" s="5" t="inlineStr">
        <is>
          <t>7.13-7.19</t>
        </is>
      </c>
      <c r="C260" s="119" t="n">
        <v>971242260371</v>
      </c>
      <c r="D260" s="5" t="inlineStr">
        <is>
          <t>韩式袋面</t>
        </is>
      </c>
      <c r="E260" s="5" t="inlineStr">
        <is>
          <t>新品营多捞面韩式辣蘑菇汤面泡面方便面速食干拌面宿舍宵夜旅行</t>
        </is>
      </c>
      <c r="F260" s="7" t="n">
        <v>108.22</v>
      </c>
      <c r="G260" s="7">
        <f>IFERROR(F260/1.13,0)</f>
        <v/>
      </c>
      <c r="H260" s="5" t="n">
        <v>4</v>
      </c>
      <c r="I260" s="8">
        <f>IFERROR(H260/SUMIF($A:$A,A260,$H:$H),0)</f>
        <v/>
      </c>
      <c r="J260" s="9">
        <f>IFERROR(F260/H260,0)</f>
        <v/>
      </c>
      <c r="K260" s="7" t="n">
        <v>37.727531512605</v>
      </c>
      <c r="L260" s="7" t="n">
        <v>116.87893907563</v>
      </c>
      <c r="M260" s="9">
        <f>IFERROR(L260/K260,0)</f>
        <v/>
      </c>
      <c r="N260" s="7" t="n">
        <v>2.11928571428571</v>
      </c>
      <c r="O260" s="7" t="n">
        <v>4.61256302521008</v>
      </c>
      <c r="P260" s="9">
        <f>IFERROR(O260/N260,0)</f>
        <v/>
      </c>
      <c r="Q260" s="7">
        <f>K260+N260</f>
        <v/>
      </c>
      <c r="R260" s="7">
        <f>L260+O260</f>
        <v/>
      </c>
      <c r="S260" s="9">
        <f>IFERROR(R260/Q260,0)</f>
        <v/>
      </c>
      <c r="T260" s="8">
        <f>IFERROR(Q260/SUMIF($A:$A,A260,$Q:$Q),0)</f>
        <v/>
      </c>
      <c r="U260" s="8">
        <f>IFERROR(Q260/F260,0)</f>
        <v/>
      </c>
      <c r="V260" s="7">
        <f>F260-R260</f>
        <v/>
      </c>
      <c r="W260" s="8">
        <f>IFERROR(V260/F260,0)</f>
        <v/>
      </c>
      <c r="X260" s="7">
        <f>IFERROR(VLOOKUP(A260,周报其他费用!$A:$B,2,FALSE)*I260,0)</f>
        <v/>
      </c>
      <c r="Y260" s="7" t="n">
        <v>18.723</v>
      </c>
      <c r="Z260" s="8">
        <f>IFERROR(Y260/G260,0)</f>
        <v/>
      </c>
      <c r="AA260" s="7">
        <f>Y260-K260/1.06</f>
        <v/>
      </c>
      <c r="AB260" s="8">
        <f>IFERROR(AA260/G260,0)</f>
        <v/>
      </c>
      <c r="AC260" s="7">
        <f>Y260-(Q260+X260)/1.06</f>
        <v/>
      </c>
      <c r="AD260" s="8">
        <f>IFERROR(AC260/G260,0)</f>
        <v/>
      </c>
    </row>
    <row r="261" ht="14.25" customHeight="1" s="69">
      <c r="A261" s="5" t="inlineStr">
        <is>
          <t>7.13-7.19</t>
        </is>
      </c>
      <c r="B261" s="5" t="inlineStr">
        <is>
          <t>7.13-7.19</t>
        </is>
      </c>
      <c r="C261" s="119" t="n">
        <v>775016827115</v>
      </c>
      <c r="D261" s="5" t="inlineStr">
        <is>
          <t>杯面混搭</t>
        </is>
      </c>
      <c r="E261" s="5" t="inlineStr">
        <is>
          <t>进口营多原味杯面日式杯面韩式杯面泡面方便面汤面宿舍速食夜宵</t>
        </is>
      </c>
      <c r="F261" s="7" t="n">
        <v>110.95</v>
      </c>
      <c r="G261" s="7">
        <f>IFERROR(F261/1.13,0)</f>
        <v/>
      </c>
      <c r="H261" s="5" t="n">
        <v>4</v>
      </c>
      <c r="I261" s="8">
        <f>IFERROR(H261/SUMIF($A:$A,A261,$H:$H),0)</f>
        <v/>
      </c>
      <c r="J261" s="9">
        <f>IFERROR(F261/H261,0)</f>
        <v/>
      </c>
      <c r="K261" s="7" t="n">
        <v>6.90753151260504</v>
      </c>
      <c r="L261" s="7" t="n">
        <v>31.7489390756303</v>
      </c>
      <c r="M261" s="9">
        <f>IFERROR(L261/K261,0)</f>
        <v/>
      </c>
      <c r="N261" s="7" t="n">
        <v>2.11928571428571</v>
      </c>
      <c r="O261" s="7" t="n">
        <v>4.61256302521008</v>
      </c>
      <c r="P261" s="9">
        <f>IFERROR(O261/N261,0)</f>
        <v/>
      </c>
      <c r="Q261" s="7">
        <f>K261+N261</f>
        <v/>
      </c>
      <c r="R261" s="7">
        <f>L261+O261</f>
        <v/>
      </c>
      <c r="S261" s="9">
        <f>IFERROR(R261/Q261,0)</f>
        <v/>
      </c>
      <c r="T261" s="8">
        <f>IFERROR(Q261/SUMIF($A:$A,A261,$Q:$Q),0)</f>
        <v/>
      </c>
      <c r="U261" s="8">
        <f>IFERROR(Q261/F261,0)</f>
        <v/>
      </c>
      <c r="V261" s="7">
        <f>F261-R261</f>
        <v/>
      </c>
      <c r="W261" s="8">
        <f>IFERROR(V261/F261,0)</f>
        <v/>
      </c>
      <c r="X261" s="7">
        <f>IFERROR(VLOOKUP(A261,周报其他费用!$A:$B,2,FALSE)*I261,0)</f>
        <v/>
      </c>
      <c r="Y261" s="7" t="n">
        <v>14.068</v>
      </c>
      <c r="Z261" s="8">
        <f>IFERROR(Y261/G261,0)</f>
        <v/>
      </c>
      <c r="AA261" s="7">
        <f>Y261-K261/1.06</f>
        <v/>
      </c>
      <c r="AB261" s="8">
        <f>IFERROR(AA261/G261,0)</f>
        <v/>
      </c>
      <c r="AC261" s="7">
        <f>Y261-(Q261+X261)/1.06</f>
        <v/>
      </c>
      <c r="AD261" s="8">
        <f>IFERROR(AC261/G261,0)</f>
        <v/>
      </c>
    </row>
    <row r="262" ht="14.25" customHeight="1" s="69">
      <c r="A262" s="5" t="inlineStr">
        <is>
          <t>7.13-7.19</t>
        </is>
      </c>
      <c r="B262" s="5" t="inlineStr">
        <is>
          <t>7.13-7.19</t>
        </is>
      </c>
      <c r="C262" s="119" t="n">
        <v>649731447266</v>
      </c>
      <c r="D262" s="5" t="inlineStr">
        <is>
          <t>20包经典/牛系列</t>
        </is>
      </c>
      <c r="E262" s="5" t="inlineStr">
        <is>
          <t>营多印尼进口营多捞面方便面火鸡面干拌面20包宿舍速食泡面夜宵</t>
        </is>
      </c>
      <c r="F262" s="7" t="n">
        <v>193.3</v>
      </c>
      <c r="G262" s="7">
        <f>IFERROR(F262/1.13,0)</f>
        <v/>
      </c>
      <c r="H262" s="5" t="n">
        <v>4</v>
      </c>
      <c r="I262" s="8">
        <f>IFERROR(H262/SUMIF($A:$A,A262,$H:$H),0)</f>
        <v/>
      </c>
      <c r="J262" s="9">
        <f>IFERROR(F262/H262,0)</f>
        <v/>
      </c>
      <c r="K262" s="7" t="n">
        <v>14.027531512605</v>
      </c>
      <c r="L262" s="7" t="n">
        <v>67.6489390756303</v>
      </c>
      <c r="M262" s="9">
        <f>IFERROR(L262/K262,0)</f>
        <v/>
      </c>
      <c r="N262" s="7" t="n">
        <v>2.11928571428571</v>
      </c>
      <c r="O262" s="7" t="n">
        <v>4.61256302521008</v>
      </c>
      <c r="P262" s="9">
        <f>IFERROR(O262/N262,0)</f>
        <v/>
      </c>
      <c r="Q262" s="7">
        <f>K262+N262</f>
        <v/>
      </c>
      <c r="R262" s="7">
        <f>L262+O262</f>
        <v/>
      </c>
      <c r="S262" s="9">
        <f>IFERROR(R262/Q262,0)</f>
        <v/>
      </c>
      <c r="T262" s="8">
        <f>IFERROR(Q262/SUMIF($A:$A,A262,$Q:$Q),0)</f>
        <v/>
      </c>
      <c r="U262" s="8">
        <f>IFERROR(Q262/F262,0)</f>
        <v/>
      </c>
      <c r="V262" s="7">
        <f>F262-R262</f>
        <v/>
      </c>
      <c r="W262" s="8">
        <f>IFERROR(V262/F262,0)</f>
        <v/>
      </c>
      <c r="X262" s="7">
        <f>IFERROR(VLOOKUP(A262,周报其他费用!$A:$B,2,FALSE)*I262,0)</f>
        <v/>
      </c>
      <c r="Y262" s="7" t="n">
        <v>39.086</v>
      </c>
      <c r="Z262" s="8">
        <f>IFERROR(Y262/G262,0)</f>
        <v/>
      </c>
      <c r="AA262" s="7">
        <f>Y262-K262/1.06</f>
        <v/>
      </c>
      <c r="AB262" s="8">
        <f>IFERROR(AA262/G262,0)</f>
        <v/>
      </c>
      <c r="AC262" s="7">
        <f>Y262-(Q262+X262)/1.06</f>
        <v/>
      </c>
      <c r="AD262" s="8">
        <f>IFERROR(AC262/G262,0)</f>
        <v/>
      </c>
    </row>
    <row r="263" ht="14.25" customHeight="1" s="69">
      <c r="A263" s="5" t="inlineStr">
        <is>
          <t>7.13-7.19</t>
        </is>
      </c>
      <c r="B263" s="5" t="inlineStr">
        <is>
          <t>7.13-7.19</t>
        </is>
      </c>
      <c r="C263" s="119" t="n">
        <v>648604228786</v>
      </c>
      <c r="D263" s="5" t="inlineStr">
        <is>
          <t>杯面混搭</t>
        </is>
      </c>
      <c r="E263" s="5" t="inlineStr">
        <is>
          <t>INDOMIE营多日式杯面原味经典泡面整箱批发速食宿舍旅行宵夜宿舍</t>
        </is>
      </c>
      <c r="F263" s="7" t="n">
        <v>100.7</v>
      </c>
      <c r="G263" s="7">
        <f>IFERROR(F263/1.13,0)</f>
        <v/>
      </c>
      <c r="H263" s="5" t="n">
        <v>4</v>
      </c>
      <c r="I263" s="8">
        <f>IFERROR(H263/SUMIF($A:$A,A263,$H:$H),0)</f>
        <v/>
      </c>
      <c r="J263" s="9">
        <f>IFERROR(F263/H263,0)</f>
        <v/>
      </c>
      <c r="K263" s="7" t="n">
        <v>23.707531512605</v>
      </c>
      <c r="L263" s="7" t="n">
        <v>310.52893907563</v>
      </c>
      <c r="M263" s="9">
        <f>IFERROR(L263/K263,0)</f>
        <v/>
      </c>
      <c r="N263" s="7" t="n">
        <v>2.11928571428571</v>
      </c>
      <c r="O263" s="7" t="n">
        <v>4.61256302521008</v>
      </c>
      <c r="P263" s="9">
        <f>IFERROR(O263/N263,0)</f>
        <v/>
      </c>
      <c r="Q263" s="7">
        <f>K263+N263</f>
        <v/>
      </c>
      <c r="R263" s="7">
        <f>L263+O263</f>
        <v/>
      </c>
      <c r="S263" s="9">
        <f>IFERROR(R263/Q263,0)</f>
        <v/>
      </c>
      <c r="T263" s="8">
        <f>IFERROR(Q263/SUMIF($A:$A,A263,$Q:$Q),0)</f>
        <v/>
      </c>
      <c r="U263" s="8">
        <f>IFERROR(Q263/F263,0)</f>
        <v/>
      </c>
      <c r="V263" s="7">
        <f>F263-R263</f>
        <v/>
      </c>
      <c r="W263" s="8">
        <f>IFERROR(V263/F263,0)</f>
        <v/>
      </c>
      <c r="X263" s="7">
        <f>IFERROR(VLOOKUP(A263,周报其他费用!$A:$B,2,FALSE)*I263,0)</f>
        <v/>
      </c>
      <c r="Y263" s="7" t="n">
        <v>12.023</v>
      </c>
      <c r="Z263" s="8">
        <f>IFERROR(Y263/G263,0)</f>
        <v/>
      </c>
      <c r="AA263" s="7">
        <f>Y263-K263/1.06</f>
        <v/>
      </c>
      <c r="AB263" s="8">
        <f>IFERROR(AA263/G263,0)</f>
        <v/>
      </c>
      <c r="AC263" s="7">
        <f>Y263-(Q263+X263)/1.06</f>
        <v/>
      </c>
      <c r="AD263" s="8">
        <f>IFERROR(AC263/G263,0)</f>
        <v/>
      </c>
    </row>
    <row r="264" ht="14.25" customHeight="1" s="69">
      <c r="A264" s="5" t="inlineStr">
        <is>
          <t>7.13-7.19</t>
        </is>
      </c>
      <c r="B264" s="5" t="inlineStr">
        <is>
          <t>7.13-7.19</t>
        </is>
      </c>
      <c r="C264" s="119" t="n">
        <v>1028450344901</v>
      </c>
      <c r="D264" s="5" t="inlineStr">
        <is>
          <t>韩式火鸡</t>
        </is>
      </c>
      <c r="E264" s="5" t="inlineStr">
        <is>
          <t>营多韩式火鸡面袋装拌面干拌面泡面方便面速食面宿舍宵夜旅行</t>
        </is>
      </c>
      <c r="F264" s="7" t="n">
        <v>85.05</v>
      </c>
      <c r="G264" s="7">
        <f>IFERROR(F264/1.13,0)</f>
        <v/>
      </c>
      <c r="H264" s="5" t="n">
        <v>4</v>
      </c>
      <c r="I264" s="8">
        <f>IFERROR(H264/SUMIF($A:$A,A264,$H:$H),0)</f>
        <v/>
      </c>
      <c r="J264" s="9">
        <f>IFERROR(F264/H264,0)</f>
        <v/>
      </c>
      <c r="K264" s="7" t="n">
        <v>12.597531512605</v>
      </c>
      <c r="L264" s="7" t="n">
        <v>64.4389390756303</v>
      </c>
      <c r="M264" s="9">
        <f>IFERROR(L264/K264,0)</f>
        <v/>
      </c>
      <c r="N264" s="7" t="n">
        <v>2.11928571428571</v>
      </c>
      <c r="O264" s="7" t="n">
        <v>4.61256302521008</v>
      </c>
      <c r="P264" s="9">
        <f>IFERROR(O264/N264,0)</f>
        <v/>
      </c>
      <c r="Q264" s="7">
        <f>K264+N264</f>
        <v/>
      </c>
      <c r="R264" s="7">
        <f>L264+O264</f>
        <v/>
      </c>
      <c r="S264" s="9">
        <f>IFERROR(R264/Q264,0)</f>
        <v/>
      </c>
      <c r="T264" s="8">
        <f>IFERROR(Q264/SUMIF($A:$A,A264,$Q:$Q),0)</f>
        <v/>
      </c>
      <c r="U264" s="8">
        <f>IFERROR(Q264/F264,0)</f>
        <v/>
      </c>
      <c r="V264" s="7">
        <f>F264-R264</f>
        <v/>
      </c>
      <c r="W264" s="8">
        <f>IFERROR(V264/F264,0)</f>
        <v/>
      </c>
      <c r="X264" s="7">
        <f>IFERROR(VLOOKUP(A264,周报其他费用!$A:$B,2,FALSE)*I264,0)</f>
        <v/>
      </c>
      <c r="Y264" s="7" t="n">
        <v>8.378</v>
      </c>
      <c r="Z264" s="8">
        <f>IFERROR(Y264/G264,0)</f>
        <v/>
      </c>
      <c r="AA264" s="7">
        <f>Y264-K264/1.06</f>
        <v/>
      </c>
      <c r="AB264" s="8">
        <f>IFERROR(AA264/G264,0)</f>
        <v/>
      </c>
      <c r="AC264" s="7">
        <f>Y264-(Q264+X264)/1.06</f>
        <v/>
      </c>
      <c r="AD264" s="8">
        <f>IFERROR(AC264/G264,0)</f>
        <v/>
      </c>
    </row>
    <row r="265" ht="14.25" customHeight="1" s="69">
      <c r="A265" s="5" t="inlineStr">
        <is>
          <t>7.13-7.19</t>
        </is>
      </c>
      <c r="B265" s="5" t="inlineStr">
        <is>
          <t>7.13-7.19</t>
        </is>
      </c>
      <c r="C265" s="119" t="n">
        <v>649729851594</v>
      </c>
      <c r="D265" s="5" t="inlineStr">
        <is>
          <t>小规格</t>
        </is>
      </c>
      <c r="E265" s="5" t="inlineStr">
        <is>
          <t>营多捞面袋装8包装泡面宿舍速食面热干面干拌面方便面火鸡面食品</t>
        </is>
      </c>
      <c r="F265" s="7" t="n">
        <v>64.27</v>
      </c>
      <c r="G265" s="7">
        <f>IFERROR(F265/1.13,0)</f>
        <v/>
      </c>
      <c r="H265" s="5" t="n">
        <v>3</v>
      </c>
      <c r="I265" s="8">
        <f>IFERROR(H265/SUMIF($A:$A,A265,$H:$H),0)</f>
        <v/>
      </c>
      <c r="J265" s="9">
        <f>IFERROR(F265/H265,0)</f>
        <v/>
      </c>
      <c r="K265" s="7" t="n">
        <v>6.96814863445378</v>
      </c>
      <c r="L265" s="7" t="n">
        <v>25.2467043067227</v>
      </c>
      <c r="M265" s="9">
        <f>IFERROR(L265/K265,0)</f>
        <v/>
      </c>
      <c r="N265" s="7" t="n">
        <v>1.58946428571429</v>
      </c>
      <c r="O265" s="7" t="n">
        <v>3.45942226890756</v>
      </c>
      <c r="P265" s="9">
        <f>IFERROR(O265/N265,0)</f>
        <v/>
      </c>
      <c r="Q265" s="7">
        <f>K265+N265</f>
        <v/>
      </c>
      <c r="R265" s="7">
        <f>L265+O265</f>
        <v/>
      </c>
      <c r="S265" s="9">
        <f>IFERROR(R265/Q265,0)</f>
        <v/>
      </c>
      <c r="T265" s="8">
        <f>IFERROR(Q265/SUMIF($A:$A,A265,$Q:$Q),0)</f>
        <v/>
      </c>
      <c r="U265" s="8">
        <f>IFERROR(Q265/F265,0)</f>
        <v/>
      </c>
      <c r="V265" s="7">
        <f>F265-R265</f>
        <v/>
      </c>
      <c r="W265" s="8">
        <f>IFERROR(V265/F265,0)</f>
        <v/>
      </c>
      <c r="X265" s="7">
        <f>IFERROR(VLOOKUP(A265,周报其他费用!$A:$B,2,FALSE)*I265,0)</f>
        <v/>
      </c>
      <c r="Y265" s="7" t="n">
        <v>8.381</v>
      </c>
      <c r="Z265" s="8">
        <f>IFERROR(Y265/G265,0)</f>
        <v/>
      </c>
      <c r="AA265" s="7">
        <f>Y265-K265/1.06</f>
        <v/>
      </c>
      <c r="AB265" s="8">
        <f>IFERROR(AA265/G265,0)</f>
        <v/>
      </c>
      <c r="AC265" s="7">
        <f>Y265-(Q265+X265)/1.06</f>
        <v/>
      </c>
      <c r="AD265" s="8">
        <f>IFERROR(AC265/G265,0)</f>
        <v/>
      </c>
    </row>
    <row r="266" ht="14.25" customHeight="1" s="69">
      <c r="A266" s="5" t="inlineStr">
        <is>
          <t>7.13-7.19</t>
        </is>
      </c>
      <c r="B266" s="5" t="inlineStr">
        <is>
          <t>7.13-7.19</t>
        </is>
      </c>
      <c r="C266" s="119" t="n">
        <v>903183018417</v>
      </c>
      <c r="D266" s="5" t="inlineStr">
        <is>
          <t>七口味混搭</t>
        </is>
      </c>
      <c r="E266" s="5" t="inlineStr">
        <is>
          <t>进口营多捞面汤面拌面七口味混合方便面速拉面宿舍拌面泡面食食品</t>
        </is>
      </c>
      <c r="F266" s="7" t="n">
        <v>39.31</v>
      </c>
      <c r="G266" s="7">
        <f>IFERROR(F266/1.13,0)</f>
        <v/>
      </c>
      <c r="H266" s="5" t="n">
        <v>2</v>
      </c>
      <c r="I266" s="8">
        <f>IFERROR(H266/SUMIF($A:$A,A266,$H:$H),0)</f>
        <v/>
      </c>
      <c r="J266" s="9">
        <f>IFERROR(F266/H266,0)</f>
        <v/>
      </c>
      <c r="K266" s="7" t="n">
        <v>10.9787657563025</v>
      </c>
      <c r="L266" s="7" t="n">
        <v>47.6244695378151</v>
      </c>
      <c r="M266" s="9">
        <f>IFERROR(L266/K266,0)</f>
        <v/>
      </c>
      <c r="N266" s="7" t="n">
        <v>1.05964285714286</v>
      </c>
      <c r="O266" s="7" t="n">
        <v>2.30628151260504</v>
      </c>
      <c r="P266" s="9">
        <f>IFERROR(O266/N266,0)</f>
        <v/>
      </c>
      <c r="Q266" s="7">
        <f>K266+N266</f>
        <v/>
      </c>
      <c r="R266" s="7">
        <f>L266+O266</f>
        <v/>
      </c>
      <c r="S266" s="9">
        <f>IFERROR(R266/Q266,0)</f>
        <v/>
      </c>
      <c r="T266" s="8">
        <f>IFERROR(Q266/SUMIF($A:$A,A266,$Q:$Q),0)</f>
        <v/>
      </c>
      <c r="U266" s="8">
        <f>IFERROR(Q266/F266,0)</f>
        <v/>
      </c>
      <c r="V266" s="7">
        <f>F266-R266</f>
        <v/>
      </c>
      <c r="W266" s="8">
        <f>IFERROR(V266/F266,0)</f>
        <v/>
      </c>
      <c r="X266" s="7">
        <f>IFERROR(VLOOKUP(A266,周报其他费用!$A:$B,2,FALSE)*I266,0)</f>
        <v/>
      </c>
      <c r="Y266" s="7" t="n">
        <v>3.461</v>
      </c>
      <c r="Z266" s="8">
        <f>IFERROR(Y266/G266,0)</f>
        <v/>
      </c>
      <c r="AA266" s="7">
        <f>Y266-K266/1.06</f>
        <v/>
      </c>
      <c r="AB266" s="8">
        <f>IFERROR(AA266/G266,0)</f>
        <v/>
      </c>
      <c r="AC266" s="7">
        <f>Y266-(Q266+X266)/1.06</f>
        <v/>
      </c>
      <c r="AD266" s="8">
        <f>IFERROR(AC266/G266,0)</f>
        <v/>
      </c>
    </row>
    <row r="267" ht="14.25" customHeight="1" s="69">
      <c r="A267" s="5" t="inlineStr">
        <is>
          <t>7.13-7.19</t>
        </is>
      </c>
      <c r="B267" s="5" t="inlineStr">
        <is>
          <t>7.13-7.19</t>
        </is>
      </c>
      <c r="C267" s="119" t="n">
        <v>916072786304</v>
      </c>
      <c r="D267" s="5" t="inlineStr">
        <is>
          <t>小规格</t>
        </is>
      </c>
      <c r="E267" s="5" t="inlineStr">
        <is>
          <t>营多印尼进口营多捞面方便面火鸡面干拌面10包宿舍速食泡面夜宵</t>
        </is>
      </c>
      <c r="F267" s="7" t="n">
        <v>11.59</v>
      </c>
      <c r="G267" s="7">
        <f>IFERROR(F267/1.13,0)</f>
        <v/>
      </c>
      <c r="H267" s="5" t="n">
        <v>1</v>
      </c>
      <c r="I267" s="8">
        <f>IFERROR(H267/SUMIF($A:$A,A267,$H:$H),0)</f>
        <v/>
      </c>
      <c r="J267" s="9">
        <f>IFERROR(F267/H267,0)</f>
        <v/>
      </c>
      <c r="K267" s="7" t="n">
        <v>0.8993828781512599</v>
      </c>
      <c r="L267" s="7" t="n">
        <v>0.962234768907564</v>
      </c>
      <c r="M267" s="9">
        <f>IFERROR(L267/K267,0)</f>
        <v/>
      </c>
      <c r="N267" s="7" t="n">
        <v>0.529821428571429</v>
      </c>
      <c r="O267" s="7" t="n">
        <v>1.15314075630252</v>
      </c>
      <c r="P267" s="9">
        <f>IFERROR(O267/N267,0)</f>
        <v/>
      </c>
      <c r="Q267" s="7">
        <f>K267+N267</f>
        <v/>
      </c>
      <c r="R267" s="7">
        <f>L267+O267</f>
        <v/>
      </c>
      <c r="S267" s="9">
        <f>IFERROR(R267/Q267,0)</f>
        <v/>
      </c>
      <c r="T267" s="8">
        <f>IFERROR(Q267/SUMIF($A:$A,A267,$Q:$Q),0)</f>
        <v/>
      </c>
      <c r="U267" s="8">
        <f>IFERROR(Q267/F267,0)</f>
        <v/>
      </c>
      <c r="V267" s="7">
        <f>F267-R267</f>
        <v/>
      </c>
      <c r="W267" s="8">
        <f>IFERROR(V267/F267,0)</f>
        <v/>
      </c>
      <c r="X267" s="7">
        <f>IFERROR(VLOOKUP(A267,周报其他费用!$A:$B,2,FALSE)*I267,0)</f>
        <v/>
      </c>
      <c r="Y267" s="7" t="n">
        <v>-1.379</v>
      </c>
      <c r="Z267" s="8">
        <f>IFERROR(Y267/G267,0)</f>
        <v/>
      </c>
      <c r="AA267" s="7">
        <f>Y267-K267/1.06</f>
        <v/>
      </c>
      <c r="AB267" s="8">
        <f>IFERROR(AA267/G267,0)</f>
        <v/>
      </c>
      <c r="AC267" s="7">
        <f>Y267-(Q267+X267)/1.06</f>
        <v/>
      </c>
      <c r="AD267" s="8">
        <f>IFERROR(AC267/G267,0)</f>
        <v/>
      </c>
    </row>
    <row r="268" ht="14.25" customHeight="1" s="69">
      <c r="A268" s="5" t="inlineStr">
        <is>
          <t>7.13-7.19</t>
        </is>
      </c>
      <c r="B268" s="5" t="inlineStr">
        <is>
          <t>7.13-7.19</t>
        </is>
      </c>
      <c r="C268" s="119" t="n">
        <v>1019572719528</v>
      </c>
      <c r="D268" s="5" t="inlineStr">
        <is>
          <t>日韩袋面</t>
        </is>
      </c>
      <c r="E268" s="5" t="inlineStr">
        <is>
          <t>新品营多捞面韩式辣蘑菇汤面泡面方便面速食干拌面宿舍宵夜旅行</t>
        </is>
      </c>
      <c r="F268" s="7" t="n">
        <v>17.9</v>
      </c>
      <c r="G268" s="7">
        <f>IFERROR(F268/1.13,0)</f>
        <v/>
      </c>
      <c r="H268" s="5" t="n">
        <v>1</v>
      </c>
      <c r="I268" s="8">
        <f>IFERROR(H268/SUMIF($A:$A,A268,$H:$H),0)</f>
        <v/>
      </c>
      <c r="J268" s="9">
        <f>IFERROR(F268/H268,0)</f>
        <v/>
      </c>
      <c r="K268" s="7" t="n">
        <v>0.31938287815126</v>
      </c>
      <c r="L268" s="7" t="n">
        <v>0.962234768907564</v>
      </c>
      <c r="M268" s="9">
        <f>IFERROR(L268/K268,0)</f>
        <v/>
      </c>
      <c r="N268" s="7" t="n">
        <v>0.529821428571429</v>
      </c>
      <c r="O268" s="7" t="n">
        <v>1.15314075630252</v>
      </c>
      <c r="P268" s="9">
        <f>IFERROR(O268/N268,0)</f>
        <v/>
      </c>
      <c r="Q268" s="7">
        <f>K268+N268</f>
        <v/>
      </c>
      <c r="R268" s="7">
        <f>L268+O268</f>
        <v/>
      </c>
      <c r="S268" s="9">
        <f>IFERROR(R268/Q268,0)</f>
        <v/>
      </c>
      <c r="T268" s="8">
        <f>IFERROR(Q268/SUMIF($A:$A,A268,$Q:$Q),0)</f>
        <v/>
      </c>
      <c r="U268" s="8">
        <f>IFERROR(Q268/F268,0)</f>
        <v/>
      </c>
      <c r="V268" s="7">
        <f>F268-R268</f>
        <v/>
      </c>
      <c r="W268" s="8">
        <f>IFERROR(V268/F268,0)</f>
        <v/>
      </c>
      <c r="X268" s="7">
        <f>IFERROR(VLOOKUP(A268,周报其他费用!$A:$B,2,FALSE)*I268,0)</f>
        <v/>
      </c>
      <c r="Y268" s="7" t="n">
        <v>3.149</v>
      </c>
      <c r="Z268" s="8">
        <f>IFERROR(Y268/G268,0)</f>
        <v/>
      </c>
      <c r="AA268" s="7">
        <f>Y268-K268/1.06</f>
        <v/>
      </c>
      <c r="AB268" s="8">
        <f>IFERROR(AA268/G268,0)</f>
        <v/>
      </c>
      <c r="AC268" s="7">
        <f>Y268-(Q268+X268)/1.06</f>
        <v/>
      </c>
      <c r="AD268" s="8">
        <f>IFERROR(AC268/G268,0)</f>
        <v/>
      </c>
    </row>
    <row r="269" ht="14.25" customHeight="1" s="69">
      <c r="A269" s="5" t="inlineStr">
        <is>
          <t>7.13-7.19</t>
        </is>
      </c>
      <c r="B269" s="5" t="inlineStr">
        <is>
          <t>7.13-7.19</t>
        </is>
      </c>
      <c r="C269" s="119" t="n">
        <v>976467954327</v>
      </c>
      <c r="D269" s="5" t="inlineStr">
        <is>
          <t>日韩杯面</t>
        </is>
      </c>
      <c r="E269" s="5" t="inlineStr">
        <is>
          <t>【天猫U选】indomie营多捞面辣蘑菇味日式辣味杯面</t>
        </is>
      </c>
      <c r="F269" s="7" t="n">
        <v>9.9</v>
      </c>
      <c r="G269" s="7">
        <f>IFERROR(F269/1.13,0)</f>
        <v/>
      </c>
      <c r="H269" s="5" t="n">
        <v>1</v>
      </c>
      <c r="I269" s="8">
        <f>IFERROR(H269/SUMIF($A:$A,A269,$H:$H),0)</f>
        <v/>
      </c>
      <c r="J269" s="9">
        <f>IFERROR(F269/H269,0)</f>
        <v/>
      </c>
      <c r="K269" s="7" t="n">
        <v>0.21938287815126</v>
      </c>
      <c r="L269" s="7" t="n">
        <v>0.962234768907564</v>
      </c>
      <c r="M269" s="9">
        <f>IFERROR(L269/K269,0)</f>
        <v/>
      </c>
      <c r="N269" s="7" t="n">
        <v>0.529821428571429</v>
      </c>
      <c r="O269" s="7" t="n">
        <v>1.15314075630252</v>
      </c>
      <c r="P269" s="9">
        <f>IFERROR(O269/N269,0)</f>
        <v/>
      </c>
      <c r="Q269" s="7">
        <f>K269+N269</f>
        <v/>
      </c>
      <c r="R269" s="7">
        <f>L269+O269</f>
        <v/>
      </c>
      <c r="S269" s="9">
        <f>IFERROR(R269/Q269,0)</f>
        <v/>
      </c>
      <c r="T269" s="8">
        <f>IFERROR(Q269/SUMIF($A:$A,A269,$Q:$Q),0)</f>
        <v/>
      </c>
      <c r="U269" s="8">
        <f>IFERROR(Q269/F269,0)</f>
        <v/>
      </c>
      <c r="V269" s="7">
        <f>F269-R269</f>
        <v/>
      </c>
      <c r="W269" s="8">
        <f>IFERROR(V269/F269,0)</f>
        <v/>
      </c>
      <c r="X269" s="7">
        <f>IFERROR(VLOOKUP(A269,周报其他费用!$A:$B,2,FALSE)*I269,0)</f>
        <v/>
      </c>
      <c r="Y269" s="7" t="n">
        <v>-1.359</v>
      </c>
      <c r="Z269" s="8">
        <f>IFERROR(Y269/G269,0)</f>
        <v/>
      </c>
      <c r="AA269" s="7">
        <f>Y269-K269/1.06</f>
        <v/>
      </c>
      <c r="AB269" s="8">
        <f>IFERROR(AA269/G269,0)</f>
        <v/>
      </c>
      <c r="AC269" s="7">
        <f>Y269-(Q269+X269)/1.06</f>
        <v/>
      </c>
      <c r="AD269" s="8">
        <f>IFERROR(AC269/G269,0)</f>
        <v/>
      </c>
    </row>
    <row r="270" ht="14.25" customHeight="1" s="69">
      <c r="A270" s="5" t="inlineStr">
        <is>
          <t>7.13-7.19</t>
        </is>
      </c>
      <c r="B270" s="5" t="inlineStr">
        <is>
          <t>7.13-7.19</t>
        </is>
      </c>
      <c r="C270" s="119" t="n">
        <v>976466902934</v>
      </c>
      <c r="D270" s="5" t="inlineStr">
        <is>
          <t>杯面混搭</t>
        </is>
      </c>
      <c r="E270" s="5" t="inlineStr">
        <is>
          <t>营多捞面韩式甜辣炸鸡辣蘑菇杯面方便面拌面泡面宿舍速食面</t>
        </is>
      </c>
      <c r="F270" s="7" t="n">
        <v>8.949999999999999</v>
      </c>
      <c r="G270" s="7">
        <f>IFERROR(F270/1.13,0)</f>
        <v/>
      </c>
      <c r="H270" s="5" t="n">
        <v>1</v>
      </c>
      <c r="I270" s="8">
        <f>IFERROR(H270/SUMIF($A:$A,A270,$H:$H),0)</f>
        <v/>
      </c>
      <c r="J270" s="9">
        <f>IFERROR(F270/H270,0)</f>
        <v/>
      </c>
      <c r="K270" s="7" t="n">
        <v>0.21938287815126</v>
      </c>
      <c r="L270" s="7" t="n">
        <v>0.962234768907564</v>
      </c>
      <c r="M270" s="9">
        <f>IFERROR(L270/K270,0)</f>
        <v/>
      </c>
      <c r="N270" s="7" t="n">
        <v>0.529821428571429</v>
      </c>
      <c r="O270" s="7" t="n">
        <v>1.15314075630252</v>
      </c>
      <c r="P270" s="9">
        <f>IFERROR(O270/N270,0)</f>
        <v/>
      </c>
      <c r="Q270" s="7">
        <f>K270+N270</f>
        <v/>
      </c>
      <c r="R270" s="7">
        <f>L270+O270</f>
        <v/>
      </c>
      <c r="S270" s="9">
        <f>IFERROR(R270/Q270,0)</f>
        <v/>
      </c>
      <c r="T270" s="8">
        <f>IFERROR(Q270/SUMIF($A:$A,A270,$Q:$Q),0)</f>
        <v/>
      </c>
      <c r="U270" s="8">
        <f>IFERROR(Q270/F270,0)</f>
        <v/>
      </c>
      <c r="V270" s="7">
        <f>F270-R270</f>
        <v/>
      </c>
      <c r="W270" s="8">
        <f>IFERROR(V270/F270,0)</f>
        <v/>
      </c>
      <c r="X270" s="7">
        <f>IFERROR(VLOOKUP(A270,周报其他费用!$A:$B,2,FALSE)*I270,0)</f>
        <v/>
      </c>
      <c r="Y270" s="7" t="n">
        <v>-2.137</v>
      </c>
      <c r="Z270" s="8">
        <f>IFERROR(Y270/G270,0)</f>
        <v/>
      </c>
      <c r="AA270" s="7">
        <f>Y270-K270/1.06</f>
        <v/>
      </c>
      <c r="AB270" s="8">
        <f>IFERROR(AA270/G270,0)</f>
        <v/>
      </c>
      <c r="AC270" s="7">
        <f>Y270-(Q270+X270)/1.06</f>
        <v/>
      </c>
      <c r="AD270" s="8">
        <f>IFERROR(AC270/G270,0)</f>
        <v/>
      </c>
    </row>
    <row r="271" ht="14.25" customHeight="1" s="69">
      <c r="A271" s="5" t="inlineStr">
        <is>
          <t>7.13-7.19</t>
        </is>
      </c>
      <c r="B271" s="5" t="inlineStr">
        <is>
          <t>7.13-7.19</t>
        </is>
      </c>
      <c r="C271" s="119" t="n">
        <v>947413291596</v>
      </c>
      <c r="D271" s="5" t="inlineStr">
        <is>
          <t>杯面混搭</t>
        </is>
      </c>
      <c r="E271" s="5" t="inlineStr">
        <is>
          <t>印尼进口营多捞面杯面原味甜辣蘑菇味整箱速食拌面拉面泡面方便面</t>
        </is>
      </c>
      <c r="F271" s="7" t="n">
        <v>27.25</v>
      </c>
      <c r="G271" s="7">
        <f>IFERROR(F271/1.13,0)</f>
        <v/>
      </c>
      <c r="H271" s="5" t="n">
        <v>1</v>
      </c>
      <c r="I271" s="8">
        <f>IFERROR(H271/SUMIF($A:$A,A271,$H:$H),0)</f>
        <v/>
      </c>
      <c r="J271" s="9">
        <f>IFERROR(F271/H271,0)</f>
        <v/>
      </c>
      <c r="K271" s="7" t="n">
        <v>12.8293828781513</v>
      </c>
      <c r="L271" s="7" t="n">
        <v>74.2022347689076</v>
      </c>
      <c r="M271" s="9">
        <f>IFERROR(L271/K271,0)</f>
        <v/>
      </c>
      <c r="N271" s="7" t="n">
        <v>0.529821428571429</v>
      </c>
      <c r="O271" s="7" t="n">
        <v>1.15314075630252</v>
      </c>
      <c r="P271" s="9">
        <f>IFERROR(O271/N271,0)</f>
        <v/>
      </c>
      <c r="Q271" s="7">
        <f>K271+N271</f>
        <v/>
      </c>
      <c r="R271" s="7">
        <f>L271+O271</f>
        <v/>
      </c>
      <c r="S271" s="9">
        <f>IFERROR(R271/Q271,0)</f>
        <v/>
      </c>
      <c r="T271" s="8">
        <f>IFERROR(Q271/SUMIF($A:$A,A271,$Q:$Q),0)</f>
        <v/>
      </c>
      <c r="U271" s="8">
        <f>IFERROR(Q271/F271,0)</f>
        <v/>
      </c>
      <c r="V271" s="7">
        <f>F271-R271</f>
        <v/>
      </c>
      <c r="W271" s="8">
        <f>IFERROR(V271/F271,0)</f>
        <v/>
      </c>
      <c r="X271" s="7">
        <f>IFERROR(VLOOKUP(A271,周报其他费用!$A:$B,2,FALSE)*I271,0)</f>
        <v/>
      </c>
      <c r="Y271" s="7" t="n">
        <v>3.118</v>
      </c>
      <c r="Z271" s="8">
        <f>IFERROR(Y271/G271,0)</f>
        <v/>
      </c>
      <c r="AA271" s="7">
        <f>Y271-K271/1.06</f>
        <v/>
      </c>
      <c r="AB271" s="8">
        <f>IFERROR(AA271/G271,0)</f>
        <v/>
      </c>
      <c r="AC271" s="7">
        <f>Y271-(Q271+X271)/1.06</f>
        <v/>
      </c>
      <c r="AD271" s="8">
        <f>IFERROR(AC271/G271,0)</f>
        <v/>
      </c>
    </row>
    <row r="272" ht="14.25" customHeight="1" s="69">
      <c r="A272" s="5" t="inlineStr">
        <is>
          <t>7.13-7.19</t>
        </is>
      </c>
      <c r="B272" s="5" t="inlineStr">
        <is>
          <t>7.13-7.19</t>
        </is>
      </c>
      <c r="C272" s="119" t="n">
        <v>898120785283</v>
      </c>
      <c r="D272" s="5" t="inlineStr">
        <is>
          <t>十全十美</t>
        </is>
      </c>
      <c r="E272" s="5" t="inlineStr">
        <is>
          <t>营多捞面多口味袋装泡面拌面速食面干拌面方便面速食宵夜宿舍旅行</t>
        </is>
      </c>
      <c r="F272" s="7" t="n">
        <v>12.08</v>
      </c>
      <c r="G272" s="7">
        <f>IFERROR(F272/1.13,0)</f>
        <v/>
      </c>
      <c r="H272" s="5" t="n">
        <v>1</v>
      </c>
      <c r="I272" s="8">
        <f>IFERROR(H272/SUMIF($A:$A,A272,$H:$H),0)</f>
        <v/>
      </c>
      <c r="J272" s="9">
        <f>IFERROR(F272/H272,0)</f>
        <v/>
      </c>
      <c r="K272" s="7" t="n">
        <v>1.99938287815126</v>
      </c>
      <c r="L272" s="7" t="n">
        <v>0.962234768907564</v>
      </c>
      <c r="M272" s="9">
        <f>IFERROR(L272/K272,0)</f>
        <v/>
      </c>
      <c r="N272" s="7" t="n">
        <v>0.529821428571429</v>
      </c>
      <c r="O272" s="7" t="n">
        <v>1.15314075630252</v>
      </c>
      <c r="P272" s="9">
        <f>IFERROR(O272/N272,0)</f>
        <v/>
      </c>
      <c r="Q272" s="7">
        <f>K272+N272</f>
        <v/>
      </c>
      <c r="R272" s="7">
        <f>L272+O272</f>
        <v/>
      </c>
      <c r="S272" s="9">
        <f>IFERROR(R272/Q272,0)</f>
        <v/>
      </c>
      <c r="T272" s="8">
        <f>IFERROR(Q272/SUMIF($A:$A,A272,$Q:$Q),0)</f>
        <v/>
      </c>
      <c r="U272" s="8">
        <f>IFERROR(Q272/F272,0)</f>
        <v/>
      </c>
      <c r="V272" s="7">
        <f>F272-R272</f>
        <v/>
      </c>
      <c r="W272" s="8">
        <f>IFERROR(V272/F272,0)</f>
        <v/>
      </c>
      <c r="X272" s="7">
        <f>IFERROR(VLOOKUP(A272,周报其他费用!$A:$B,2,FALSE)*I272,0)</f>
        <v/>
      </c>
      <c r="Y272" s="7" t="n">
        <v>-0.978</v>
      </c>
      <c r="Z272" s="8">
        <f>IFERROR(Y272/G272,0)</f>
        <v/>
      </c>
      <c r="AA272" s="7">
        <f>Y272-K272/1.06</f>
        <v/>
      </c>
      <c r="AB272" s="8">
        <f>IFERROR(AA272/G272,0)</f>
        <v/>
      </c>
      <c r="AC272" s="7">
        <f>Y272-(Q272+X272)/1.06</f>
        <v/>
      </c>
      <c r="AD272" s="8">
        <f>IFERROR(AC272/G272,0)</f>
        <v/>
      </c>
    </row>
    <row r="273" ht="14.25" customHeight="1" s="69">
      <c r="A273" s="5" t="inlineStr">
        <is>
          <t>7.20-7.26</t>
        </is>
      </c>
      <c r="B273" s="5" t="inlineStr">
        <is>
          <t>7.20-7.26</t>
        </is>
      </c>
      <c r="C273" s="119" t="n">
        <v>668566625747</v>
      </c>
      <c r="D273" s="5" t="inlineStr">
        <is>
          <t>袋面主链接</t>
        </is>
      </c>
      <c r="E273" s="5" t="inlineStr">
        <is>
          <t>印尼营多捞面进口网红泡面袋装方便面速食食品拉面火鸡面拌面整箱</t>
        </is>
      </c>
      <c r="F273" s="7" t="n">
        <v>35489.7100000007</v>
      </c>
      <c r="G273" s="7">
        <f>IFERROR(F273/1.13,0)</f>
        <v/>
      </c>
      <c r="H273" s="5" t="n">
        <v>1459</v>
      </c>
      <c r="I273" s="8">
        <f>IFERROR(H273/SUMIF($A:$A,A273,$H:$H),0)</f>
        <v/>
      </c>
      <c r="J273" s="9">
        <f>IFERROR(F273/H273,0)</f>
        <v/>
      </c>
      <c r="K273" s="7" t="n">
        <v>4867.81691435393</v>
      </c>
      <c r="L273" s="7" t="n">
        <v>26920.4484840346</v>
      </c>
      <c r="M273" s="9">
        <f>IFERROR(L273/K273,0)</f>
        <v/>
      </c>
      <c r="N273" s="7" t="n">
        <v>787.992306774097</v>
      </c>
      <c r="O273" s="7" t="n">
        <v>1840.00239331543</v>
      </c>
      <c r="P273" s="9">
        <f>IFERROR(O273/N273,0)</f>
        <v/>
      </c>
      <c r="Q273" s="7">
        <f>K273+N273</f>
        <v/>
      </c>
      <c r="R273" s="7">
        <f>L273+O273</f>
        <v/>
      </c>
      <c r="S273" s="9">
        <f>IFERROR(R273/Q273,0)</f>
        <v/>
      </c>
      <c r="T273" s="8">
        <f>IFERROR(Q273/SUMIF($A:$A,A273,$Q:$Q),0)</f>
        <v/>
      </c>
      <c r="U273" s="8">
        <f>IFERROR(Q273/F273,0)</f>
        <v/>
      </c>
      <c r="V273" s="7">
        <f>F273-R273</f>
        <v/>
      </c>
      <c r="W273" s="8">
        <f>IFERROR(V273/F273,0)</f>
        <v/>
      </c>
      <c r="X273" s="7">
        <f>IFERROR(VLOOKUP(A273,周报其他费用!$A:$B,2,FALSE)*I273,0)</f>
        <v/>
      </c>
      <c r="Y273" s="7" t="n">
        <v>4654.98200000005</v>
      </c>
      <c r="Z273" s="8">
        <f>IFERROR(Y273/G273,0)</f>
        <v/>
      </c>
      <c r="AA273" s="7">
        <f>Y273-K273/1.06</f>
        <v/>
      </c>
      <c r="AB273" s="8">
        <f>IFERROR(AA273/G273,0)</f>
        <v/>
      </c>
      <c r="AC273" s="7">
        <f>Y273-(Q273+X273)/1.06</f>
        <v/>
      </c>
      <c r="AD273" s="8">
        <f>IFERROR(AC273/G273,0)</f>
        <v/>
      </c>
    </row>
    <row r="274" ht="14.25" customHeight="1" s="69">
      <c r="A274" s="5" t="inlineStr">
        <is>
          <t>7.20-7.26</t>
        </is>
      </c>
      <c r="B274" s="5" t="inlineStr">
        <is>
          <t>7.20-7.26</t>
        </is>
      </c>
      <c r="C274" s="119" t="n">
        <v>649361890551</v>
      </c>
      <c r="D274" s="5" t="inlineStr">
        <is>
          <t>袋面次链接</t>
        </is>
      </c>
      <c r="E274" s="5" t="inlineStr">
        <is>
          <t>营多捞面印尼进口Indomie网红夜宵早餐方便面火鸡面泡面拌面</t>
        </is>
      </c>
      <c r="F274" s="7" t="n">
        <v>15638.2099999999</v>
      </c>
      <c r="G274" s="7">
        <f>IFERROR(F274/1.13,0)</f>
        <v/>
      </c>
      <c r="H274" s="5" t="n">
        <v>805</v>
      </c>
      <c r="I274" s="8">
        <f>IFERROR(H274/SUMIF($A:$A,A274,$H:$H),0)</f>
        <v/>
      </c>
      <c r="J274" s="9">
        <f>IFERROR(F274/H274,0)</f>
        <v/>
      </c>
      <c r="K274" s="7" t="n">
        <v>2527.81816472695</v>
      </c>
      <c r="L274" s="7" t="n">
        <v>14419.7489435989</v>
      </c>
      <c r="M274" s="9">
        <f>IFERROR(L274/K274,0)</f>
        <v/>
      </c>
      <c r="N274" s="7" t="n">
        <v>421.750859444942</v>
      </c>
      <c r="O274" s="7" t="n">
        <v>984.809856759176</v>
      </c>
      <c r="P274" s="9">
        <f>IFERROR(O274/N274,0)</f>
        <v/>
      </c>
      <c r="Q274" s="7">
        <f>K274+N274</f>
        <v/>
      </c>
      <c r="R274" s="7">
        <f>L274+O274</f>
        <v/>
      </c>
      <c r="S274" s="9">
        <f>IFERROR(R274/Q274,0)</f>
        <v/>
      </c>
      <c r="T274" s="8">
        <f>IFERROR(Q274/SUMIF($A:$A,A274,$Q:$Q),0)</f>
        <v/>
      </c>
      <c r="U274" s="8">
        <f>IFERROR(Q274/F274,0)</f>
        <v/>
      </c>
      <c r="V274" s="7">
        <f>F274-R274</f>
        <v/>
      </c>
      <c r="W274" s="8">
        <f>IFERROR(V274/F274,0)</f>
        <v/>
      </c>
      <c r="X274" s="7">
        <f>IFERROR(VLOOKUP(A274,周报其他费用!$A:$B,2,FALSE)*I274,0)</f>
        <v/>
      </c>
      <c r="Y274" s="7" t="n">
        <v>1488.97699999999</v>
      </c>
      <c r="Z274" s="8">
        <f>IFERROR(Y274/G274,0)</f>
        <v/>
      </c>
      <c r="AA274" s="7">
        <f>Y274-K274/1.06</f>
        <v/>
      </c>
      <c r="AB274" s="8">
        <f>IFERROR(AA274/G274,0)</f>
        <v/>
      </c>
      <c r="AC274" s="7">
        <f>Y274-(Q274+X274)/1.06</f>
        <v/>
      </c>
      <c r="AD274" s="8">
        <f>IFERROR(AC274/G274,0)</f>
        <v/>
      </c>
    </row>
    <row r="275" ht="14.25" customHeight="1" s="69">
      <c r="A275" s="5" t="inlineStr">
        <is>
          <t>7.20-7.26</t>
        </is>
      </c>
      <c r="B275" s="5" t="inlineStr">
        <is>
          <t>7.20-7.26</t>
        </is>
      </c>
      <c r="C275" s="119" t="n">
        <v>649735171438</v>
      </c>
      <c r="D275" s="5" t="inlineStr">
        <is>
          <t>杯面主链接</t>
        </is>
      </c>
      <c r="E275" s="5" t="inlineStr">
        <is>
          <t>印尼进口indomie营多捞面杯面速食泡面干拌面盒桶装方便面火鸡面</t>
        </is>
      </c>
      <c r="F275" s="7" t="n">
        <v>13258.64</v>
      </c>
      <c r="G275" s="7">
        <f>IFERROR(F275/1.13,0)</f>
        <v/>
      </c>
      <c r="H275" s="5" t="n">
        <v>523</v>
      </c>
      <c r="I275" s="8">
        <f>IFERROR(H275/SUMIF($A:$A,A275,$H:$H),0)</f>
        <v/>
      </c>
      <c r="J275" s="9">
        <f>IFERROR(F275/H275,0)</f>
        <v/>
      </c>
      <c r="K275" s="7" t="n">
        <v>2029.66672336616</v>
      </c>
      <c r="L275" s="7" t="n">
        <v>9236.47318710832</v>
      </c>
      <c r="M275" s="9">
        <f>IFERROR(L275/K275,0)</f>
        <v/>
      </c>
      <c r="N275" s="7" t="n">
        <v>269.703339301701</v>
      </c>
      <c r="O275" s="7" t="n">
        <v>629.7711101163831</v>
      </c>
      <c r="P275" s="9">
        <f>IFERROR(O275/N275,0)</f>
        <v/>
      </c>
      <c r="Q275" s="7">
        <f>K275+N275</f>
        <v/>
      </c>
      <c r="R275" s="7">
        <f>L275+O275</f>
        <v/>
      </c>
      <c r="S275" s="9">
        <f>IFERROR(R275/Q275,0)</f>
        <v/>
      </c>
      <c r="T275" s="8">
        <f>IFERROR(Q275/SUMIF($A:$A,A275,$Q:$Q),0)</f>
        <v/>
      </c>
      <c r="U275" s="8">
        <f>IFERROR(Q275/F275,0)</f>
        <v/>
      </c>
      <c r="V275" s="7">
        <f>F275-R275</f>
        <v/>
      </c>
      <c r="W275" s="8">
        <f>IFERROR(V275/F275,0)</f>
        <v/>
      </c>
      <c r="X275" s="7">
        <f>IFERROR(VLOOKUP(A275,周报其他费用!$A:$B,2,FALSE)*I275,0)</f>
        <v/>
      </c>
      <c r="Y275" s="7" t="n">
        <v>1448.007</v>
      </c>
      <c r="Z275" s="8">
        <f>IFERROR(Y275/G275,0)</f>
        <v/>
      </c>
      <c r="AA275" s="7">
        <f>Y275-K275/1.06</f>
        <v/>
      </c>
      <c r="AB275" s="8">
        <f>IFERROR(AA275/G275,0)</f>
        <v/>
      </c>
      <c r="AC275" s="7">
        <f>Y275-(Q275+X275)/1.06</f>
        <v/>
      </c>
      <c r="AD275" s="8">
        <f>IFERROR(AC275/G275,0)</f>
        <v/>
      </c>
    </row>
    <row r="276" ht="14.25" customHeight="1" s="69">
      <c r="A276" s="5" t="inlineStr">
        <is>
          <t>7.20-7.26</t>
        </is>
      </c>
      <c r="B276" s="5" t="inlineStr">
        <is>
          <t>7.20-7.26</t>
        </is>
      </c>
      <c r="C276" s="119" t="n">
        <v>1057479227624</v>
      </c>
      <c r="D276" s="5" t="inlineStr">
        <is>
          <t>巴东牛肉</t>
        </is>
      </c>
      <c r="E276" s="5" t="inlineStr">
        <is>
          <t>【新口味】印尼进口营多捞面巴东炖牛肉味泡面方便面宿舍速食宵夜</t>
        </is>
      </c>
      <c r="F276" s="7" t="n">
        <v>3300.04000000001</v>
      </c>
      <c r="G276" s="7">
        <f>IFERROR(F276/1.13,0)</f>
        <v/>
      </c>
      <c r="H276" s="5" t="n">
        <v>176</v>
      </c>
      <c r="I276" s="8">
        <f>IFERROR(H276/SUMIF($A:$A,A276,$H:$H),0)</f>
        <v/>
      </c>
      <c r="J276" s="9">
        <f>IFERROR(F276/H276,0)</f>
        <v/>
      </c>
      <c r="K276" s="7" t="n">
        <v>944.234225604297</v>
      </c>
      <c r="L276" s="7" t="n">
        <v>4698.32594449418</v>
      </c>
      <c r="M276" s="9">
        <f>IFERROR(L276/K276,0)</f>
        <v/>
      </c>
      <c r="N276" s="7" t="n">
        <v>94.12465532676811</v>
      </c>
      <c r="O276" s="7" t="n">
        <v>219.785890778872</v>
      </c>
      <c r="P276" s="9">
        <f>IFERROR(O276/N276,0)</f>
        <v/>
      </c>
      <c r="Q276" s="7">
        <f>K276+N276</f>
        <v/>
      </c>
      <c r="R276" s="7">
        <f>L276+O276</f>
        <v/>
      </c>
      <c r="S276" s="9">
        <f>IFERROR(R276/Q276,0)</f>
        <v/>
      </c>
      <c r="T276" s="8">
        <f>IFERROR(Q276/SUMIF($A:$A,A276,$Q:$Q),0)</f>
        <v/>
      </c>
      <c r="U276" s="8">
        <f>IFERROR(Q276/F276,0)</f>
        <v/>
      </c>
      <c r="V276" s="7">
        <f>F276-R276</f>
        <v/>
      </c>
      <c r="W276" s="8">
        <f>IFERROR(V276/F276,0)</f>
        <v/>
      </c>
      <c r="X276" s="7">
        <f>IFERROR(VLOOKUP(A276,周报其他费用!$A:$B,2,FALSE)*I276,0)</f>
        <v/>
      </c>
      <c r="Y276" s="7" t="n">
        <v>393.462</v>
      </c>
      <c r="Z276" s="8">
        <f>IFERROR(Y276/G276,0)</f>
        <v/>
      </c>
      <c r="AA276" s="7">
        <f>Y276-K276/1.06</f>
        <v/>
      </c>
      <c r="AB276" s="8">
        <f>IFERROR(AA276/G276,0)</f>
        <v/>
      </c>
      <c r="AC276" s="7">
        <f>Y276-(Q276+X276)/1.06</f>
        <v/>
      </c>
      <c r="AD276" s="8">
        <f>IFERROR(AC276/G276,0)</f>
        <v/>
      </c>
    </row>
    <row r="277" ht="14.25" customHeight="1" s="69">
      <c r="A277" s="5" t="inlineStr">
        <is>
          <t>7.20-7.26</t>
        </is>
      </c>
      <c r="B277" s="5" t="inlineStr">
        <is>
          <t>7.20-7.26</t>
        </is>
      </c>
      <c r="C277" s="119" t="n">
        <v>1058280415678</v>
      </c>
      <c r="D277" s="5" t="inlineStr">
        <is>
          <t>巴东牛肉</t>
        </is>
      </c>
      <c r="E277" s="5" t="inlineStr">
        <is>
          <t>【新口味】印尼进口营多捞面巴东炖牛肉味泡面方便面宿舍速食宵夜</t>
        </is>
      </c>
      <c r="F277" s="7" t="n">
        <v>4379.9</v>
      </c>
      <c r="G277" s="7">
        <f>IFERROR(F277/1.13,0)</f>
        <v/>
      </c>
      <c r="H277" s="5" t="n">
        <v>152</v>
      </c>
      <c r="I277" s="8">
        <f>IFERROR(H277/SUMIF($A:$A,A277,$H:$H),0)</f>
        <v/>
      </c>
      <c r="J277" s="9">
        <f>IFERROR(F277/H277,0)</f>
        <v/>
      </c>
      <c r="K277" s="7" t="n">
        <v>687.759122649955</v>
      </c>
      <c r="L277" s="7" t="n">
        <v>4094.49910474485</v>
      </c>
      <c r="M277" s="9">
        <f>IFERROR(L277/K277,0)</f>
        <v/>
      </c>
      <c r="N277" s="7" t="n">
        <v>83.26411817367951</v>
      </c>
      <c r="O277" s="7" t="n">
        <v>194.425980304387</v>
      </c>
      <c r="P277" s="9">
        <f>IFERROR(O277/N277,0)</f>
        <v/>
      </c>
      <c r="Q277" s="7">
        <f>K277+N277</f>
        <v/>
      </c>
      <c r="R277" s="7">
        <f>L277+O277</f>
        <v/>
      </c>
      <c r="S277" s="9">
        <f>IFERROR(R277/Q277,0)</f>
        <v/>
      </c>
      <c r="T277" s="8">
        <f>IFERROR(Q277/SUMIF($A:$A,A277,$Q:$Q),0)</f>
        <v/>
      </c>
      <c r="U277" s="8">
        <f>IFERROR(Q277/F277,0)</f>
        <v/>
      </c>
      <c r="V277" s="7">
        <f>F277-R277</f>
        <v/>
      </c>
      <c r="W277" s="8">
        <f>IFERROR(V277/F277,0)</f>
        <v/>
      </c>
      <c r="X277" s="7">
        <f>IFERROR(VLOOKUP(A277,周报其他费用!$A:$B,2,FALSE)*I277,0)</f>
        <v/>
      </c>
      <c r="Y277" s="7" t="n">
        <v>953.344000000001</v>
      </c>
      <c r="Z277" s="8">
        <f>IFERROR(Y277/G277,0)</f>
        <v/>
      </c>
      <c r="AA277" s="7">
        <f>Y277-K277/1.06</f>
        <v/>
      </c>
      <c r="AB277" s="8">
        <f>IFERROR(AA277/G277,0)</f>
        <v/>
      </c>
      <c r="AC277" s="7">
        <f>Y277-(Q277+X277)/1.06</f>
        <v/>
      </c>
      <c r="AD277" s="8">
        <f>IFERROR(AC277/G277,0)</f>
        <v/>
      </c>
    </row>
    <row r="278" ht="14.25" customHeight="1" s="69">
      <c r="A278" s="5" t="inlineStr">
        <is>
          <t>7.20-7.26</t>
        </is>
      </c>
      <c r="B278" s="5" t="inlineStr">
        <is>
          <t>7.20-7.26</t>
        </is>
      </c>
      <c r="C278" s="119" t="n">
        <v>648600900806</v>
      </c>
      <c r="D278" s="5" t="inlineStr">
        <is>
          <t>30包</t>
        </is>
      </c>
      <c r="E278" s="5" t="inlineStr">
        <is>
          <t>进口营多捞面一整箱30包网红速食方便面宿舍速食泡面干拌面拉面</t>
        </is>
      </c>
      <c r="F278" s="7" t="n">
        <v>6719.46</v>
      </c>
      <c r="G278" s="7">
        <f>IFERROR(F278/1.13,0)</f>
        <v/>
      </c>
      <c r="H278" s="5" t="n">
        <v>99</v>
      </c>
      <c r="I278" s="8">
        <f>IFERROR(H278/SUMIF($A:$A,A278,$H:$H),0)</f>
        <v/>
      </c>
      <c r="J278" s="9">
        <f>IFERROR(F278/H278,0)</f>
        <v/>
      </c>
      <c r="K278" s="7" t="n">
        <v>1736.87211280215</v>
      </c>
      <c r="L278" s="7" t="n">
        <v>7156.73297224709</v>
      </c>
      <c r="M278" s="9">
        <f>IFERROR(L278/K278,0)</f>
        <v/>
      </c>
      <c r="N278" s="7" t="n">
        <v>47.0623276633841</v>
      </c>
      <c r="O278" s="7" t="n">
        <v>109.892945389436</v>
      </c>
      <c r="P278" s="9">
        <f>IFERROR(O278/N278,0)</f>
        <v/>
      </c>
      <c r="Q278" s="7">
        <f>K278+N278</f>
        <v/>
      </c>
      <c r="R278" s="7">
        <f>L278+O278</f>
        <v/>
      </c>
      <c r="S278" s="9">
        <f>IFERROR(R278/Q278,0)</f>
        <v/>
      </c>
      <c r="T278" s="8">
        <f>IFERROR(Q278/SUMIF($A:$A,A278,$Q:$Q),0)</f>
        <v/>
      </c>
      <c r="U278" s="8">
        <f>IFERROR(Q278/F278,0)</f>
        <v/>
      </c>
      <c r="V278" s="7">
        <f>F278-R278</f>
        <v/>
      </c>
      <c r="W278" s="8">
        <f>IFERROR(V278/F278,0)</f>
        <v/>
      </c>
      <c r="X278" s="7">
        <f>IFERROR(VLOOKUP(A278,周报其他费用!$A:$B,2,FALSE)*I278,0)</f>
        <v/>
      </c>
      <c r="Y278" s="7" t="n">
        <v>1276.358</v>
      </c>
      <c r="Z278" s="8">
        <f>IFERROR(Y278/G278,0)</f>
        <v/>
      </c>
      <c r="AA278" s="7">
        <f>Y278-K278/1.06</f>
        <v/>
      </c>
      <c r="AB278" s="8">
        <f>IFERROR(AA278/G278,0)</f>
        <v/>
      </c>
      <c r="AC278" s="7">
        <f>Y278-(Q278+X278)/1.06</f>
        <v/>
      </c>
      <c r="AD278" s="8">
        <f>IFERROR(AC278/G278,0)</f>
        <v/>
      </c>
    </row>
    <row r="279" ht="14.25" customHeight="1" s="69">
      <c r="A279" s="5" t="inlineStr">
        <is>
          <t>7.20-7.26</t>
        </is>
      </c>
      <c r="B279" s="5" t="inlineStr">
        <is>
          <t>7.20-7.26</t>
        </is>
      </c>
      <c r="C279" s="119" t="n">
        <v>649369494424</v>
      </c>
      <c r="D279" s="5" t="inlineStr">
        <is>
          <t>24包经典/牛系列</t>
        </is>
      </c>
      <c r="E279" s="5" t="inlineStr">
        <is>
          <t>营多捞面干拌面一整箱24袋装批发泡面混搭宿舍速食方便面火鸡面</t>
        </is>
      </c>
      <c r="F279" s="7" t="n">
        <v>4014.47</v>
      </c>
      <c r="G279" s="7">
        <f>IFERROR(F279/1.13,0)</f>
        <v/>
      </c>
      <c r="H279" s="5" t="n">
        <v>72</v>
      </c>
      <c r="I279" s="8">
        <f>IFERROR(H279/SUMIF($A:$A,A279,$H:$H),0)</f>
        <v/>
      </c>
      <c r="J279" s="9">
        <f>IFERROR(F279/H279,0)</f>
        <v/>
      </c>
      <c r="K279" s="7" t="n">
        <v>477.892611160848</v>
      </c>
      <c r="L279" s="7" t="n">
        <v>2497.31695016413</v>
      </c>
      <c r="M279" s="9">
        <f>IFERROR(L279/K279,0)</f>
        <v/>
      </c>
      <c r="N279" s="7" t="n">
        <v>41.0286959116682</v>
      </c>
      <c r="O279" s="7" t="n">
        <v>95.80410623694419</v>
      </c>
      <c r="P279" s="9">
        <f>IFERROR(O279/N279,0)</f>
        <v/>
      </c>
      <c r="Q279" s="7">
        <f>K279+N279</f>
        <v/>
      </c>
      <c r="R279" s="7">
        <f>L279+O279</f>
        <v/>
      </c>
      <c r="S279" s="9">
        <f>IFERROR(R279/Q279,0)</f>
        <v/>
      </c>
      <c r="T279" s="8">
        <f>IFERROR(Q279/SUMIF($A:$A,A279,$Q:$Q),0)</f>
        <v/>
      </c>
      <c r="U279" s="8">
        <f>IFERROR(Q279/F279,0)</f>
        <v/>
      </c>
      <c r="V279" s="7">
        <f>F279-R279</f>
        <v/>
      </c>
      <c r="W279" s="8">
        <f>IFERROR(V279/F279,0)</f>
        <v/>
      </c>
      <c r="X279" s="7">
        <f>IFERROR(VLOOKUP(A279,周报其他费用!$A:$B,2,FALSE)*I279,0)</f>
        <v/>
      </c>
      <c r="Y279" s="7" t="n">
        <v>774.703000000001</v>
      </c>
      <c r="Z279" s="8">
        <f>IFERROR(Y279/G279,0)</f>
        <v/>
      </c>
      <c r="AA279" s="7">
        <f>Y279-K279/1.06</f>
        <v/>
      </c>
      <c r="AB279" s="8">
        <f>IFERROR(AA279/G279,0)</f>
        <v/>
      </c>
      <c r="AC279" s="7">
        <f>Y279-(Q279+X279)/1.06</f>
        <v/>
      </c>
      <c r="AD279" s="8">
        <f>IFERROR(AC279/G279,0)</f>
        <v/>
      </c>
    </row>
    <row r="280" ht="14.25" customHeight="1" s="69">
      <c r="A280" s="5" t="inlineStr">
        <is>
          <t>7.20-7.26</t>
        </is>
      </c>
      <c r="B280" s="5" t="inlineStr">
        <is>
          <t>7.20-7.26</t>
        </is>
      </c>
      <c r="C280" s="119" t="n">
        <v>1060999732877</v>
      </c>
      <c r="D280" s="5" t="inlineStr">
        <is>
          <t>原味大包</t>
        </is>
      </c>
      <c r="E280" s="5" t="inlineStr">
        <is>
          <t>indomie印尼进口营多原味大大包129g捞面方便面速食食品宵夜小吃</t>
        </is>
      </c>
      <c r="F280" s="7" t="n">
        <v>2057.03</v>
      </c>
      <c r="G280" s="7">
        <f>IFERROR(F280/1.13,0)</f>
        <v/>
      </c>
      <c r="H280" s="5" t="n">
        <v>71</v>
      </c>
      <c r="I280" s="8">
        <f>IFERROR(H280/SUMIF($A:$A,A280,$H:$H),0)</f>
        <v/>
      </c>
      <c r="J280" s="9">
        <f>IFERROR(F280/H280,0)</f>
        <v/>
      </c>
      <c r="K280" s="7" t="n">
        <v>441.374810504327</v>
      </c>
      <c r="L280" s="7" t="n">
        <v>2613.22654133095</v>
      </c>
      <c r="M280" s="9">
        <f>IFERROR(L280/K280,0)</f>
        <v/>
      </c>
      <c r="N280" s="7" t="n">
        <v>38.6152432109818</v>
      </c>
      <c r="O280" s="7" t="n">
        <v>90.1685705759475</v>
      </c>
      <c r="P280" s="9">
        <f>IFERROR(O280/N280,0)</f>
        <v/>
      </c>
      <c r="Q280" s="7">
        <f>K280+N280</f>
        <v/>
      </c>
      <c r="R280" s="7">
        <f>L280+O280</f>
        <v/>
      </c>
      <c r="S280" s="9">
        <f>IFERROR(R280/Q280,0)</f>
        <v/>
      </c>
      <c r="T280" s="8">
        <f>IFERROR(Q280/SUMIF($A:$A,A280,$Q:$Q),0)</f>
        <v/>
      </c>
      <c r="U280" s="8">
        <f>IFERROR(Q280/F280,0)</f>
        <v/>
      </c>
      <c r="V280" s="7">
        <f>F280-R280</f>
        <v/>
      </c>
      <c r="W280" s="8">
        <f>IFERROR(V280/F280,0)</f>
        <v/>
      </c>
      <c r="X280" s="7">
        <f>IFERROR(VLOOKUP(A280,周报其他费用!$A:$B,2,FALSE)*I280,0)</f>
        <v/>
      </c>
      <c r="Y280" s="7" t="n">
        <v>450.416</v>
      </c>
      <c r="Z280" s="8">
        <f>IFERROR(Y280/G280,0)</f>
        <v/>
      </c>
      <c r="AA280" s="7">
        <f>Y280-K280/1.06</f>
        <v/>
      </c>
      <c r="AB280" s="8">
        <f>IFERROR(AA280/G280,0)</f>
        <v/>
      </c>
      <c r="AC280" s="7">
        <f>Y280-(Q280+X280)/1.06</f>
        <v/>
      </c>
      <c r="AD280" s="8">
        <f>IFERROR(AC280/G280,0)</f>
        <v/>
      </c>
    </row>
    <row r="281" ht="14.25" customHeight="1" s="69">
      <c r="A281" s="5" t="inlineStr">
        <is>
          <t>7.20-7.26</t>
        </is>
      </c>
      <c r="B281" s="5" t="inlineStr">
        <is>
          <t>7.20-7.26</t>
        </is>
      </c>
      <c r="C281" s="119" t="n">
        <v>649014937782</v>
      </c>
      <c r="D281" s="5" t="inlineStr">
        <is>
          <t>原味大包</t>
        </is>
      </c>
      <c r="E281" s="5" t="inlineStr">
        <is>
          <t>indomie印尼进口营多原味大大包129g捞面方便面速食食品宵夜小吃</t>
        </is>
      </c>
      <c r="F281" s="7" t="n">
        <v>3471.15</v>
      </c>
      <c r="G281" s="7">
        <f>IFERROR(F281/1.13,0)</f>
        <v/>
      </c>
      <c r="H281" s="5" t="n">
        <v>62</v>
      </c>
      <c r="I281" s="8">
        <f>IFERROR(H281/SUMIF($A:$A,A281,$H:$H),0)</f>
        <v/>
      </c>
      <c r="J281" s="9">
        <f>IFERROR(F281/H281,0)</f>
        <v/>
      </c>
      <c r="K281" s="7" t="n">
        <v>822.1992091912859</v>
      </c>
      <c r="L281" s="7" t="n">
        <v>3075.51572366458</v>
      </c>
      <c r="M281" s="9">
        <f>IFERROR(L281/K281,0)</f>
        <v/>
      </c>
      <c r="N281" s="7" t="n">
        <v>33.7883378096091</v>
      </c>
      <c r="O281" s="7" t="n">
        <v>78.89749925395409</v>
      </c>
      <c r="P281" s="9">
        <f>IFERROR(O281/N281,0)</f>
        <v/>
      </c>
      <c r="Q281" s="7">
        <f>K281+N281</f>
        <v/>
      </c>
      <c r="R281" s="7">
        <f>L281+O281</f>
        <v/>
      </c>
      <c r="S281" s="9">
        <f>IFERROR(R281/Q281,0)</f>
        <v/>
      </c>
      <c r="T281" s="8">
        <f>IFERROR(Q281/SUMIF($A:$A,A281,$Q:$Q),0)</f>
        <v/>
      </c>
      <c r="U281" s="8">
        <f>IFERROR(Q281/F281,0)</f>
        <v/>
      </c>
      <c r="V281" s="7">
        <f>F281-R281</f>
        <v/>
      </c>
      <c r="W281" s="8">
        <f>IFERROR(V281/F281,0)</f>
        <v/>
      </c>
      <c r="X281" s="7">
        <f>IFERROR(VLOOKUP(A281,周报其他费用!$A:$B,2,FALSE)*I281,0)</f>
        <v/>
      </c>
      <c r="Y281" s="7" t="n">
        <v>663.587</v>
      </c>
      <c r="Z281" s="8">
        <f>IFERROR(Y281/G281,0)</f>
        <v/>
      </c>
      <c r="AA281" s="7">
        <f>Y281-K281/1.06</f>
        <v/>
      </c>
      <c r="AB281" s="8">
        <f>IFERROR(AA281/G281,0)</f>
        <v/>
      </c>
      <c r="AC281" s="7">
        <f>Y281-(Q281+X281)/1.06</f>
        <v/>
      </c>
      <c r="AD281" s="8">
        <f>IFERROR(AC281/G281,0)</f>
        <v/>
      </c>
    </row>
    <row r="282" ht="14.25" customHeight="1" s="69">
      <c r="A282" s="5" t="inlineStr">
        <is>
          <t>7.20-7.26</t>
        </is>
      </c>
      <c r="B282" s="5" t="inlineStr">
        <is>
          <t>7.20-7.26</t>
        </is>
      </c>
      <c r="C282" s="119" t="n">
        <v>648598580775</v>
      </c>
      <c r="D282" s="5" t="inlineStr">
        <is>
          <t>原味大包</t>
        </is>
      </c>
      <c r="E282" s="5" t="inlineStr">
        <is>
          <t>印尼进口大大包营多原味捞面5包干拌面速食超大包方便面速食宵夜</t>
        </is>
      </c>
      <c r="F282" s="7" t="n">
        <v>2089.77</v>
      </c>
      <c r="G282" s="7">
        <f>IFERROR(F282/1.13,0)</f>
        <v/>
      </c>
      <c r="H282" s="5" t="n">
        <v>57</v>
      </c>
      <c r="I282" s="8">
        <f>IFERROR(H282/SUMIF($A:$A,A282,$H:$H),0)</f>
        <v/>
      </c>
      <c r="J282" s="9">
        <f>IFERROR(F282/H282,0)</f>
        <v/>
      </c>
      <c r="K282" s="7" t="n">
        <v>400.237508206506</v>
      </c>
      <c r="L282" s="7" t="n">
        <v>1430.6201104148</v>
      </c>
      <c r="M282" s="9">
        <f>IFERROR(L282/K282,0)</f>
        <v/>
      </c>
      <c r="N282" s="7" t="n">
        <v>30.1681587585795</v>
      </c>
      <c r="O282" s="7" t="n">
        <v>70.444195762459</v>
      </c>
      <c r="P282" s="9">
        <f>IFERROR(O282/N282,0)</f>
        <v/>
      </c>
      <c r="Q282" s="7">
        <f>K282+N282</f>
        <v/>
      </c>
      <c r="R282" s="7">
        <f>L282+O282</f>
        <v/>
      </c>
      <c r="S282" s="9">
        <f>IFERROR(R282/Q282,0)</f>
        <v/>
      </c>
      <c r="T282" s="8">
        <f>IFERROR(Q282/SUMIF($A:$A,A282,$Q:$Q),0)</f>
        <v/>
      </c>
      <c r="U282" s="8">
        <f>IFERROR(Q282/F282,0)</f>
        <v/>
      </c>
      <c r="V282" s="7">
        <f>F282-R282</f>
        <v/>
      </c>
      <c r="W282" s="8">
        <f>IFERROR(V282/F282,0)</f>
        <v/>
      </c>
      <c r="X282" s="7">
        <f>IFERROR(VLOOKUP(A282,周报其他费用!$A:$B,2,FALSE)*I282,0)</f>
        <v/>
      </c>
      <c r="Y282" s="7" t="n">
        <v>355.677</v>
      </c>
      <c r="Z282" s="8">
        <f>IFERROR(Y282/G282,0)</f>
        <v/>
      </c>
      <c r="AA282" s="7">
        <f>Y282-K282/1.06</f>
        <v/>
      </c>
      <c r="AB282" s="8">
        <f>IFERROR(AA282/G282,0)</f>
        <v/>
      </c>
      <c r="AC282" s="7">
        <f>Y282-(Q282+X282)/1.06</f>
        <v/>
      </c>
      <c r="AD282" s="8">
        <f>IFERROR(AC282/G282,0)</f>
        <v/>
      </c>
    </row>
    <row r="283" ht="14.25" customHeight="1" s="69">
      <c r="A283" s="5" t="inlineStr">
        <is>
          <t>7.20-7.26</t>
        </is>
      </c>
      <c r="B283" s="5" t="inlineStr">
        <is>
          <t>7.20-7.26</t>
        </is>
      </c>
      <c r="C283" s="119" t="n">
        <v>648681860568</v>
      </c>
      <c r="D283" s="5" t="inlineStr">
        <is>
          <t>杯面次链接</t>
        </is>
      </c>
      <c r="E283" s="5" t="inlineStr">
        <is>
          <t>营多捞面杯装方便面泡面速食干拌面原味整箱批发印尼进口桶装拌面</t>
        </is>
      </c>
      <c r="F283" s="7" t="n">
        <v>1154.67</v>
      </c>
      <c r="G283" s="7">
        <f>IFERROR(F283/1.13,0)</f>
        <v/>
      </c>
      <c r="H283" s="5" t="n">
        <v>49</v>
      </c>
      <c r="I283" s="8">
        <f>IFERROR(H283/SUMIF($A:$A,A283,$H:$H),0)</f>
        <v/>
      </c>
      <c r="J283" s="9">
        <f>IFERROR(F283/H283,0)</f>
        <v/>
      </c>
      <c r="K283" s="7" t="n">
        <v>147.802757385855</v>
      </c>
      <c r="L283" s="7" t="n">
        <v>712.7070993733209</v>
      </c>
      <c r="M283" s="9">
        <f>IFERROR(L283/K283,0)</f>
        <v/>
      </c>
      <c r="N283" s="7" t="n">
        <v>27.1513428827216</v>
      </c>
      <c r="O283" s="7" t="n">
        <v>63.3997761862131</v>
      </c>
      <c r="P283" s="9">
        <f>IFERROR(O283/N283,0)</f>
        <v/>
      </c>
      <c r="Q283" s="7">
        <f>K283+N283</f>
        <v/>
      </c>
      <c r="R283" s="7">
        <f>L283+O283</f>
        <v/>
      </c>
      <c r="S283" s="9">
        <f>IFERROR(R283/Q283,0)</f>
        <v/>
      </c>
      <c r="T283" s="8">
        <f>IFERROR(Q283/SUMIF($A:$A,A283,$Q:$Q),0)</f>
        <v/>
      </c>
      <c r="U283" s="8">
        <f>IFERROR(Q283/F283,0)</f>
        <v/>
      </c>
      <c r="V283" s="7">
        <f>F283-R283</f>
        <v/>
      </c>
      <c r="W283" s="8">
        <f>IFERROR(V283/F283,0)</f>
        <v/>
      </c>
      <c r="X283" s="7">
        <f>IFERROR(VLOOKUP(A283,周报其他费用!$A:$B,2,FALSE)*I283,0)</f>
        <v/>
      </c>
      <c r="Y283" s="7" t="n">
        <v>81.669</v>
      </c>
      <c r="Z283" s="8">
        <f>IFERROR(Y283/G283,0)</f>
        <v/>
      </c>
      <c r="AA283" s="7">
        <f>Y283-K283/1.06</f>
        <v/>
      </c>
      <c r="AB283" s="8">
        <f>IFERROR(AA283/G283,0)</f>
        <v/>
      </c>
      <c r="AC283" s="7">
        <f>Y283-(Q283+X283)/1.06</f>
        <v/>
      </c>
      <c r="AD283" s="8">
        <f>IFERROR(AC283/G283,0)</f>
        <v/>
      </c>
    </row>
    <row r="284" ht="14.25" customHeight="1" s="69">
      <c r="A284" s="5" t="inlineStr">
        <is>
          <t>7.20-7.26</t>
        </is>
      </c>
      <c r="B284" s="5" t="inlineStr">
        <is>
          <t>7.20-7.26</t>
        </is>
      </c>
      <c r="C284" s="119" t="n">
        <v>1013887677295</v>
      </c>
      <c r="D284" s="5" t="inlineStr">
        <is>
          <t>原味大包</t>
        </is>
      </c>
      <c r="E284" s="5" t="inlineStr">
        <is>
          <t>indomie印尼进口营多原味大大包129g捞面方便面速食食品宵夜小吃</t>
        </is>
      </c>
      <c r="F284" s="7" t="n">
        <v>1044.58</v>
      </c>
      <c r="G284" s="7">
        <f>IFERROR(F284/1.13,0)</f>
        <v/>
      </c>
      <c r="H284" s="5" t="n">
        <v>35</v>
      </c>
      <c r="I284" s="8">
        <f>IFERROR(H284/SUMIF($A:$A,A284,$H:$H),0)</f>
        <v/>
      </c>
      <c r="J284" s="9">
        <f>IFERROR(F284/H284,0)</f>
        <v/>
      </c>
      <c r="K284" s="7" t="n">
        <v>338.002405252164</v>
      </c>
      <c r="L284" s="7" t="n">
        <v>691.003270665473</v>
      </c>
      <c r="M284" s="9">
        <f>IFERROR(L284/K284,0)</f>
        <v/>
      </c>
      <c r="N284" s="7" t="n">
        <v>19.3076216054909</v>
      </c>
      <c r="O284" s="7" t="n">
        <v>45.0842852879737</v>
      </c>
      <c r="P284" s="9">
        <f>IFERROR(O284/N284,0)</f>
        <v/>
      </c>
      <c r="Q284" s="7">
        <f>K284+N284</f>
        <v/>
      </c>
      <c r="R284" s="7">
        <f>L284+O284</f>
        <v/>
      </c>
      <c r="S284" s="9">
        <f>IFERROR(R284/Q284,0)</f>
        <v/>
      </c>
      <c r="T284" s="8">
        <f>IFERROR(Q284/SUMIF($A:$A,A284,$Q:$Q),0)</f>
        <v/>
      </c>
      <c r="U284" s="8">
        <f>IFERROR(Q284/F284,0)</f>
        <v/>
      </c>
      <c r="V284" s="7">
        <f>F284-R284</f>
        <v/>
      </c>
      <c r="W284" s="8">
        <f>IFERROR(V284/F284,0)</f>
        <v/>
      </c>
      <c r="X284" s="7">
        <f>IFERROR(VLOOKUP(A284,周报其他费用!$A:$B,2,FALSE)*I284,0)</f>
        <v/>
      </c>
      <c r="Y284" s="7" t="n">
        <v>132.346</v>
      </c>
      <c r="Z284" s="8">
        <f>IFERROR(Y284/G284,0)</f>
        <v/>
      </c>
      <c r="AA284" s="7">
        <f>Y284-K284/1.06</f>
        <v/>
      </c>
      <c r="AB284" s="8">
        <f>IFERROR(AA284/G284,0)</f>
        <v/>
      </c>
      <c r="AC284" s="7">
        <f>Y284-(Q284+X284)/1.06</f>
        <v/>
      </c>
      <c r="AD284" s="8">
        <f>IFERROR(AC284/G284,0)</f>
        <v/>
      </c>
    </row>
    <row r="285" ht="14.25" customHeight="1" s="69">
      <c r="A285" s="5" t="inlineStr">
        <is>
          <t>7.20-7.26</t>
        </is>
      </c>
      <c r="B285" s="5" t="inlineStr">
        <is>
          <t>7.20-7.26</t>
        </is>
      </c>
      <c r="C285" s="119" t="n">
        <v>929504658691</v>
      </c>
      <c r="D285" s="5" t="inlineStr">
        <is>
          <t>巴东牛肉</t>
        </is>
      </c>
      <c r="E285" s="5" t="inlineStr">
        <is>
          <t>营多进口新口味巴东炖牛肉味捞面印尼料理方便面泡面捞面夜宵速食</t>
        </is>
      </c>
      <c r="F285" s="7" t="n">
        <v>652.61</v>
      </c>
      <c r="G285" s="7">
        <f>IFERROR(F285/1.13,0)</f>
        <v/>
      </c>
      <c r="H285" s="5" t="n">
        <v>30</v>
      </c>
      <c r="I285" s="8">
        <f>IFERROR(H285/SUMIF($A:$A,A285,$H:$H),0)</f>
        <v/>
      </c>
      <c r="J285" s="9">
        <f>IFERROR(F285/H285,0)</f>
        <v/>
      </c>
      <c r="K285" s="7" t="n">
        <v>117.583754103253</v>
      </c>
      <c r="L285" s="7" t="n">
        <v>650.365055207401</v>
      </c>
      <c r="M285" s="9">
        <f>IFERROR(L285/K285,0)</f>
        <v/>
      </c>
      <c r="N285" s="7" t="n">
        <v>15.0840793792898</v>
      </c>
      <c r="O285" s="7" t="n">
        <v>35.2220978812295</v>
      </c>
      <c r="P285" s="9">
        <f>IFERROR(O285/N285,0)</f>
        <v/>
      </c>
      <c r="Q285" s="7">
        <f>K285+N285</f>
        <v/>
      </c>
      <c r="R285" s="7">
        <f>L285+O285</f>
        <v/>
      </c>
      <c r="S285" s="9">
        <f>IFERROR(R285/Q285,0)</f>
        <v/>
      </c>
      <c r="T285" s="8">
        <f>IFERROR(Q285/SUMIF($A:$A,A285,$Q:$Q),0)</f>
        <v/>
      </c>
      <c r="U285" s="8">
        <f>IFERROR(Q285/F285,0)</f>
        <v/>
      </c>
      <c r="V285" s="7">
        <f>F285-R285</f>
        <v/>
      </c>
      <c r="W285" s="8">
        <f>IFERROR(V285/F285,0)</f>
        <v/>
      </c>
      <c r="X285" s="7">
        <f>IFERROR(VLOOKUP(A285,周报其他费用!$A:$B,2,FALSE)*I285,0)</f>
        <v/>
      </c>
      <c r="Y285" s="7" t="n">
        <v>84.169</v>
      </c>
      <c r="Z285" s="8">
        <f>IFERROR(Y285/G285,0)</f>
        <v/>
      </c>
      <c r="AA285" s="7">
        <f>Y285-K285/1.06</f>
        <v/>
      </c>
      <c r="AB285" s="8">
        <f>IFERROR(AA285/G285,0)</f>
        <v/>
      </c>
      <c r="AC285" s="7">
        <f>Y285-(Q285+X285)/1.06</f>
        <v/>
      </c>
      <c r="AD285" s="8">
        <f>IFERROR(AC285/G285,0)</f>
        <v/>
      </c>
    </row>
    <row r="286" ht="14.25" customHeight="1" s="69">
      <c r="A286" s="5" t="inlineStr">
        <is>
          <t>7.20-7.26</t>
        </is>
      </c>
      <c r="B286" s="5" t="inlineStr">
        <is>
          <t>7.20-7.26</t>
        </is>
      </c>
      <c r="C286" s="119" t="n">
        <v>744317232690</v>
      </c>
      <c r="D286" s="5" t="inlineStr">
        <is>
          <t>多规格</t>
        </is>
      </c>
      <c r="E286" s="5" t="inlineStr">
        <is>
          <t>营多捞面汤面清香牛肉味方便面泡面速食食品泡面拉面整箱旅行宿舍</t>
        </is>
      </c>
      <c r="F286" s="7" t="n">
        <v>727.99</v>
      </c>
      <c r="G286" s="7">
        <f>IFERROR(F286/1.13,0)</f>
        <v/>
      </c>
      <c r="H286" s="5" t="n">
        <v>26</v>
      </c>
      <c r="I286" s="8">
        <f>IFERROR(H286/SUMIF($A:$A,A286,$H:$H),0)</f>
        <v/>
      </c>
      <c r="J286" s="9">
        <f>IFERROR(F286/H286,0)</f>
        <v/>
      </c>
      <c r="K286" s="7" t="n">
        <v>62.9537541032528</v>
      </c>
      <c r="L286" s="7" t="n">
        <v>560.375055207401</v>
      </c>
      <c r="M286" s="9">
        <f>IFERROR(L286/K286,0)</f>
        <v/>
      </c>
      <c r="N286" s="7" t="n">
        <v>15.0840793792898</v>
      </c>
      <c r="O286" s="7" t="n">
        <v>35.2220978812295</v>
      </c>
      <c r="P286" s="9">
        <f>IFERROR(O286/N286,0)</f>
        <v/>
      </c>
      <c r="Q286" s="7">
        <f>K286+N286</f>
        <v/>
      </c>
      <c r="R286" s="7">
        <f>L286+O286</f>
        <v/>
      </c>
      <c r="S286" s="9">
        <f>IFERROR(R286/Q286,0)</f>
        <v/>
      </c>
      <c r="T286" s="8">
        <f>IFERROR(Q286/SUMIF($A:$A,A286,$Q:$Q),0)</f>
        <v/>
      </c>
      <c r="U286" s="8">
        <f>IFERROR(Q286/F286,0)</f>
        <v/>
      </c>
      <c r="V286" s="7">
        <f>F286-R286</f>
        <v/>
      </c>
      <c r="W286" s="8">
        <f>IFERROR(V286/F286,0)</f>
        <v/>
      </c>
      <c r="X286" s="7">
        <f>IFERROR(VLOOKUP(A286,周报其他费用!$A:$B,2,FALSE)*I286,0)</f>
        <v/>
      </c>
      <c r="Y286" s="7" t="n">
        <v>102.862</v>
      </c>
      <c r="Z286" s="8">
        <f>IFERROR(Y286/G286,0)</f>
        <v/>
      </c>
      <c r="AA286" s="7">
        <f>Y286-K286/1.06</f>
        <v/>
      </c>
      <c r="AB286" s="8">
        <f>IFERROR(AA286/G286,0)</f>
        <v/>
      </c>
      <c r="AC286" s="7">
        <f>Y286-(Q286+X286)/1.06</f>
        <v/>
      </c>
      <c r="AD286" s="8">
        <f>IFERROR(AC286/G286,0)</f>
        <v/>
      </c>
    </row>
    <row r="287" ht="14.25" customHeight="1" s="69">
      <c r="A287" s="5" t="inlineStr">
        <is>
          <t>7.20-7.26</t>
        </is>
      </c>
      <c r="B287" s="5" t="inlineStr">
        <is>
          <t>7.20-7.26</t>
        </is>
      </c>
      <c r="C287" s="119" t="n">
        <v>969423151512</v>
      </c>
      <c r="D287" s="5" t="inlineStr">
        <is>
          <t>日韩混搭</t>
        </is>
      </c>
      <c r="E287" s="5" t="inlineStr">
        <is>
          <t>营多捞面甜辣炸鸡火鸡面辣蘑菇泡面方便面速食干拌面宿舍宵夜旅行</t>
        </is>
      </c>
      <c r="F287" s="7" t="n">
        <v>538.1900000000001</v>
      </c>
      <c r="G287" s="7">
        <f>IFERROR(F287/1.13,0)</f>
        <v/>
      </c>
      <c r="H287" s="5" t="n">
        <v>26</v>
      </c>
      <c r="I287" s="8">
        <f>IFERROR(H287/SUMIF($A:$A,A287,$H:$H),0)</f>
        <v/>
      </c>
      <c r="J287" s="9">
        <f>IFERROR(F287/H287,0)</f>
        <v/>
      </c>
      <c r="K287" s="7" t="n">
        <v>79.1098537749926</v>
      </c>
      <c r="L287" s="7" t="n">
        <v>247.539850790809</v>
      </c>
      <c r="M287" s="9">
        <f>IFERROR(L287/K287,0)</f>
        <v/>
      </c>
      <c r="N287" s="7" t="n">
        <v>13.8773530289466</v>
      </c>
      <c r="O287" s="7" t="n">
        <v>32.4043300507311</v>
      </c>
      <c r="P287" s="9">
        <f>IFERROR(O287/N287,0)</f>
        <v/>
      </c>
      <c r="Q287" s="7">
        <f>K287+N287</f>
        <v/>
      </c>
      <c r="R287" s="7">
        <f>L287+O287</f>
        <v/>
      </c>
      <c r="S287" s="9">
        <f>IFERROR(R287/Q287,0)</f>
        <v/>
      </c>
      <c r="T287" s="8">
        <f>IFERROR(Q287/SUMIF($A:$A,A287,$Q:$Q),0)</f>
        <v/>
      </c>
      <c r="U287" s="8">
        <f>IFERROR(Q287/F287,0)</f>
        <v/>
      </c>
      <c r="V287" s="7">
        <f>F287-R287</f>
        <v/>
      </c>
      <c r="W287" s="8">
        <f>IFERROR(V287/F287,0)</f>
        <v/>
      </c>
      <c r="X287" s="7">
        <f>IFERROR(VLOOKUP(A287,周报其他费用!$A:$B,2,FALSE)*I287,0)</f>
        <v/>
      </c>
      <c r="Y287" s="7" t="n">
        <v>99.851</v>
      </c>
      <c r="Z287" s="8">
        <f>IFERROR(Y287/G287,0)</f>
        <v/>
      </c>
      <c r="AA287" s="7">
        <f>Y287-K287/1.06</f>
        <v/>
      </c>
      <c r="AB287" s="8">
        <f>IFERROR(AA287/G287,0)</f>
        <v/>
      </c>
      <c r="AC287" s="7">
        <f>Y287-(Q287+X287)/1.06</f>
        <v/>
      </c>
      <c r="AD287" s="8">
        <f>IFERROR(AC287/G287,0)</f>
        <v/>
      </c>
    </row>
    <row r="288" ht="14.25" customHeight="1" s="69">
      <c r="A288" s="5" t="inlineStr">
        <is>
          <t>7.20-7.26</t>
        </is>
      </c>
      <c r="B288" s="5" t="inlineStr">
        <is>
          <t>7.20-7.26</t>
        </is>
      </c>
      <c r="C288" s="119" t="n">
        <v>1059563993918</v>
      </c>
      <c r="D288" s="5" t="inlineStr">
        <is>
          <t>巴东牛肉</t>
        </is>
      </c>
      <c r="E288" s="5" t="inlineStr">
        <is>
          <t>营多进口新口味巴东炖牛肉味捞面印尼料理方便面泡面捞面夜宵速食</t>
        </is>
      </c>
      <c r="F288" s="7" t="n">
        <v>248.5</v>
      </c>
      <c r="G288" s="7">
        <f>IFERROR(F288/1.13,0)</f>
        <v/>
      </c>
      <c r="H288" s="5" t="n">
        <v>15</v>
      </c>
      <c r="I288" s="8">
        <f>IFERROR(H288/SUMIF($A:$A,A288,$H:$H),0)</f>
        <v/>
      </c>
      <c r="J288" s="9">
        <f>IFERROR(F288/H288,0)</f>
        <v/>
      </c>
      <c r="K288" s="7" t="n">
        <v>35.7873022978216</v>
      </c>
      <c r="L288" s="7" t="n">
        <v>223.526430916144</v>
      </c>
      <c r="M288" s="9">
        <f>IFERROR(L288/K288,0)</f>
        <v/>
      </c>
      <c r="N288" s="7" t="n">
        <v>8.447084452402271</v>
      </c>
      <c r="O288" s="7" t="n">
        <v>19.7243748134885</v>
      </c>
      <c r="P288" s="9">
        <f>IFERROR(O288/N288,0)</f>
        <v/>
      </c>
      <c r="Q288" s="7">
        <f>K288+N288</f>
        <v/>
      </c>
      <c r="R288" s="7">
        <f>L288+O288</f>
        <v/>
      </c>
      <c r="S288" s="9">
        <f>IFERROR(R288/Q288,0)</f>
        <v/>
      </c>
      <c r="T288" s="8">
        <f>IFERROR(Q288/SUMIF($A:$A,A288,$Q:$Q),0)</f>
        <v/>
      </c>
      <c r="U288" s="8">
        <f>IFERROR(Q288/F288,0)</f>
        <v/>
      </c>
      <c r="V288" s="7">
        <f>F288-R288</f>
        <v/>
      </c>
      <c r="W288" s="8">
        <f>IFERROR(V288/F288,0)</f>
        <v/>
      </c>
      <c r="X288" s="7">
        <f>IFERROR(VLOOKUP(A288,周报其他费用!$A:$B,2,FALSE)*I288,0)</f>
        <v/>
      </c>
      <c r="Y288" s="7" t="n">
        <v>21.61</v>
      </c>
      <c r="Z288" s="8">
        <f>IFERROR(Y288/G288,0)</f>
        <v/>
      </c>
      <c r="AA288" s="7">
        <f>Y288-K288/1.06</f>
        <v/>
      </c>
      <c r="AB288" s="8">
        <f>IFERROR(AA288/G288,0)</f>
        <v/>
      </c>
      <c r="AC288" s="7">
        <f>Y288-(Q288+X288)/1.06</f>
        <v/>
      </c>
      <c r="AD288" s="8">
        <f>IFERROR(AC288/G288,0)</f>
        <v/>
      </c>
    </row>
    <row r="289" ht="14.25" customHeight="1" s="69">
      <c r="A289" s="5" t="inlineStr">
        <is>
          <t>7.20-7.26</t>
        </is>
      </c>
      <c r="B289" s="5" t="inlineStr">
        <is>
          <t>7.20-7.26</t>
        </is>
      </c>
      <c r="C289" s="119" t="n">
        <v>735014804839</v>
      </c>
      <c r="D289" s="5" t="inlineStr">
        <is>
          <t>24/30包</t>
        </is>
      </c>
      <c r="E289" s="5" t="inlineStr">
        <is>
          <t>进口营多捞面多口味Indomie网红方便面干拌面泡面30包整箱批发面</t>
        </is>
      </c>
      <c r="F289" s="7" t="n">
        <v>1037.08</v>
      </c>
      <c r="G289" s="7">
        <f>IFERROR(F289/1.13,0)</f>
        <v/>
      </c>
      <c r="H289" s="5" t="n">
        <v>15</v>
      </c>
      <c r="I289" s="8">
        <f>IFERROR(H289/SUMIF($A:$A,A289,$H:$H),0)</f>
        <v/>
      </c>
      <c r="J289" s="9">
        <f>IFERROR(F289/H289,0)</f>
        <v/>
      </c>
      <c r="K289" s="7" t="n">
        <v>230.237302297822</v>
      </c>
      <c r="L289" s="7" t="n">
        <v>847.666430916144</v>
      </c>
      <c r="M289" s="9">
        <f>IFERROR(L289/K289,0)</f>
        <v/>
      </c>
      <c r="N289" s="7" t="n">
        <v>8.447084452402271</v>
      </c>
      <c r="O289" s="7" t="n">
        <v>19.7243748134885</v>
      </c>
      <c r="P289" s="9">
        <f>IFERROR(O289/N289,0)</f>
        <v/>
      </c>
      <c r="Q289" s="7">
        <f>K289+N289</f>
        <v/>
      </c>
      <c r="R289" s="7">
        <f>L289+O289</f>
        <v/>
      </c>
      <c r="S289" s="9">
        <f>IFERROR(R289/Q289,0)</f>
        <v/>
      </c>
      <c r="T289" s="8">
        <f>IFERROR(Q289/SUMIF($A:$A,A289,$Q:$Q),0)</f>
        <v/>
      </c>
      <c r="U289" s="8">
        <f>IFERROR(Q289/F289,0)</f>
        <v/>
      </c>
      <c r="V289" s="7">
        <f>F289-R289</f>
        <v/>
      </c>
      <c r="W289" s="8">
        <f>IFERROR(V289/F289,0)</f>
        <v/>
      </c>
      <c r="X289" s="7">
        <f>IFERROR(VLOOKUP(A289,周报其他费用!$A:$B,2,FALSE)*I289,0)</f>
        <v/>
      </c>
      <c r="Y289" s="7" t="n">
        <v>210.279</v>
      </c>
      <c r="Z289" s="8">
        <f>IFERROR(Y289/G289,0)</f>
        <v/>
      </c>
      <c r="AA289" s="7">
        <f>Y289-K289/1.06</f>
        <v/>
      </c>
      <c r="AB289" s="8">
        <f>IFERROR(AA289/G289,0)</f>
        <v/>
      </c>
      <c r="AC289" s="7">
        <f>Y289-(Q289+X289)/1.06</f>
        <v/>
      </c>
      <c r="AD289" s="8">
        <f>IFERROR(AC289/G289,0)</f>
        <v/>
      </c>
    </row>
    <row r="290" ht="14.25" customHeight="1" s="69">
      <c r="A290" s="5" t="inlineStr">
        <is>
          <t>7.20-7.26</t>
        </is>
      </c>
      <c r="B290" s="5" t="inlineStr">
        <is>
          <t>7.20-7.26</t>
        </is>
      </c>
      <c r="C290" s="119" t="n">
        <v>766165464414</v>
      </c>
      <c r="D290" s="5" t="inlineStr">
        <is>
          <t>12包</t>
        </is>
      </c>
      <c r="E290" s="5" t="inlineStr">
        <is>
          <t>营多印尼进口营多捞面方便面火鸡面干拌面12包宿舍速食泡面夜宵</t>
        </is>
      </c>
      <c r="F290" s="7" t="n">
        <v>435.57</v>
      </c>
      <c r="G290" s="7">
        <f>IFERROR(F290/1.13,0)</f>
        <v/>
      </c>
      <c r="H290" s="5" t="n">
        <v>15</v>
      </c>
      <c r="I290" s="8">
        <f>IFERROR(H290/SUMIF($A:$A,A290,$H:$H),0)</f>
        <v/>
      </c>
      <c r="J290" s="9">
        <f>IFERROR(F290/H290,0)</f>
        <v/>
      </c>
      <c r="K290" s="7" t="n">
        <v>12.3503521336915</v>
      </c>
      <c r="L290" s="7" t="n">
        <v>65.07382870784831</v>
      </c>
      <c r="M290" s="9">
        <f>IFERROR(L290/K290,0)</f>
        <v/>
      </c>
      <c r="N290" s="7" t="n">
        <v>7.84372127723068</v>
      </c>
      <c r="O290" s="7" t="n">
        <v>18.3154908982393</v>
      </c>
      <c r="P290" s="9">
        <f>IFERROR(O290/N290,0)</f>
        <v/>
      </c>
      <c r="Q290" s="7">
        <f>K290+N290</f>
        <v/>
      </c>
      <c r="R290" s="7">
        <f>L290+O290</f>
        <v/>
      </c>
      <c r="S290" s="9">
        <f>IFERROR(R290/Q290,0)</f>
        <v/>
      </c>
      <c r="T290" s="8">
        <f>IFERROR(Q290/SUMIF($A:$A,A290,$Q:$Q),0)</f>
        <v/>
      </c>
      <c r="U290" s="8">
        <f>IFERROR(Q290/F290,0)</f>
        <v/>
      </c>
      <c r="V290" s="7">
        <f>F290-R290</f>
        <v/>
      </c>
      <c r="W290" s="8">
        <f>IFERROR(V290/F290,0)</f>
        <v/>
      </c>
      <c r="X290" s="7">
        <f>IFERROR(VLOOKUP(A290,周报其他费用!$A:$B,2,FALSE)*I290,0)</f>
        <v/>
      </c>
      <c r="Y290" s="7" t="n">
        <v>60.107</v>
      </c>
      <c r="Z290" s="8">
        <f>IFERROR(Y290/G290,0)</f>
        <v/>
      </c>
      <c r="AA290" s="7">
        <f>Y290-K290/1.06</f>
        <v/>
      </c>
      <c r="AB290" s="8">
        <f>IFERROR(AA290/G290,0)</f>
        <v/>
      </c>
      <c r="AC290" s="7">
        <f>Y290-(Q290+X290)/1.06</f>
        <v/>
      </c>
      <c r="AD290" s="8">
        <f>IFERROR(AC290/G290,0)</f>
        <v/>
      </c>
    </row>
    <row r="291" ht="14.25" customHeight="1" s="69">
      <c r="A291" s="5" t="inlineStr">
        <is>
          <t>7.20-7.26</t>
        </is>
      </c>
      <c r="B291" s="5" t="inlineStr">
        <is>
          <t>7.20-7.26</t>
        </is>
      </c>
      <c r="C291" s="119" t="n">
        <v>886856687067</v>
      </c>
      <c r="D291" s="5" t="inlineStr">
        <is>
          <t>大骨</t>
        </is>
      </c>
      <c r="E291" s="5" t="inlineStr">
        <is>
          <t>营多捞面牛系列大骨牛肉味方便面食品泡面拉面汤面宿舍宵夜旅行</t>
        </is>
      </c>
      <c r="F291" s="7" t="n">
        <v>241.93</v>
      </c>
      <c r="G291" s="7">
        <f>IFERROR(F291/1.13,0)</f>
        <v/>
      </c>
      <c r="H291" s="5" t="n">
        <v>13</v>
      </c>
      <c r="I291" s="8">
        <f>IFERROR(H291/SUMIF($A:$A,A291,$H:$H),0)</f>
        <v/>
      </c>
      <c r="J291" s="9">
        <f>IFERROR(F291/H291,0)</f>
        <v/>
      </c>
      <c r="K291" s="7" t="n">
        <v>10.4964518054312</v>
      </c>
      <c r="L291" s="7" t="n">
        <v>23.5986242912563</v>
      </c>
      <c r="M291" s="9">
        <f>IFERROR(L291/K291,0)</f>
        <v/>
      </c>
      <c r="N291" s="7" t="n">
        <v>6.6369949268875</v>
      </c>
      <c r="O291" s="7" t="n">
        <v>15.497723067741</v>
      </c>
      <c r="P291" s="9">
        <f>IFERROR(O291/N291,0)</f>
        <v/>
      </c>
      <c r="Q291" s="7">
        <f>K291+N291</f>
        <v/>
      </c>
      <c r="R291" s="7">
        <f>L291+O291</f>
        <v/>
      </c>
      <c r="S291" s="9">
        <f>IFERROR(R291/Q291,0)</f>
        <v/>
      </c>
      <c r="T291" s="8">
        <f>IFERROR(Q291/SUMIF($A:$A,A291,$Q:$Q),0)</f>
        <v/>
      </c>
      <c r="U291" s="8">
        <f>IFERROR(Q291/F291,0)</f>
        <v/>
      </c>
      <c r="V291" s="7">
        <f>F291-R291</f>
        <v/>
      </c>
      <c r="W291" s="8">
        <f>IFERROR(V291/F291,0)</f>
        <v/>
      </c>
      <c r="X291" s="7">
        <f>IFERROR(VLOOKUP(A291,周报其他费用!$A:$B,2,FALSE)*I291,0)</f>
        <v/>
      </c>
      <c r="Y291" s="7" t="n">
        <v>31.483</v>
      </c>
      <c r="Z291" s="8">
        <f>IFERROR(Y291/G291,0)</f>
        <v/>
      </c>
      <c r="AA291" s="7">
        <f>Y291-K291/1.06</f>
        <v/>
      </c>
      <c r="AB291" s="8">
        <f>IFERROR(AA291/G291,0)</f>
        <v/>
      </c>
      <c r="AC291" s="7">
        <f>Y291-(Q291+X291)/1.06</f>
        <v/>
      </c>
      <c r="AD291" s="8">
        <f>IFERROR(AC291/G291,0)</f>
        <v/>
      </c>
    </row>
    <row r="292" ht="14.25" customHeight="1" s="69">
      <c r="A292" s="5" t="inlineStr">
        <is>
          <t>7.20-7.26</t>
        </is>
      </c>
      <c r="B292" s="5" t="inlineStr">
        <is>
          <t>7.20-7.26</t>
        </is>
      </c>
      <c r="C292" s="119" t="n">
        <v>898076297965</v>
      </c>
      <c r="D292" s="5" t="inlineStr">
        <is>
          <t>番茄牛肉</t>
        </is>
      </c>
      <c r="E292" s="5" t="inlineStr">
        <is>
          <t>进口正品意面风味奶香番茄牛肉味意式拌面营多捞面早餐儿童宝妈餐</t>
        </is>
      </c>
      <c r="F292" s="7" t="n">
        <v>193.26</v>
      </c>
      <c r="G292" s="7">
        <f>IFERROR(F292/1.13,0)</f>
        <v/>
      </c>
      <c r="H292" s="5" t="n">
        <v>11</v>
      </c>
      <c r="I292" s="8">
        <f>IFERROR(H292/SUMIF($A:$A,A292,$H:$H),0)</f>
        <v/>
      </c>
      <c r="J292" s="9">
        <f>IFERROR(F292/H292,0)</f>
        <v/>
      </c>
      <c r="K292" s="7" t="n">
        <v>23.3095016413011</v>
      </c>
      <c r="L292" s="7" t="n">
        <v>138.98602208296</v>
      </c>
      <c r="M292" s="9">
        <f>IFERROR(L292/K292,0)</f>
        <v/>
      </c>
      <c r="N292" s="7" t="n">
        <v>6.03363175171591</v>
      </c>
      <c r="O292" s="7" t="n">
        <v>14.0888391524918</v>
      </c>
      <c r="P292" s="9">
        <f>IFERROR(O292/N292,0)</f>
        <v/>
      </c>
      <c r="Q292" s="7">
        <f>K292+N292</f>
        <v/>
      </c>
      <c r="R292" s="7">
        <f>L292+O292</f>
        <v/>
      </c>
      <c r="S292" s="9">
        <f>IFERROR(R292/Q292,0)</f>
        <v/>
      </c>
      <c r="T292" s="8">
        <f>IFERROR(Q292/SUMIF($A:$A,A292,$Q:$Q),0)</f>
        <v/>
      </c>
      <c r="U292" s="8">
        <f>IFERROR(Q292/F292,0)</f>
        <v/>
      </c>
      <c r="V292" s="7">
        <f>F292-R292</f>
        <v/>
      </c>
      <c r="W292" s="8">
        <f>IFERROR(V292/F292,0)</f>
        <v/>
      </c>
      <c r="X292" s="7">
        <f>IFERROR(VLOOKUP(A292,周报其他费用!$A:$B,2,FALSE)*I292,0)</f>
        <v/>
      </c>
      <c r="Y292" s="7" t="n">
        <v>13.575</v>
      </c>
      <c r="Z292" s="8">
        <f>IFERROR(Y292/G292,0)</f>
        <v/>
      </c>
      <c r="AA292" s="7">
        <f>Y292-K292/1.06</f>
        <v/>
      </c>
      <c r="AB292" s="8">
        <f>IFERROR(AA292/G292,0)</f>
        <v/>
      </c>
      <c r="AC292" s="7">
        <f>Y292-(Q292+X292)/1.06</f>
        <v/>
      </c>
      <c r="AD292" s="8">
        <f>IFERROR(AC292/G292,0)</f>
        <v/>
      </c>
    </row>
    <row r="293" ht="14.25" customHeight="1" s="69">
      <c r="A293" s="5" t="inlineStr">
        <is>
          <t>7.20-7.26</t>
        </is>
      </c>
      <c r="B293" s="5" t="inlineStr">
        <is>
          <t>7.20-7.26</t>
        </is>
      </c>
      <c r="C293" s="119" t="n">
        <v>885645733215</v>
      </c>
      <c r="D293" s="5" t="inlineStr">
        <is>
          <t>大骨牛肉</t>
        </is>
      </c>
      <c r="E293" s="5" t="inlineStr">
        <is>
          <t>进口营多大骨番茄牛肉味营多捞面意式泡面宿舍宿舍宵夜速食方便面</t>
        </is>
      </c>
      <c r="F293" s="7" t="n">
        <v>181.65</v>
      </c>
      <c r="G293" s="7">
        <f>IFERROR(F293/1.13,0)</f>
        <v/>
      </c>
      <c r="H293" s="5" t="n">
        <v>10</v>
      </c>
      <c r="I293" s="8">
        <f>IFERROR(H293/SUMIF($A:$A,A293,$H:$H),0)</f>
        <v/>
      </c>
      <c r="J293" s="9">
        <f>IFERROR(F293/H293,0)</f>
        <v/>
      </c>
      <c r="K293" s="7" t="n">
        <v>14.692551477171</v>
      </c>
      <c r="L293" s="7" t="n">
        <v>73.62341987466419</v>
      </c>
      <c r="M293" s="9">
        <f>IFERROR(L293/K293,0)</f>
        <v/>
      </c>
      <c r="N293" s="7" t="n">
        <v>5.43026857654432</v>
      </c>
      <c r="O293" s="7" t="n">
        <v>12.6799552372426</v>
      </c>
      <c r="P293" s="9">
        <f>IFERROR(O293/N293,0)</f>
        <v/>
      </c>
      <c r="Q293" s="7">
        <f>K293+N293</f>
        <v/>
      </c>
      <c r="R293" s="7">
        <f>L293+O293</f>
        <v/>
      </c>
      <c r="S293" s="9">
        <f>IFERROR(R293/Q293,0)</f>
        <v/>
      </c>
      <c r="T293" s="8">
        <f>IFERROR(Q293/SUMIF($A:$A,A293,$Q:$Q),0)</f>
        <v/>
      </c>
      <c r="U293" s="8">
        <f>IFERROR(Q293/F293,0)</f>
        <v/>
      </c>
      <c r="V293" s="7">
        <f>F293-R293</f>
        <v/>
      </c>
      <c r="W293" s="8">
        <f>IFERROR(V293/F293,0)</f>
        <v/>
      </c>
      <c r="X293" s="7">
        <f>IFERROR(VLOOKUP(A293,周报其他费用!$A:$B,2,FALSE)*I293,0)</f>
        <v/>
      </c>
      <c r="Y293" s="7" t="n">
        <v>16.134</v>
      </c>
      <c r="Z293" s="8">
        <f>IFERROR(Y293/G293,0)</f>
        <v/>
      </c>
      <c r="AA293" s="7">
        <f>Y293-K293/1.06</f>
        <v/>
      </c>
      <c r="AB293" s="8">
        <f>IFERROR(AA293/G293,0)</f>
        <v/>
      </c>
      <c r="AC293" s="7">
        <f>Y293-(Q293+X293)/1.06</f>
        <v/>
      </c>
      <c r="AD293" s="8">
        <f>IFERROR(AC293/G293,0)</f>
        <v/>
      </c>
    </row>
    <row r="294" ht="14.25" customHeight="1" s="69">
      <c r="A294" s="5" t="inlineStr">
        <is>
          <t>7.20-7.26</t>
        </is>
      </c>
      <c r="B294" s="5" t="inlineStr">
        <is>
          <t>7.20-7.26</t>
        </is>
      </c>
      <c r="C294" s="119" t="n">
        <v>648604228786</v>
      </c>
      <c r="D294" s="5" t="inlineStr">
        <is>
          <t>杯面混搭</t>
        </is>
      </c>
      <c r="E294" s="5" t="inlineStr">
        <is>
          <t>INDOMIE营多日式杯面原味经典泡面整箱批发速食宿舍旅行宵夜宿舍</t>
        </is>
      </c>
      <c r="F294" s="7" t="n">
        <v>212.58</v>
      </c>
      <c r="G294" s="7">
        <f>IFERROR(F294/1.13,0)</f>
        <v/>
      </c>
      <c r="H294" s="5" t="n">
        <v>8</v>
      </c>
      <c r="I294" s="8">
        <f>IFERROR(H294/SUMIF($A:$A,A294,$H:$H),0)</f>
        <v/>
      </c>
      <c r="J294" s="9">
        <f>IFERROR(F294/H294,0)</f>
        <v/>
      </c>
      <c r="K294" s="7" t="n">
        <v>12.0256013130409</v>
      </c>
      <c r="L294" s="7" t="n">
        <v>8.100817666368201</v>
      </c>
      <c r="M294" s="9">
        <f>IFERROR(L294/K294,0)</f>
        <v/>
      </c>
      <c r="N294" s="7" t="n">
        <v>4.82690540137272</v>
      </c>
      <c r="O294" s="7" t="n">
        <v>11.2710713219934</v>
      </c>
      <c r="P294" s="9">
        <f>IFERROR(O294/N294,0)</f>
        <v/>
      </c>
      <c r="Q294" s="7">
        <f>K294+N294</f>
        <v/>
      </c>
      <c r="R294" s="7">
        <f>L294+O294</f>
        <v/>
      </c>
      <c r="S294" s="9">
        <f>IFERROR(R294/Q294,0)</f>
        <v/>
      </c>
      <c r="T294" s="8">
        <f>IFERROR(Q294/SUMIF($A:$A,A294,$Q:$Q),0)</f>
        <v/>
      </c>
      <c r="U294" s="8">
        <f>IFERROR(Q294/F294,0)</f>
        <v/>
      </c>
      <c r="V294" s="7">
        <f>F294-R294</f>
        <v/>
      </c>
      <c r="W294" s="8">
        <f>IFERROR(V294/F294,0)</f>
        <v/>
      </c>
      <c r="X294" s="7">
        <f>IFERROR(VLOOKUP(A294,周报其他费用!$A:$B,2,FALSE)*I294,0)</f>
        <v/>
      </c>
      <c r="Y294" s="7" t="n">
        <v>29.185</v>
      </c>
      <c r="Z294" s="8">
        <f>IFERROR(Y294/G294,0)</f>
        <v/>
      </c>
      <c r="AA294" s="7">
        <f>Y294-K294/1.06</f>
        <v/>
      </c>
      <c r="AB294" s="8">
        <f>IFERROR(AA294/G294,0)</f>
        <v/>
      </c>
      <c r="AC294" s="7">
        <f>Y294-(Q294+X294)/1.06</f>
        <v/>
      </c>
      <c r="AD294" s="8">
        <f>IFERROR(AC294/G294,0)</f>
        <v/>
      </c>
    </row>
    <row r="295" ht="14.25" customHeight="1" s="69">
      <c r="A295" s="5" t="inlineStr">
        <is>
          <t>7.20-7.26</t>
        </is>
      </c>
      <c r="B295" s="5" t="inlineStr">
        <is>
          <t>7.20-7.26</t>
        </is>
      </c>
      <c r="C295" s="119" t="n">
        <v>976535014785</v>
      </c>
      <c r="D295" s="5" t="n"/>
      <c r="E295" s="5" t="n"/>
      <c r="F295" s="7" t="n">
        <v>6.87</v>
      </c>
      <c r="G295" s="7">
        <f>IFERROR(F295/1.13,0)</f>
        <v/>
      </c>
      <c r="H295" s="5" t="n">
        <v>7</v>
      </c>
      <c r="I295" s="8">
        <f>IFERROR(H295/SUMIF($A:$A,A295,$H:$H),0)</f>
        <v/>
      </c>
      <c r="J295" s="9">
        <f>IFERROR(F295/H295,0)</f>
        <v/>
      </c>
      <c r="K295" s="7" t="n">
        <v>1.65865114891078</v>
      </c>
      <c r="L295" s="7" t="n">
        <v>7.08821545807218</v>
      </c>
      <c r="M295" s="9">
        <f>IFERROR(L295/K295,0)</f>
        <v/>
      </c>
      <c r="N295" s="7" t="n">
        <v>4.22354222620113</v>
      </c>
      <c r="O295" s="7" t="n">
        <v>9.86218740674426</v>
      </c>
      <c r="P295" s="9">
        <f>IFERROR(O295/N295,0)</f>
        <v/>
      </c>
      <c r="Q295" s="7">
        <f>K295+N295</f>
        <v/>
      </c>
      <c r="R295" s="7">
        <f>L295+O295</f>
        <v/>
      </c>
      <c r="S295" s="9">
        <f>IFERROR(R295/Q295,0)</f>
        <v/>
      </c>
      <c r="T295" s="8">
        <f>IFERROR(Q295/SUMIF($A:$A,A295,$Q:$Q),0)</f>
        <v/>
      </c>
      <c r="U295" s="8">
        <f>IFERROR(Q295/F295,0)</f>
        <v/>
      </c>
      <c r="V295" s="7">
        <f>F295-R295</f>
        <v/>
      </c>
      <c r="W295" s="8">
        <f>IFERROR(V295/F295,0)</f>
        <v/>
      </c>
      <c r="X295" s="7">
        <f>IFERROR(VLOOKUP(A295,周报其他费用!$A:$B,2,FALSE)*I295,0)</f>
        <v/>
      </c>
      <c r="Y295" s="7" t="n">
        <v>0</v>
      </c>
      <c r="Z295" s="8">
        <f>IFERROR(Y295/G295,0)</f>
        <v/>
      </c>
      <c r="AA295" s="7">
        <f>Y295-K295/1.06</f>
        <v/>
      </c>
      <c r="AB295" s="8">
        <f>IFERROR(AA295/G295,0)</f>
        <v/>
      </c>
      <c r="AC295" s="7">
        <f>Y295-(Q295+X295)/1.06</f>
        <v/>
      </c>
      <c r="AD295" s="8">
        <f>IFERROR(AC295/G295,0)</f>
        <v/>
      </c>
    </row>
    <row r="296" ht="14.25" customHeight="1" s="69">
      <c r="A296" s="5" t="inlineStr">
        <is>
          <t>7.20-7.26</t>
        </is>
      </c>
      <c r="B296" s="5" t="inlineStr">
        <is>
          <t>7.20-7.26</t>
        </is>
      </c>
      <c r="C296" s="119" t="n">
        <v>971242260371</v>
      </c>
      <c r="D296" s="5" t="inlineStr">
        <is>
          <t>韩式袋面</t>
        </is>
      </c>
      <c r="E296" s="5" t="inlineStr">
        <is>
          <t>新品营多捞面韩式辣蘑菇汤面泡面方便面速食干拌面宿舍宵夜旅行</t>
        </is>
      </c>
      <c r="F296" s="7" t="n">
        <v>164.03</v>
      </c>
      <c r="G296" s="7">
        <f>IFERROR(F296/1.13,0)</f>
        <v/>
      </c>
      <c r="H296" s="5" t="n">
        <v>9</v>
      </c>
      <c r="I296" s="8">
        <f>IFERROR(H296/SUMIF($A:$A,A296,$H:$H),0)</f>
        <v/>
      </c>
      <c r="J296" s="9">
        <f>IFERROR(F296/H296,0)</f>
        <v/>
      </c>
      <c r="K296" s="7" t="n">
        <v>26.5786511489108</v>
      </c>
      <c r="L296" s="7" t="n">
        <v>189.348215458072</v>
      </c>
      <c r="M296" s="9">
        <f>IFERROR(L296/K296,0)</f>
        <v/>
      </c>
      <c r="N296" s="7" t="n">
        <v>4.22354222620113</v>
      </c>
      <c r="O296" s="7" t="n">
        <v>9.86218740674426</v>
      </c>
      <c r="P296" s="9">
        <f>IFERROR(O296/N296,0)</f>
        <v/>
      </c>
      <c r="Q296" s="7">
        <f>K296+N296</f>
        <v/>
      </c>
      <c r="R296" s="7">
        <f>L296+O296</f>
        <v/>
      </c>
      <c r="S296" s="9">
        <f>IFERROR(R296/Q296,0)</f>
        <v/>
      </c>
      <c r="T296" s="8">
        <f>IFERROR(Q296/SUMIF($A:$A,A296,$Q:$Q),0)</f>
        <v/>
      </c>
      <c r="U296" s="8">
        <f>IFERROR(Q296/F296,0)</f>
        <v/>
      </c>
      <c r="V296" s="7">
        <f>F296-R296</f>
        <v/>
      </c>
      <c r="W296" s="8">
        <f>IFERROR(V296/F296,0)</f>
        <v/>
      </c>
      <c r="X296" s="7">
        <f>IFERROR(VLOOKUP(A296,周报其他费用!$A:$B,2,FALSE)*I296,0)</f>
        <v/>
      </c>
      <c r="Y296" s="7" t="n">
        <v>15.887</v>
      </c>
      <c r="Z296" s="8">
        <f>IFERROR(Y296/G296,0)</f>
        <v/>
      </c>
      <c r="AA296" s="7">
        <f>Y296-K296/1.06</f>
        <v/>
      </c>
      <c r="AB296" s="8">
        <f>IFERROR(AA296/G296,0)</f>
        <v/>
      </c>
      <c r="AC296" s="7">
        <f>Y296-(Q296+X296)/1.06</f>
        <v/>
      </c>
      <c r="AD296" s="8">
        <f>IFERROR(AC296/G296,0)</f>
        <v/>
      </c>
    </row>
    <row r="297" ht="14.25" customHeight="1" s="69">
      <c r="A297" s="5" t="inlineStr">
        <is>
          <t>7.20-7.26</t>
        </is>
      </c>
      <c r="B297" s="5" t="inlineStr">
        <is>
          <t>7.20-7.26</t>
        </is>
      </c>
      <c r="C297" s="119" t="n">
        <v>937005385662</v>
      </c>
      <c r="D297" s="5" t="inlineStr">
        <is>
          <t>日式袋面</t>
        </is>
      </c>
      <c r="E297" s="5" t="inlineStr">
        <is>
          <t>进口营多正品捞面日式鸡肉鸡汤辛辣味袋装泡面辣味速食方便面汤面</t>
        </is>
      </c>
      <c r="F297" s="7" t="n">
        <v>218.59</v>
      </c>
      <c r="G297" s="7">
        <f>IFERROR(F297/1.13,0)</f>
        <v/>
      </c>
      <c r="H297" s="5" t="n">
        <v>10</v>
      </c>
      <c r="I297" s="8">
        <f>IFERROR(H297/SUMIF($A:$A,A297,$H:$H),0)</f>
        <v/>
      </c>
      <c r="J297" s="9">
        <f>IFERROR(F297/H297,0)</f>
        <v/>
      </c>
      <c r="K297" s="7" t="n">
        <v>43.1586511489108</v>
      </c>
      <c r="L297" s="7" t="n">
        <v>288.088215458072</v>
      </c>
      <c r="M297" s="9">
        <f>IFERROR(L297/K297,0)</f>
        <v/>
      </c>
      <c r="N297" s="7" t="n">
        <v>4.22354222620113</v>
      </c>
      <c r="O297" s="7" t="n">
        <v>9.86218740674426</v>
      </c>
      <c r="P297" s="9">
        <f>IFERROR(O297/N297,0)</f>
        <v/>
      </c>
      <c r="Q297" s="7">
        <f>K297+N297</f>
        <v/>
      </c>
      <c r="R297" s="7">
        <f>L297+O297</f>
        <v/>
      </c>
      <c r="S297" s="9">
        <f>IFERROR(R297/Q297,0)</f>
        <v/>
      </c>
      <c r="T297" s="8">
        <f>IFERROR(Q297/SUMIF($A:$A,A297,$Q:$Q),0)</f>
        <v/>
      </c>
      <c r="U297" s="8">
        <f>IFERROR(Q297/F297,0)</f>
        <v/>
      </c>
      <c r="V297" s="7">
        <f>F297-R297</f>
        <v/>
      </c>
      <c r="W297" s="8">
        <f>IFERROR(V297/F297,0)</f>
        <v/>
      </c>
      <c r="X297" s="7">
        <f>IFERROR(VLOOKUP(A297,周报其他费用!$A:$B,2,FALSE)*I297,0)</f>
        <v/>
      </c>
      <c r="Y297" s="7" t="n">
        <v>30.148</v>
      </c>
      <c r="Z297" s="8">
        <f>IFERROR(Y297/G297,0)</f>
        <v/>
      </c>
      <c r="AA297" s="7">
        <f>Y297-K297/1.06</f>
        <v/>
      </c>
      <c r="AB297" s="8">
        <f>IFERROR(AA297/G297,0)</f>
        <v/>
      </c>
      <c r="AC297" s="7">
        <f>Y297-(Q297+X297)/1.06</f>
        <v/>
      </c>
      <c r="AD297" s="8">
        <f>IFERROR(AC297/G297,0)</f>
        <v/>
      </c>
    </row>
    <row r="298" ht="14.25" customHeight="1" s="69">
      <c r="A298" s="5" t="inlineStr">
        <is>
          <t>7.20-7.26</t>
        </is>
      </c>
      <c r="B298" s="5" t="inlineStr">
        <is>
          <t>7.20-7.26</t>
        </is>
      </c>
      <c r="C298" s="119" t="n">
        <v>969433743398</v>
      </c>
      <c r="D298" s="5" t="inlineStr">
        <is>
          <t>韩蘑菇</t>
        </is>
      </c>
      <c r="E298" s="5" t="inlineStr">
        <is>
          <t>新品营多捞面韩式辣蘑菇汤面泡面方便面速食干拌面宿舍宵夜旅行</t>
        </is>
      </c>
      <c r="F298" s="7" t="n">
        <v>142.44</v>
      </c>
      <c r="G298" s="7">
        <f>IFERROR(F298/1.13,0)</f>
        <v/>
      </c>
      <c r="H298" s="5" t="n">
        <v>7</v>
      </c>
      <c r="I298" s="8">
        <f>IFERROR(H298/SUMIF($A:$A,A298,$H:$H),0)</f>
        <v/>
      </c>
      <c r="J298" s="9">
        <f>IFERROR(F298/H298,0)</f>
        <v/>
      </c>
      <c r="K298" s="7" t="n">
        <v>9.001700984780671</v>
      </c>
      <c r="L298" s="7" t="n">
        <v>41.9756132497762</v>
      </c>
      <c r="M298" s="9">
        <f>IFERROR(L298/K298,0)</f>
        <v/>
      </c>
      <c r="N298" s="7" t="n">
        <v>3.62017905102954</v>
      </c>
      <c r="O298" s="7" t="n">
        <v>8.453303491495079</v>
      </c>
      <c r="P298" s="9">
        <f>IFERROR(O298/N298,0)</f>
        <v/>
      </c>
      <c r="Q298" s="7">
        <f>K298+N298</f>
        <v/>
      </c>
      <c r="R298" s="7">
        <f>L298+O298</f>
        <v/>
      </c>
      <c r="S298" s="9">
        <f>IFERROR(R298/Q298,0)</f>
        <v/>
      </c>
      <c r="T298" s="8">
        <f>IFERROR(Q298/SUMIF($A:$A,A298,$Q:$Q),0)</f>
        <v/>
      </c>
      <c r="U298" s="8">
        <f>IFERROR(Q298/F298,0)</f>
        <v/>
      </c>
      <c r="V298" s="7">
        <f>F298-R298</f>
        <v/>
      </c>
      <c r="W298" s="8">
        <f>IFERROR(V298/F298,0)</f>
        <v/>
      </c>
      <c r="X298" s="7">
        <f>IFERROR(VLOOKUP(A298,周报其他费用!$A:$B,2,FALSE)*I298,0)</f>
        <v/>
      </c>
      <c r="Y298" s="7" t="n">
        <v>19.197</v>
      </c>
      <c r="Z298" s="8">
        <f>IFERROR(Y298/G298,0)</f>
        <v/>
      </c>
      <c r="AA298" s="7">
        <f>Y298-K298/1.06</f>
        <v/>
      </c>
      <c r="AB298" s="8">
        <f>IFERROR(AA298/G298,0)</f>
        <v/>
      </c>
      <c r="AC298" s="7">
        <f>Y298-(Q298+X298)/1.06</f>
        <v/>
      </c>
      <c r="AD298" s="8">
        <f>IFERROR(AC298/G298,0)</f>
        <v/>
      </c>
    </row>
    <row r="299" ht="14.25" customHeight="1" s="69">
      <c r="A299" s="5" t="inlineStr">
        <is>
          <t>7.20-7.26</t>
        </is>
      </c>
      <c r="B299" s="5" t="inlineStr">
        <is>
          <t>7.20-7.26</t>
        </is>
      </c>
      <c r="C299" s="119" t="n">
        <v>1067363868298</v>
      </c>
      <c r="D299" s="5" t="n"/>
      <c r="E299" s="5" t="n"/>
      <c r="F299" s="7" t="n">
        <v>93.18000000000001</v>
      </c>
      <c r="G299" s="7">
        <f>IFERROR(F299/1.13,0)</f>
        <v/>
      </c>
      <c r="H299" s="5" t="n">
        <v>5</v>
      </c>
      <c r="I299" s="8">
        <f>IFERROR(H299/SUMIF($A:$A,A299,$H:$H),0)</f>
        <v/>
      </c>
      <c r="J299" s="9">
        <f>IFERROR(F299/H299,0)</f>
        <v/>
      </c>
      <c r="K299" s="7" t="n">
        <v>5.82475082065056</v>
      </c>
      <c r="L299" s="7" t="n">
        <v>5.06301104148013</v>
      </c>
      <c r="M299" s="9">
        <f>IFERROR(L299/K299,0)</f>
        <v/>
      </c>
      <c r="N299" s="7" t="n">
        <v>3.01681587585795</v>
      </c>
      <c r="O299" s="7" t="n">
        <v>7.0444195762459</v>
      </c>
      <c r="P299" s="9">
        <f>IFERROR(O299/N299,0)</f>
        <v/>
      </c>
      <c r="Q299" s="7">
        <f>K299+N299</f>
        <v/>
      </c>
      <c r="R299" s="7">
        <f>L299+O299</f>
        <v/>
      </c>
      <c r="S299" s="9">
        <f>IFERROR(R299/Q299,0)</f>
        <v/>
      </c>
      <c r="T299" s="8">
        <f>IFERROR(Q299/SUMIF($A:$A,A299,$Q:$Q),0)</f>
        <v/>
      </c>
      <c r="U299" s="8">
        <f>IFERROR(Q299/F299,0)</f>
        <v/>
      </c>
      <c r="V299" s="7">
        <f>F299-R299</f>
        <v/>
      </c>
      <c r="W299" s="8">
        <f>IFERROR(V299/F299,0)</f>
        <v/>
      </c>
      <c r="X299" s="7">
        <f>IFERROR(VLOOKUP(A299,周报其他费用!$A:$B,2,FALSE)*I299,0)</f>
        <v/>
      </c>
      <c r="Y299" s="7" t="n">
        <v>6.925</v>
      </c>
      <c r="Z299" s="8">
        <f>IFERROR(Y299/G299,0)</f>
        <v/>
      </c>
      <c r="AA299" s="7">
        <f>Y299-K299/1.06</f>
        <v/>
      </c>
      <c r="AB299" s="8">
        <f>IFERROR(AA299/G299,0)</f>
        <v/>
      </c>
      <c r="AC299" s="7">
        <f>Y299-(Q299+X299)/1.06</f>
        <v/>
      </c>
      <c r="AD299" s="8">
        <f>IFERROR(AC299/G299,0)</f>
        <v/>
      </c>
    </row>
    <row r="300" ht="14.25" customHeight="1" s="69">
      <c r="A300" s="5" t="inlineStr">
        <is>
          <t>7.20-7.26</t>
        </is>
      </c>
      <c r="B300" s="5" t="inlineStr">
        <is>
          <t>7.20-7.26</t>
        </is>
      </c>
      <c r="C300" s="119" t="n">
        <v>649731447266</v>
      </c>
      <c r="D300" s="5" t="inlineStr">
        <is>
          <t>20包经典/牛系列</t>
        </is>
      </c>
      <c r="E300" s="5" t="inlineStr">
        <is>
          <t>营多印尼进口营多捞面方便面火鸡面干拌面20包宿舍速食泡面夜宵</t>
        </is>
      </c>
      <c r="F300" s="7" t="n">
        <v>243.5</v>
      </c>
      <c r="G300" s="7">
        <f>IFERROR(F300/1.13,0)</f>
        <v/>
      </c>
      <c r="H300" s="5" t="n">
        <v>5</v>
      </c>
      <c r="I300" s="8">
        <f>IFERROR(H300/SUMIF($A:$A,A300,$H:$H),0)</f>
        <v/>
      </c>
      <c r="J300" s="9">
        <f>IFERROR(F300/H300,0)</f>
        <v/>
      </c>
      <c r="K300" s="7" t="n">
        <v>11.0947508206506</v>
      </c>
      <c r="L300" s="7" t="n">
        <v>5.06301104148013</v>
      </c>
      <c r="M300" s="9">
        <f>IFERROR(L300/K300,0)</f>
        <v/>
      </c>
      <c r="N300" s="7" t="n">
        <v>3.01681587585795</v>
      </c>
      <c r="O300" s="7" t="n">
        <v>7.0444195762459</v>
      </c>
      <c r="P300" s="9">
        <f>IFERROR(O300/N300,0)</f>
        <v/>
      </c>
      <c r="Q300" s="7">
        <f>K300+N300</f>
        <v/>
      </c>
      <c r="R300" s="7">
        <f>L300+O300</f>
        <v/>
      </c>
      <c r="S300" s="9">
        <f>IFERROR(R300/Q300,0)</f>
        <v/>
      </c>
      <c r="T300" s="8">
        <f>IFERROR(Q300/SUMIF($A:$A,A300,$Q:$Q),0)</f>
        <v/>
      </c>
      <c r="U300" s="8">
        <f>IFERROR(Q300/F300,0)</f>
        <v/>
      </c>
      <c r="V300" s="7">
        <f>F300-R300</f>
        <v/>
      </c>
      <c r="W300" s="8">
        <f>IFERROR(V300/F300,0)</f>
        <v/>
      </c>
      <c r="X300" s="7">
        <f>IFERROR(VLOOKUP(A300,周报其他费用!$A:$B,2,FALSE)*I300,0)</f>
        <v/>
      </c>
      <c r="Y300" s="7" t="n">
        <v>50.194</v>
      </c>
      <c r="Z300" s="8">
        <f>IFERROR(Y300/G300,0)</f>
        <v/>
      </c>
      <c r="AA300" s="7">
        <f>Y300-K300/1.06</f>
        <v/>
      </c>
      <c r="AB300" s="8">
        <f>IFERROR(AA300/G300,0)</f>
        <v/>
      </c>
      <c r="AC300" s="7">
        <f>Y300-(Q300+X300)/1.06</f>
        <v/>
      </c>
      <c r="AD300" s="8">
        <f>IFERROR(AC300/G300,0)</f>
        <v/>
      </c>
    </row>
    <row r="301" ht="14.25" customHeight="1" s="69">
      <c r="A301" s="5" t="inlineStr">
        <is>
          <t>7.20-7.26</t>
        </is>
      </c>
      <c r="B301" s="5" t="inlineStr">
        <is>
          <t>7.20-7.26</t>
        </is>
      </c>
      <c r="C301" s="119" t="n">
        <v>1067957289054</v>
      </c>
      <c r="D301" s="5" t="inlineStr">
        <is>
          <t>巴东牛肉</t>
        </is>
      </c>
      <c r="E301" s="5" t="inlineStr">
        <is>
          <t>【新口味】印尼进口营多捞面巴东炖牛肉味泡面方便面宿舍速食宵夜</t>
        </is>
      </c>
      <c r="F301" s="7" t="n">
        <v>60.93</v>
      </c>
      <c r="G301" s="7">
        <f>IFERROR(F301/1.13,0)</f>
        <v/>
      </c>
      <c r="H301" s="5" t="n">
        <v>4</v>
      </c>
      <c r="I301" s="8">
        <f>IFERROR(H301/SUMIF($A:$A,A301,$H:$H),0)</f>
        <v/>
      </c>
      <c r="J301" s="9">
        <f>IFERROR(F301/H301,0)</f>
        <v/>
      </c>
      <c r="K301" s="7" t="n">
        <v>5.84780065652045</v>
      </c>
      <c r="L301" s="7" t="n">
        <v>4.0504088331841</v>
      </c>
      <c r="M301" s="9">
        <f>IFERROR(L301/K301,0)</f>
        <v/>
      </c>
      <c r="N301" s="7" t="n">
        <v>2.41345270068636</v>
      </c>
      <c r="O301" s="7" t="n">
        <v>5.63553566099672</v>
      </c>
      <c r="P301" s="9">
        <f>IFERROR(O301/N301,0)</f>
        <v/>
      </c>
      <c r="Q301" s="7">
        <f>K301+N301</f>
        <v/>
      </c>
      <c r="R301" s="7">
        <f>L301+O301</f>
        <v/>
      </c>
      <c r="S301" s="9">
        <f>IFERROR(R301/Q301,0)</f>
        <v/>
      </c>
      <c r="T301" s="8">
        <f>IFERROR(Q301/SUMIF($A:$A,A301,$Q:$Q),0)</f>
        <v/>
      </c>
      <c r="U301" s="8">
        <f>IFERROR(Q301/F301,0)</f>
        <v/>
      </c>
      <c r="V301" s="7">
        <f>F301-R301</f>
        <v/>
      </c>
      <c r="W301" s="8">
        <f>IFERROR(V301/F301,0)</f>
        <v/>
      </c>
      <c r="X301" s="7">
        <f>IFERROR(VLOOKUP(A301,周报其他费用!$A:$B,2,FALSE)*I301,0)</f>
        <v/>
      </c>
      <c r="Y301" s="7" t="n">
        <v>4.936</v>
      </c>
      <c r="Z301" s="8">
        <f>IFERROR(Y301/G301,0)</f>
        <v/>
      </c>
      <c r="AA301" s="7">
        <f>Y301-K301/1.06</f>
        <v/>
      </c>
      <c r="AB301" s="8">
        <f>IFERROR(AA301/G301,0)</f>
        <v/>
      </c>
      <c r="AC301" s="7">
        <f>Y301-(Q301+X301)/1.06</f>
        <v/>
      </c>
      <c r="AD301" s="8">
        <f>IFERROR(AC301/G301,0)</f>
        <v/>
      </c>
    </row>
    <row r="302" ht="14.25" customHeight="1" s="69">
      <c r="A302" s="5" t="inlineStr">
        <is>
          <t>7.20-7.26</t>
        </is>
      </c>
      <c r="B302" s="5" t="inlineStr">
        <is>
          <t>7.20-7.26</t>
        </is>
      </c>
      <c r="C302" s="119" t="n">
        <v>976467954327</v>
      </c>
      <c r="D302" s="5" t="inlineStr">
        <is>
          <t>日韩杯面</t>
        </is>
      </c>
      <c r="E302" s="5" t="inlineStr">
        <is>
          <t>【天猫U选】indomie营多捞面辣蘑菇味日式辣味杯面</t>
        </is>
      </c>
      <c r="F302" s="7" t="n">
        <v>28.22</v>
      </c>
      <c r="G302" s="7">
        <f>IFERROR(F302/1.13,0)</f>
        <v/>
      </c>
      <c r="H302" s="5" t="n">
        <v>3</v>
      </c>
      <c r="I302" s="8">
        <f>IFERROR(H302/SUMIF($A:$A,A302,$H:$H),0)</f>
        <v/>
      </c>
      <c r="J302" s="9">
        <f>IFERROR(F302/H302,0)</f>
        <v/>
      </c>
      <c r="K302" s="7" t="n">
        <v>0.710850492390335</v>
      </c>
      <c r="L302" s="7" t="n">
        <v>3.03780662488808</v>
      </c>
      <c r="M302" s="9">
        <f>IFERROR(L302/K302,0)</f>
        <v/>
      </c>
      <c r="N302" s="7" t="n">
        <v>1.81008952551477</v>
      </c>
      <c r="O302" s="7" t="n">
        <v>4.22665174574754</v>
      </c>
      <c r="P302" s="9">
        <f>IFERROR(O302/N302,0)</f>
        <v/>
      </c>
      <c r="Q302" s="7">
        <f>K302+N302</f>
        <v/>
      </c>
      <c r="R302" s="7">
        <f>L302+O302</f>
        <v/>
      </c>
      <c r="S302" s="9">
        <f>IFERROR(R302/Q302,0)</f>
        <v/>
      </c>
      <c r="T302" s="8">
        <f>IFERROR(Q302/SUMIF($A:$A,A302,$Q:$Q),0)</f>
        <v/>
      </c>
      <c r="U302" s="8">
        <f>IFERROR(Q302/F302,0)</f>
        <v/>
      </c>
      <c r="V302" s="7">
        <f>F302-R302</f>
        <v/>
      </c>
      <c r="W302" s="8">
        <f>IFERROR(V302/F302,0)</f>
        <v/>
      </c>
      <c r="X302" s="7">
        <f>IFERROR(VLOOKUP(A302,周报其他费用!$A:$B,2,FALSE)*I302,0)</f>
        <v/>
      </c>
      <c r="Y302" s="7" t="n">
        <v>-5.289</v>
      </c>
      <c r="Z302" s="8">
        <f>IFERROR(Y302/G302,0)</f>
        <v/>
      </c>
      <c r="AA302" s="7">
        <f>Y302-K302/1.06</f>
        <v/>
      </c>
      <c r="AB302" s="8">
        <f>IFERROR(AA302/G302,0)</f>
        <v/>
      </c>
      <c r="AC302" s="7">
        <f>Y302-(Q302+X302)/1.06</f>
        <v/>
      </c>
      <c r="AD302" s="8">
        <f>IFERROR(AC302/G302,0)</f>
        <v/>
      </c>
    </row>
    <row r="303" ht="14.25" customHeight="1" s="69">
      <c r="A303" s="5" t="inlineStr">
        <is>
          <t>7.20-7.26</t>
        </is>
      </c>
      <c r="B303" s="5" t="inlineStr">
        <is>
          <t>7.20-7.26</t>
        </is>
      </c>
      <c r="C303" s="119" t="n">
        <v>932687928859</v>
      </c>
      <c r="D303" s="5" t="inlineStr">
        <is>
          <t>8包组合</t>
        </is>
      </c>
      <c r="E303" s="5" t="inlineStr">
        <is>
          <t>营多捞面八口味袋装泡面拌面速食面干拌面方便面宿舍宵夜速食家用</t>
        </is>
      </c>
      <c r="F303" s="7" t="n">
        <v>75.92</v>
      </c>
      <c r="G303" s="7">
        <f>IFERROR(F303/1.13,0)</f>
        <v/>
      </c>
      <c r="H303" s="5" t="n">
        <v>3</v>
      </c>
      <c r="I303" s="8">
        <f>IFERROR(H303/SUMIF($A:$A,A303,$H:$H),0)</f>
        <v/>
      </c>
      <c r="J303" s="9">
        <f>IFERROR(F303/H303,0)</f>
        <v/>
      </c>
      <c r="K303" s="7" t="n">
        <v>7.59085049239033</v>
      </c>
      <c r="L303" s="7" t="n">
        <v>3.03780662488808</v>
      </c>
      <c r="M303" s="9">
        <f>IFERROR(L303/K303,0)</f>
        <v/>
      </c>
      <c r="N303" s="7" t="n">
        <v>1.81008952551477</v>
      </c>
      <c r="O303" s="7" t="n">
        <v>4.22665174574754</v>
      </c>
      <c r="P303" s="9">
        <f>IFERROR(O303/N303,0)</f>
        <v/>
      </c>
      <c r="Q303" s="7">
        <f>K303+N303</f>
        <v/>
      </c>
      <c r="R303" s="7">
        <f>L303+O303</f>
        <v/>
      </c>
      <c r="S303" s="9">
        <f>IFERROR(R303/Q303,0)</f>
        <v/>
      </c>
      <c r="T303" s="8">
        <f>IFERROR(Q303/SUMIF($A:$A,A303,$Q:$Q),0)</f>
        <v/>
      </c>
      <c r="U303" s="8">
        <f>IFERROR(Q303/F303,0)</f>
        <v/>
      </c>
      <c r="V303" s="7">
        <f>F303-R303</f>
        <v/>
      </c>
      <c r="W303" s="8">
        <f>IFERROR(V303/F303,0)</f>
        <v/>
      </c>
      <c r="X303" s="7">
        <f>IFERROR(VLOOKUP(A303,周报其他费用!$A:$B,2,FALSE)*I303,0)</f>
        <v/>
      </c>
      <c r="Y303" s="7" t="n">
        <v>11.502</v>
      </c>
      <c r="Z303" s="8">
        <f>IFERROR(Y303/G303,0)</f>
        <v/>
      </c>
      <c r="AA303" s="7">
        <f>Y303-K303/1.06</f>
        <v/>
      </c>
      <c r="AB303" s="8">
        <f>IFERROR(AA303/G303,0)</f>
        <v/>
      </c>
      <c r="AC303" s="7">
        <f>Y303-(Q303+X303)/1.06</f>
        <v/>
      </c>
      <c r="AD303" s="8">
        <f>IFERROR(AC303/G303,0)</f>
        <v/>
      </c>
    </row>
    <row r="304" ht="14.25" customHeight="1" s="69">
      <c r="A304" s="5" t="inlineStr">
        <is>
          <t>7.20-7.26</t>
        </is>
      </c>
      <c r="B304" s="5" t="inlineStr">
        <is>
          <t>7.20-7.26</t>
        </is>
      </c>
      <c r="C304" s="119" t="n">
        <v>976466902934</v>
      </c>
      <c r="D304" s="5" t="inlineStr">
        <is>
          <t>【U选】日式原杯1+日式辣杯1</t>
        </is>
      </c>
      <c r="E304" s="5" t="inlineStr">
        <is>
          <t>【天猫U选】indomie营多捞面辣火鸡味日式鸡肉原味杯面</t>
        </is>
      </c>
      <c r="F304" s="7" t="n">
        <v>29.5</v>
      </c>
      <c r="G304" s="7">
        <f>IFERROR(F304/1.13,0)</f>
        <v/>
      </c>
      <c r="H304" s="5" t="n">
        <v>3</v>
      </c>
      <c r="I304" s="8">
        <f>IFERROR(H304/SUMIF($A:$A,A304,$H:$H),0)</f>
        <v/>
      </c>
      <c r="J304" s="9">
        <f>IFERROR(F304/H304,0)</f>
        <v/>
      </c>
      <c r="K304" s="7" t="n">
        <v>0.710850492390335</v>
      </c>
      <c r="L304" s="7" t="n">
        <v>3.03780662488808</v>
      </c>
      <c r="M304" s="9">
        <f>IFERROR(L304/K304,0)</f>
        <v/>
      </c>
      <c r="N304" s="7" t="n">
        <v>1.81008952551477</v>
      </c>
      <c r="O304" s="7" t="n">
        <v>4.22665174574754</v>
      </c>
      <c r="P304" s="9">
        <f>IFERROR(O304/N304,0)</f>
        <v/>
      </c>
      <c r="Q304" s="7">
        <f>K304+N304</f>
        <v/>
      </c>
      <c r="R304" s="7">
        <f>L304+O304</f>
        <v/>
      </c>
      <c r="S304" s="9">
        <f>IFERROR(R304/Q304,0)</f>
        <v/>
      </c>
      <c r="T304" s="8">
        <f>IFERROR(Q304/SUMIF($A:$A,A304,$Q:$Q),0)</f>
        <v/>
      </c>
      <c r="U304" s="8">
        <f>IFERROR(Q304/F304,0)</f>
        <v/>
      </c>
      <c r="V304" s="7">
        <f>F304-R304</f>
        <v/>
      </c>
      <c r="W304" s="8">
        <f>IFERROR(V304/F304,0)</f>
        <v/>
      </c>
      <c r="X304" s="7">
        <f>IFERROR(VLOOKUP(A304,周报其他费用!$A:$B,2,FALSE)*I304,0)</f>
        <v/>
      </c>
      <c r="Y304" s="7" t="n">
        <v>-4.241</v>
      </c>
      <c r="Z304" s="8">
        <f>IFERROR(Y304/G304,0)</f>
        <v/>
      </c>
      <c r="AA304" s="7">
        <f>Y304-K304/1.06</f>
        <v/>
      </c>
      <c r="AB304" s="8">
        <f>IFERROR(AA304/G304,0)</f>
        <v/>
      </c>
      <c r="AC304" s="7">
        <f>Y304-(Q304+X304)/1.06</f>
        <v/>
      </c>
      <c r="AD304" s="8">
        <f>IFERROR(AC304/G304,0)</f>
        <v/>
      </c>
    </row>
    <row r="305" ht="14.25" customHeight="1" s="69">
      <c r="A305" s="5" t="inlineStr">
        <is>
          <t>7.20-7.26</t>
        </is>
      </c>
      <c r="B305" s="5" t="inlineStr">
        <is>
          <t>7.20-7.26</t>
        </is>
      </c>
      <c r="C305" s="119" t="n">
        <v>1067350828719</v>
      </c>
      <c r="D305" s="5" t="n"/>
      <c r="E305" s="5" t="n"/>
      <c r="F305" s="7" t="n">
        <v>148.7</v>
      </c>
      <c r="G305" s="7">
        <f>IFERROR(F305/1.13,0)</f>
        <v/>
      </c>
      <c r="H305" s="5" t="n">
        <v>3</v>
      </c>
      <c r="I305" s="8">
        <f>IFERROR(H305/SUMIF($A:$A,A305,$H:$H),0)</f>
        <v/>
      </c>
      <c r="J305" s="9">
        <f>IFERROR(F305/H305,0)</f>
        <v/>
      </c>
      <c r="K305" s="7" t="n">
        <v>3.75390032826022</v>
      </c>
      <c r="L305" s="7" t="n">
        <v>20.4852044165921</v>
      </c>
      <c r="M305" s="9">
        <f>IFERROR(L305/K305,0)</f>
        <v/>
      </c>
      <c r="N305" s="7" t="n">
        <v>1.20672635034318</v>
      </c>
      <c r="O305" s="7" t="n">
        <v>2.81776783049836</v>
      </c>
      <c r="P305" s="9">
        <f>IFERROR(O305/N305,0)</f>
        <v/>
      </c>
      <c r="Q305" s="7">
        <f>K305+N305</f>
        <v/>
      </c>
      <c r="R305" s="7">
        <f>L305+O305</f>
        <v/>
      </c>
      <c r="S305" s="9">
        <f>IFERROR(R305/Q305,0)</f>
        <v/>
      </c>
      <c r="T305" s="8">
        <f>IFERROR(Q305/SUMIF($A:$A,A305,$Q:$Q),0)</f>
        <v/>
      </c>
      <c r="U305" s="8">
        <f>IFERROR(Q305/F305,0)</f>
        <v/>
      </c>
      <c r="V305" s="7">
        <f>F305-R305</f>
        <v/>
      </c>
      <c r="W305" s="8">
        <f>IFERROR(V305/F305,0)</f>
        <v/>
      </c>
      <c r="X305" s="7">
        <f>IFERROR(VLOOKUP(A305,周报其他费用!$A:$B,2,FALSE)*I305,0)</f>
        <v/>
      </c>
      <c r="Y305" s="7" t="n">
        <v>31.483</v>
      </c>
      <c r="Z305" s="8">
        <f>IFERROR(Y305/G305,0)</f>
        <v/>
      </c>
      <c r="AA305" s="7">
        <f>Y305-K305/1.06</f>
        <v/>
      </c>
      <c r="AB305" s="8">
        <f>IFERROR(AA305/G305,0)</f>
        <v/>
      </c>
      <c r="AC305" s="7">
        <f>Y305-(Q305+X305)/1.06</f>
        <v/>
      </c>
      <c r="AD305" s="8">
        <f>IFERROR(AC305/G305,0)</f>
        <v/>
      </c>
    </row>
    <row r="306" ht="14.25" customHeight="1" s="69">
      <c r="A306" s="5" t="inlineStr">
        <is>
          <t>7.20-7.26</t>
        </is>
      </c>
      <c r="B306" s="5" t="inlineStr">
        <is>
          <t>7.20-7.26</t>
        </is>
      </c>
      <c r="C306" s="119" t="n">
        <v>975092562679</v>
      </c>
      <c r="D306" s="5" t="inlineStr">
        <is>
          <t>杯面混搭</t>
        </is>
      </c>
      <c r="E306" s="5" t="inlineStr">
        <is>
          <t>营多韩式甜辣炸鸡火鸡面辣蘑菇杯面拌面泡面方便面速食宵夜旅行</t>
        </is>
      </c>
      <c r="F306" s="7" t="n">
        <v>59.33</v>
      </c>
      <c r="G306" s="7">
        <f>IFERROR(F306/1.13,0)</f>
        <v/>
      </c>
      <c r="H306" s="5" t="n">
        <v>2</v>
      </c>
      <c r="I306" s="8">
        <f>IFERROR(H306/SUMIF($A:$A,A306,$H:$H),0)</f>
        <v/>
      </c>
      <c r="J306" s="9">
        <f>IFERROR(F306/H306,0)</f>
        <v/>
      </c>
      <c r="K306" s="7" t="n">
        <v>1.71390032826022</v>
      </c>
      <c r="L306" s="7" t="n">
        <v>51.9252044165921</v>
      </c>
      <c r="M306" s="9">
        <f>IFERROR(L306/K306,0)</f>
        <v/>
      </c>
      <c r="N306" s="7" t="n">
        <v>1.20672635034318</v>
      </c>
      <c r="O306" s="7" t="n">
        <v>2.81776783049836</v>
      </c>
      <c r="P306" s="9">
        <f>IFERROR(O306/N306,0)</f>
        <v/>
      </c>
      <c r="Q306" s="7">
        <f>K306+N306</f>
        <v/>
      </c>
      <c r="R306" s="7">
        <f>L306+O306</f>
        <v/>
      </c>
      <c r="S306" s="9">
        <f>IFERROR(R306/Q306,0)</f>
        <v/>
      </c>
      <c r="T306" s="8">
        <f>IFERROR(Q306/SUMIF($A:$A,A306,$Q:$Q),0)</f>
        <v/>
      </c>
      <c r="U306" s="8">
        <f>IFERROR(Q306/F306,0)</f>
        <v/>
      </c>
      <c r="V306" s="7">
        <f>F306-R306</f>
        <v/>
      </c>
      <c r="W306" s="8">
        <f>IFERROR(V306/F306,0)</f>
        <v/>
      </c>
      <c r="X306" s="7">
        <f>IFERROR(VLOOKUP(A306,周报其他费用!$A:$B,2,FALSE)*I306,0)</f>
        <v/>
      </c>
      <c r="Y306" s="7" t="n">
        <v>12.234</v>
      </c>
      <c r="Z306" s="8">
        <f>IFERROR(Y306/G306,0)</f>
        <v/>
      </c>
      <c r="AA306" s="7">
        <f>Y306-K306/1.06</f>
        <v/>
      </c>
      <c r="AB306" s="8">
        <f>IFERROR(AA306/G306,0)</f>
        <v/>
      </c>
      <c r="AC306" s="7">
        <f>Y306-(Q306+X306)/1.06</f>
        <v/>
      </c>
      <c r="AD306" s="8">
        <f>IFERROR(AC306/G306,0)</f>
        <v/>
      </c>
    </row>
    <row r="307" ht="14.25" customHeight="1" s="69">
      <c r="A307" s="5" t="inlineStr">
        <is>
          <t>7.20-7.26</t>
        </is>
      </c>
      <c r="B307" s="5" t="inlineStr">
        <is>
          <t>7.20-7.26</t>
        </is>
      </c>
      <c r="C307" s="119" t="n">
        <v>869217868453</v>
      </c>
      <c r="D307" s="5" t="inlineStr">
        <is>
          <t>韩式杯面</t>
        </is>
      </c>
      <c r="E307" s="5" t="inlineStr">
        <is>
          <t>营多捞面韩式甜辣炸鸡辣蘑菇杯面方便面拌面泡面宿舍速食面</t>
        </is>
      </c>
      <c r="F307" s="7" t="n">
        <v>32.79</v>
      </c>
      <c r="G307" s="7">
        <f>IFERROR(F307/1.13,0)</f>
        <v/>
      </c>
      <c r="H307" s="5" t="n">
        <v>2</v>
      </c>
      <c r="I307" s="8">
        <f>IFERROR(H307/SUMIF($A:$A,A307,$H:$H),0)</f>
        <v/>
      </c>
      <c r="J307" s="9">
        <f>IFERROR(F307/H307,0)</f>
        <v/>
      </c>
      <c r="K307" s="7" t="n">
        <v>13.7639003282602</v>
      </c>
      <c r="L307" s="7" t="n">
        <v>123.405204416592</v>
      </c>
      <c r="M307" s="9">
        <f>IFERROR(L307/K307,0)</f>
        <v/>
      </c>
      <c r="N307" s="7" t="n">
        <v>1.20672635034318</v>
      </c>
      <c r="O307" s="7" t="n">
        <v>2.81776783049836</v>
      </c>
      <c r="P307" s="9">
        <f>IFERROR(O307/N307,0)</f>
        <v/>
      </c>
      <c r="Q307" s="7">
        <f>K307+N307</f>
        <v/>
      </c>
      <c r="R307" s="7">
        <f>L307+O307</f>
        <v/>
      </c>
      <c r="S307" s="9">
        <f>IFERROR(R307/Q307,0)</f>
        <v/>
      </c>
      <c r="T307" s="8">
        <f>IFERROR(Q307/SUMIF($A:$A,A307,$Q:$Q),0)</f>
        <v/>
      </c>
      <c r="U307" s="8">
        <f>IFERROR(Q307/F307,0)</f>
        <v/>
      </c>
      <c r="V307" s="7">
        <f>F307-R307</f>
        <v/>
      </c>
      <c r="W307" s="8">
        <f>IFERROR(V307/F307,0)</f>
        <v/>
      </c>
      <c r="X307" s="7">
        <f>IFERROR(VLOOKUP(A307,周报其他费用!$A:$B,2,FALSE)*I307,0)</f>
        <v/>
      </c>
      <c r="Y307" s="7" t="n">
        <v>0.66</v>
      </c>
      <c r="Z307" s="8">
        <f>IFERROR(Y307/G307,0)</f>
        <v/>
      </c>
      <c r="AA307" s="7">
        <f>Y307-K307/1.06</f>
        <v/>
      </c>
      <c r="AB307" s="8">
        <f>IFERROR(AA307/G307,0)</f>
        <v/>
      </c>
      <c r="AC307" s="7">
        <f>Y307-(Q307+X307)/1.06</f>
        <v/>
      </c>
      <c r="AD307" s="8">
        <f>IFERROR(AC307/G307,0)</f>
        <v/>
      </c>
    </row>
    <row r="308" ht="14.25" customHeight="1" s="69">
      <c r="A308" s="5" t="inlineStr">
        <is>
          <t>7.20-7.26</t>
        </is>
      </c>
      <c r="B308" s="5" t="inlineStr">
        <is>
          <t>7.20-7.26</t>
        </is>
      </c>
      <c r="C308" s="119" t="n">
        <v>976479938842</v>
      </c>
      <c r="D308" s="5" t="inlineStr">
        <is>
          <t>杯面混搭</t>
        </is>
      </c>
      <c r="E308" s="5" t="inlineStr">
        <is>
          <t>营多捞面韩式甜辣炸鸡辣蘑菇杯面方便面拌面泡面宿舍速食面</t>
        </is>
      </c>
      <c r="F308" s="7" t="n">
        <v>18.9</v>
      </c>
      <c r="G308" s="7">
        <f>IFERROR(F308/1.13,0)</f>
        <v/>
      </c>
      <c r="H308" s="5" t="n">
        <v>2</v>
      </c>
      <c r="I308" s="8">
        <f>IFERROR(H308/SUMIF($A:$A,A308,$H:$H),0)</f>
        <v/>
      </c>
      <c r="J308" s="9">
        <f>IFERROR(F308/H308,0)</f>
        <v/>
      </c>
      <c r="K308" s="7" t="n">
        <v>0.473900328260223</v>
      </c>
      <c r="L308" s="7" t="n">
        <v>2.02520441659205</v>
      </c>
      <c r="M308" s="9">
        <f>IFERROR(L308/K308,0)</f>
        <v/>
      </c>
      <c r="N308" s="7" t="n">
        <v>1.20672635034318</v>
      </c>
      <c r="O308" s="7" t="n">
        <v>2.81776783049836</v>
      </c>
      <c r="P308" s="9">
        <f>IFERROR(O308/N308,0)</f>
        <v/>
      </c>
      <c r="Q308" s="7">
        <f>K308+N308</f>
        <v/>
      </c>
      <c r="R308" s="7">
        <f>L308+O308</f>
        <v/>
      </c>
      <c r="S308" s="9">
        <f>IFERROR(R308/Q308,0)</f>
        <v/>
      </c>
      <c r="T308" s="8">
        <f>IFERROR(Q308/SUMIF($A:$A,A308,$Q:$Q),0)</f>
        <v/>
      </c>
      <c r="U308" s="8">
        <f>IFERROR(Q308/F308,0)</f>
        <v/>
      </c>
      <c r="V308" s="7">
        <f>F308-R308</f>
        <v/>
      </c>
      <c r="W308" s="8">
        <f>IFERROR(V308/F308,0)</f>
        <v/>
      </c>
      <c r="X308" s="7">
        <f>IFERROR(VLOOKUP(A308,周报其他费用!$A:$B,2,FALSE)*I308,0)</f>
        <v/>
      </c>
      <c r="Y308" s="7" t="n">
        <v>-6.263</v>
      </c>
      <c r="Z308" s="8">
        <f>IFERROR(Y308/G308,0)</f>
        <v/>
      </c>
      <c r="AA308" s="7">
        <f>Y308-K308/1.06</f>
        <v/>
      </c>
      <c r="AB308" s="8">
        <f>IFERROR(AA308/G308,0)</f>
        <v/>
      </c>
      <c r="AC308" s="7">
        <f>Y308-(Q308+X308)/1.06</f>
        <v/>
      </c>
      <c r="AD308" s="8">
        <f>IFERROR(AC308/G308,0)</f>
        <v/>
      </c>
    </row>
    <row r="309" ht="14.25" customHeight="1" s="69">
      <c r="A309" s="5" t="inlineStr">
        <is>
          <t>7.20-7.26</t>
        </is>
      </c>
      <c r="B309" s="5" t="inlineStr">
        <is>
          <t>7.20-7.26</t>
        </is>
      </c>
      <c r="C309" s="119" t="n">
        <v>903183018417</v>
      </c>
      <c r="D309" s="5" t="inlineStr">
        <is>
          <t>杯面混搭</t>
        </is>
      </c>
      <c r="E309" s="5" t="inlineStr">
        <is>
          <t>印尼进口营多捞面杯面原味甜辣蘑菇味整箱速食拌面拉面泡面方便面</t>
        </is>
      </c>
      <c r="F309" s="7" t="n">
        <v>38.36</v>
      </c>
      <c r="G309" s="7">
        <f>IFERROR(F309/1.13,0)</f>
        <v/>
      </c>
      <c r="H309" s="5" t="n">
        <v>2</v>
      </c>
      <c r="I309" s="8">
        <f>IFERROR(H309/SUMIF($A:$A,A309,$H:$H),0)</f>
        <v/>
      </c>
      <c r="J309" s="9">
        <f>IFERROR(F309/H309,0)</f>
        <v/>
      </c>
      <c r="K309" s="7" t="n">
        <v>3.51390032826022</v>
      </c>
      <c r="L309" s="7" t="n">
        <v>2.02520441659205</v>
      </c>
      <c r="M309" s="9">
        <f>IFERROR(L309/K309,0)</f>
        <v/>
      </c>
      <c r="N309" s="7" t="n">
        <v>1.20672635034318</v>
      </c>
      <c r="O309" s="7" t="n">
        <v>2.81776783049836</v>
      </c>
      <c r="P309" s="9">
        <f>IFERROR(O309/N309,0)</f>
        <v/>
      </c>
      <c r="Q309" s="7">
        <f>K309+N309</f>
        <v/>
      </c>
      <c r="R309" s="7">
        <f>L309+O309</f>
        <v/>
      </c>
      <c r="S309" s="9">
        <f>IFERROR(R309/Q309,0)</f>
        <v/>
      </c>
      <c r="T309" s="8">
        <f>IFERROR(Q309/SUMIF($A:$A,A309,$Q:$Q),0)</f>
        <v/>
      </c>
      <c r="U309" s="8">
        <f>IFERROR(Q309/F309,0)</f>
        <v/>
      </c>
      <c r="V309" s="7">
        <f>F309-R309</f>
        <v/>
      </c>
      <c r="W309" s="8">
        <f>IFERROR(V309/F309,0)</f>
        <v/>
      </c>
      <c r="X309" s="7">
        <f>IFERROR(VLOOKUP(A309,周报其他费用!$A:$B,2,FALSE)*I309,0)</f>
        <v/>
      </c>
      <c r="Y309" s="7" t="n">
        <v>3.134</v>
      </c>
      <c r="Z309" s="8">
        <f>IFERROR(Y309/G309,0)</f>
        <v/>
      </c>
      <c r="AA309" s="7">
        <f>Y309-K309/1.06</f>
        <v/>
      </c>
      <c r="AB309" s="8">
        <f>IFERROR(AA309/G309,0)</f>
        <v/>
      </c>
      <c r="AC309" s="7">
        <f>Y309-(Q309+X309)/1.06</f>
        <v/>
      </c>
      <c r="AD309" s="8">
        <f>IFERROR(AC309/G309,0)</f>
        <v/>
      </c>
    </row>
    <row r="310" ht="14.25" customHeight="1" s="69">
      <c r="A310" s="5" t="inlineStr">
        <is>
          <t>7.27-8.2</t>
        </is>
      </c>
      <c r="B310" s="5" t="inlineStr">
        <is>
          <t>7.27-8.2</t>
        </is>
      </c>
      <c r="C310" s="119" t="n">
        <v>668566625747</v>
      </c>
      <c r="D310" s="5" t="inlineStr">
        <is>
          <t>袋面主链接</t>
        </is>
      </c>
      <c r="E310" s="5" t="inlineStr">
        <is>
          <t>印尼营多捞面进口网红泡面袋装方便面速食食品拉面火鸡面拌面整箱</t>
        </is>
      </c>
      <c r="F310" s="7" t="n">
        <v>38360.0000000009</v>
      </c>
      <c r="G310" s="7">
        <f>IFERROR(F310/1.13,0)</f>
        <v/>
      </c>
      <c r="H310" s="5" t="n">
        <v>1566</v>
      </c>
      <c r="I310" s="8">
        <f>IFERROR(H310/SUMIF($A:$A,A310,$H:$H),0)</f>
        <v/>
      </c>
      <c r="J310" s="9">
        <f>IFERROR(F310/H310,0)</f>
        <v/>
      </c>
      <c r="K310" s="7" t="n">
        <v>4534.46114762138</v>
      </c>
      <c r="L310" s="7" t="n">
        <v>31378.8711672389</v>
      </c>
      <c r="M310" s="9">
        <f>IFERROR(L310/K310,0)</f>
        <v/>
      </c>
      <c r="N310" s="7" t="n">
        <v>788.990583619421</v>
      </c>
      <c r="O310" s="7" t="n">
        <v>1697.15153997057</v>
      </c>
      <c r="P310" s="9">
        <f>IFERROR(O310/N310,0)</f>
        <v/>
      </c>
      <c r="Q310" s="7">
        <f>K310+N310</f>
        <v/>
      </c>
      <c r="R310" s="7">
        <f>L310+O310</f>
        <v/>
      </c>
      <c r="S310" s="9">
        <f>IFERROR(R310/Q310,0)</f>
        <v/>
      </c>
      <c r="T310" s="8">
        <f>IFERROR(Q310/SUMIF($A:$A,A310,$Q:$Q),0)</f>
        <v/>
      </c>
      <c r="U310" s="8">
        <f>IFERROR(Q310/F310,0)</f>
        <v/>
      </c>
      <c r="V310" s="7">
        <f>F310-R310</f>
        <v/>
      </c>
      <c r="W310" s="8">
        <f>IFERROR(V310/F310,0)</f>
        <v/>
      </c>
      <c r="X310" s="7">
        <f>IFERROR(VLOOKUP(A310,周报其他费用!$A:$B,2,FALSE)*I310,0)</f>
        <v/>
      </c>
      <c r="Y310" s="7" t="n">
        <v>5163.45700000005</v>
      </c>
      <c r="Z310" s="8">
        <f>IFERROR(Y310/G310,0)</f>
        <v/>
      </c>
      <c r="AA310" s="7">
        <f>Y310-K310/1.06</f>
        <v/>
      </c>
      <c r="AB310" s="8">
        <f>IFERROR(AA310/G310,0)</f>
        <v/>
      </c>
      <c r="AC310" s="7">
        <f>Y310-(Q310+X310)/1.06</f>
        <v/>
      </c>
      <c r="AD310" s="8">
        <f>IFERROR(AC310/G310,0)</f>
        <v/>
      </c>
    </row>
    <row r="311" ht="14.25" customHeight="1" s="69">
      <c r="A311" s="5" t="inlineStr">
        <is>
          <t>7.27-8.2</t>
        </is>
      </c>
      <c r="B311" s="5" t="inlineStr">
        <is>
          <t>7.27-8.2</t>
        </is>
      </c>
      <c r="C311" s="119" t="n">
        <v>649361890551</v>
      </c>
      <c r="D311" s="5" t="inlineStr">
        <is>
          <t>袋面次链接</t>
        </is>
      </c>
      <c r="E311" s="5" t="inlineStr">
        <is>
          <t>营多捞面印尼进口Indomie网红夜宵早餐方便面火鸡面泡面拌面</t>
        </is>
      </c>
      <c r="F311" s="7" t="n">
        <v>15822.6999999999</v>
      </c>
      <c r="G311" s="7">
        <f>IFERROR(F311/1.13,0)</f>
        <v/>
      </c>
      <c r="H311" s="5" t="n">
        <v>793</v>
      </c>
      <c r="I311" s="8">
        <f>IFERROR(H311/SUMIF($A:$A,A311,$H:$H),0)</f>
        <v/>
      </c>
      <c r="J311" s="9">
        <f>IFERROR(F311/H311,0)</f>
        <v/>
      </c>
      <c r="K311" s="7" t="n">
        <v>2709.37466159882</v>
      </c>
      <c r="L311" s="7" t="n">
        <v>14621.8720917116</v>
      </c>
      <c r="M311" s="9">
        <f>IFERROR(L311/K311,0)</f>
        <v/>
      </c>
      <c r="N311" s="7" t="n">
        <v>399.533545855812</v>
      </c>
      <c r="O311" s="7" t="n">
        <v>859.413263854831</v>
      </c>
      <c r="P311" s="9">
        <f>IFERROR(O311/N311,0)</f>
        <v/>
      </c>
      <c r="Q311" s="7">
        <f>K311+N311</f>
        <v/>
      </c>
      <c r="R311" s="7">
        <f>L311+O311</f>
        <v/>
      </c>
      <c r="S311" s="9">
        <f>IFERROR(R311/Q311,0)</f>
        <v/>
      </c>
      <c r="T311" s="8">
        <f>IFERROR(Q311/SUMIF($A:$A,A311,$Q:$Q),0)</f>
        <v/>
      </c>
      <c r="U311" s="8">
        <f>IFERROR(Q311/F311,0)</f>
        <v/>
      </c>
      <c r="V311" s="7">
        <f>F311-R311</f>
        <v/>
      </c>
      <c r="W311" s="8">
        <f>IFERROR(V311/F311,0)</f>
        <v/>
      </c>
      <c r="X311" s="7">
        <f>IFERROR(VLOOKUP(A311,周报其他费用!$A:$B,2,FALSE)*I311,0)</f>
        <v/>
      </c>
      <c r="Y311" s="7" t="n">
        <v>1570.04299999999</v>
      </c>
      <c r="Z311" s="8">
        <f>IFERROR(Y311/G311,0)</f>
        <v/>
      </c>
      <c r="AA311" s="7">
        <f>Y311-K311/1.06</f>
        <v/>
      </c>
      <c r="AB311" s="8">
        <f>IFERROR(AA311/G311,0)</f>
        <v/>
      </c>
      <c r="AC311" s="7">
        <f>Y311-(Q311+X311)/1.06</f>
        <v/>
      </c>
      <c r="AD311" s="8">
        <f>IFERROR(AC311/G311,0)</f>
        <v/>
      </c>
    </row>
    <row r="312" ht="14.25" customHeight="1" s="69">
      <c r="A312" s="5" t="inlineStr">
        <is>
          <t>7.27-8.2</t>
        </is>
      </c>
      <c r="B312" s="5" t="inlineStr">
        <is>
          <t>7.27-8.2</t>
        </is>
      </c>
      <c r="C312" s="119" t="n">
        <v>649735171438</v>
      </c>
      <c r="D312" s="5" t="inlineStr">
        <is>
          <t>杯面主链接</t>
        </is>
      </c>
      <c r="E312" s="5" t="inlineStr">
        <is>
          <t>印尼进口indomie营多捞面杯面速食泡面干拌面盒桶装方便面火鸡面</t>
        </is>
      </c>
      <c r="F312" s="7" t="n">
        <v>15355.2</v>
      </c>
      <c r="G312" s="7">
        <f>IFERROR(F312/1.13,0)</f>
        <v/>
      </c>
      <c r="H312" s="5" t="n">
        <v>619</v>
      </c>
      <c r="I312" s="8">
        <f>IFERROR(H312/SUMIF($A:$A,A312,$H:$H),0)</f>
        <v/>
      </c>
      <c r="J312" s="9">
        <f>IFERROR(F312/H312,0)</f>
        <v/>
      </c>
      <c r="K312" s="7" t="n">
        <v>2185.03453408534</v>
      </c>
      <c r="L312" s="7" t="n">
        <v>10082.8308509073</v>
      </c>
      <c r="M312" s="9">
        <f>IFERROR(L312/K312,0)</f>
        <v/>
      </c>
      <c r="N312" s="7" t="n">
        <v>311.867925453654</v>
      </c>
      <c r="O312" s="7" t="n">
        <v>670.840870524767</v>
      </c>
      <c r="P312" s="9">
        <f>IFERROR(O312/N312,0)</f>
        <v/>
      </c>
      <c r="Q312" s="7">
        <f>K312+N312</f>
        <v/>
      </c>
      <c r="R312" s="7">
        <f>L312+O312</f>
        <v/>
      </c>
      <c r="S312" s="9">
        <f>IFERROR(R312/Q312,0)</f>
        <v/>
      </c>
      <c r="T312" s="8">
        <f>IFERROR(Q312/SUMIF($A:$A,A312,$Q:$Q),0)</f>
        <v/>
      </c>
      <c r="U312" s="8">
        <f>IFERROR(Q312/F312,0)</f>
        <v/>
      </c>
      <c r="V312" s="7">
        <f>F312-R312</f>
        <v/>
      </c>
      <c r="W312" s="8">
        <f>IFERROR(V312/F312,0)</f>
        <v/>
      </c>
      <c r="X312" s="7">
        <f>IFERROR(VLOOKUP(A312,周报其他费用!$A:$B,2,FALSE)*I312,0)</f>
        <v/>
      </c>
      <c r="Y312" s="7" t="n">
        <v>1871.199</v>
      </c>
      <c r="Z312" s="8">
        <f>IFERROR(Y312/G312,0)</f>
        <v/>
      </c>
      <c r="AA312" s="7">
        <f>Y312-K312/1.06</f>
        <v/>
      </c>
      <c r="AB312" s="8">
        <f>IFERROR(AA312/G312,0)</f>
        <v/>
      </c>
      <c r="AC312" s="7">
        <f>Y312-(Q312+X312)/1.06</f>
        <v/>
      </c>
      <c r="AD312" s="8">
        <f>IFERROR(AC312/G312,0)</f>
        <v/>
      </c>
    </row>
    <row r="313" ht="14.25" customHeight="1" s="69">
      <c r="A313" s="5" t="inlineStr">
        <is>
          <t>7.27-8.2</t>
        </is>
      </c>
      <c r="B313" s="5" t="inlineStr">
        <is>
          <t>7.27-8.2</t>
        </is>
      </c>
      <c r="C313" s="119" t="n">
        <v>1058280415678</v>
      </c>
      <c r="D313" s="5" t="inlineStr">
        <is>
          <t>原味大包</t>
        </is>
      </c>
      <c r="E313" s="5" t="inlineStr">
        <is>
          <t>印尼进口大大包营多原味捞面5包干拌面速食超大包方便面速食宵夜</t>
        </is>
      </c>
      <c r="F313" s="7" t="n">
        <v>5107.37</v>
      </c>
      <c r="G313" s="7">
        <f>IFERROR(F313/1.13,0)</f>
        <v/>
      </c>
      <c r="H313" s="5" t="n">
        <v>184</v>
      </c>
      <c r="I313" s="8">
        <f>IFERROR(H313/SUMIF($A:$A,A313,$H:$H),0)</f>
        <v/>
      </c>
      <c r="J313" s="9">
        <f>IFERROR(F313/H313,0)</f>
        <v/>
      </c>
      <c r="K313" s="7" t="n">
        <v>858.639215301618</v>
      </c>
      <c r="L313" s="7" t="n">
        <v>4651.71774889652</v>
      </c>
      <c r="M313" s="9">
        <f>IFERROR(L313/K313,0)</f>
        <v/>
      </c>
      <c r="N313" s="7" t="n">
        <v>92.7038744482589</v>
      </c>
      <c r="O313" s="7" t="n">
        <v>199.409887199608</v>
      </c>
      <c r="P313" s="9">
        <f>IFERROR(O313/N313,0)</f>
        <v/>
      </c>
      <c r="Q313" s="7">
        <f>K313+N313</f>
        <v/>
      </c>
      <c r="R313" s="7">
        <f>L313+O313</f>
        <v/>
      </c>
      <c r="S313" s="9">
        <f>IFERROR(R313/Q313,0)</f>
        <v/>
      </c>
      <c r="T313" s="8">
        <f>IFERROR(Q313/SUMIF($A:$A,A313,$Q:$Q),0)</f>
        <v/>
      </c>
      <c r="U313" s="8">
        <f>IFERROR(Q313/F313,0)</f>
        <v/>
      </c>
      <c r="V313" s="7">
        <f>F313-R313</f>
        <v/>
      </c>
      <c r="W313" s="8">
        <f>IFERROR(V313/F313,0)</f>
        <v/>
      </c>
      <c r="X313" s="7">
        <f>IFERROR(VLOOKUP(A313,周报其他费用!$A:$B,2,FALSE)*I313,0)</f>
        <v/>
      </c>
      <c r="Y313" s="7" t="n">
        <v>1095.84</v>
      </c>
      <c r="Z313" s="8">
        <f>IFERROR(Y313/G313,0)</f>
        <v/>
      </c>
      <c r="AA313" s="7">
        <f>Y313-K313/1.06</f>
        <v/>
      </c>
      <c r="AB313" s="8">
        <f>IFERROR(AA313/G313,0)</f>
        <v/>
      </c>
      <c r="AC313" s="7">
        <f>Y313-(Q313+X313)/1.06</f>
        <v/>
      </c>
      <c r="AD313" s="8">
        <f>IFERROR(AC313/G313,0)</f>
        <v/>
      </c>
    </row>
    <row r="314" ht="14.25" customHeight="1" s="69">
      <c r="A314" s="5" t="inlineStr">
        <is>
          <t>7.27-8.2</t>
        </is>
      </c>
      <c r="B314" s="5" t="inlineStr">
        <is>
          <t>7.27-8.2</t>
        </is>
      </c>
      <c r="C314" s="119" t="n">
        <v>1057479227624</v>
      </c>
      <c r="D314" s="5" t="inlineStr">
        <is>
          <t>巴东牛肉</t>
        </is>
      </c>
      <c r="E314" s="5" t="inlineStr">
        <is>
          <t>【新口味】印尼进口营多捞面巴东炖牛肉味泡面方便面宿舍速食宵夜</t>
        </is>
      </c>
      <c r="F314" s="7" t="n">
        <v>2736.09000000001</v>
      </c>
      <c r="G314" s="7">
        <f>IFERROR(F314/1.13,0)</f>
        <v/>
      </c>
      <c r="H314" s="5" t="n">
        <v>157</v>
      </c>
      <c r="I314" s="8">
        <f>IFERROR(H314/SUMIF($A:$A,A314,$H:$H),0)</f>
        <v/>
      </c>
      <c r="J314" s="9">
        <f>IFERROR(F314/H314,0)</f>
        <v/>
      </c>
      <c r="K314" s="7" t="n">
        <v>805.608678273663</v>
      </c>
      <c r="L314" s="7" t="n">
        <v>3892.90617704757</v>
      </c>
      <c r="M314" s="9">
        <f>IFERROR(L314/K314,0)</f>
        <v/>
      </c>
      <c r="N314" s="7" t="n">
        <v>79.1005885237862</v>
      </c>
      <c r="O314" s="7" t="n">
        <v>170.148653751839</v>
      </c>
      <c r="P314" s="9">
        <f>IFERROR(O314/N314,0)</f>
        <v/>
      </c>
      <c r="Q314" s="7">
        <f>K314+N314</f>
        <v/>
      </c>
      <c r="R314" s="7">
        <f>L314+O314</f>
        <v/>
      </c>
      <c r="S314" s="9">
        <f>IFERROR(R314/Q314,0)</f>
        <v/>
      </c>
      <c r="T314" s="8">
        <f>IFERROR(Q314/SUMIF($A:$A,A314,$Q:$Q),0)</f>
        <v/>
      </c>
      <c r="U314" s="8">
        <f>IFERROR(Q314/F314,0)</f>
        <v/>
      </c>
      <c r="V314" s="7">
        <f>F314-R314</f>
        <v/>
      </c>
      <c r="W314" s="8">
        <f>IFERROR(V314/F314,0)</f>
        <v/>
      </c>
      <c r="X314" s="7">
        <f>IFERROR(VLOOKUP(A314,周报其他费用!$A:$B,2,FALSE)*I314,0)</f>
        <v/>
      </c>
      <c r="Y314" s="7" t="n">
        <v>299.643</v>
      </c>
      <c r="Z314" s="8">
        <f>IFERROR(Y314/G314,0)</f>
        <v/>
      </c>
      <c r="AA314" s="7">
        <f>Y314-K314/1.06</f>
        <v/>
      </c>
      <c r="AB314" s="8">
        <f>IFERROR(AA314/G314,0)</f>
        <v/>
      </c>
      <c r="AC314" s="7">
        <f>Y314-(Q314+X314)/1.06</f>
        <v/>
      </c>
      <c r="AD314" s="8">
        <f>IFERROR(AC314/G314,0)</f>
        <v/>
      </c>
    </row>
    <row r="315" ht="14.25" customHeight="1" s="69">
      <c r="A315" s="5" t="inlineStr">
        <is>
          <t>7.27-8.2</t>
        </is>
      </c>
      <c r="B315" s="5" t="inlineStr">
        <is>
          <t>7.27-8.2</t>
        </is>
      </c>
      <c r="C315" s="119" t="n">
        <v>648600900806</v>
      </c>
      <c r="D315" s="5" t="inlineStr">
        <is>
          <t>30包</t>
        </is>
      </c>
      <c r="E315" s="5" t="inlineStr">
        <is>
          <t>进口营多捞面一整箱30包网红速食方便面宿舍速食泡面干拌面拉面</t>
        </is>
      </c>
      <c r="F315" s="7" t="n">
        <v>10398.16</v>
      </c>
      <c r="G315" s="7">
        <f>IFERROR(F315/1.13,0)</f>
        <v/>
      </c>
      <c r="H315" s="5" t="n">
        <v>153</v>
      </c>
      <c r="I315" s="8">
        <f>IFERROR(H315/SUMIF($A:$A,A315,$H:$H),0)</f>
        <v/>
      </c>
      <c r="J315" s="9">
        <f>IFERROR(F315/H315,0)</f>
        <v/>
      </c>
      <c r="K315" s="7" t="n">
        <v>2406.26304315841</v>
      </c>
      <c r="L315" s="7" t="n">
        <v>10799.1955738107</v>
      </c>
      <c r="M315" s="9">
        <f>IFERROR(L315/K315,0)</f>
        <v/>
      </c>
      <c r="N315" s="7" t="n">
        <v>77.0852869053458</v>
      </c>
      <c r="O315" s="7" t="n">
        <v>165.813656204022</v>
      </c>
      <c r="P315" s="9">
        <f>IFERROR(O315/N315,0)</f>
        <v/>
      </c>
      <c r="Q315" s="7">
        <f>K315+N315</f>
        <v/>
      </c>
      <c r="R315" s="7">
        <f>L315+O315</f>
        <v/>
      </c>
      <c r="S315" s="9">
        <f>IFERROR(R315/Q315,0)</f>
        <v/>
      </c>
      <c r="T315" s="8">
        <f>IFERROR(Q315/SUMIF($A:$A,A315,$Q:$Q),0)</f>
        <v/>
      </c>
      <c r="U315" s="8">
        <f>IFERROR(Q315/F315,0)</f>
        <v/>
      </c>
      <c r="V315" s="7">
        <f>F315-R315</f>
        <v/>
      </c>
      <c r="W315" s="8">
        <f>IFERROR(V315/F315,0)</f>
        <v/>
      </c>
      <c r="X315" s="7">
        <f>IFERROR(VLOOKUP(A315,周报其他费用!$A:$B,2,FALSE)*I315,0)</f>
        <v/>
      </c>
      <c r="Y315" s="7" t="n">
        <v>1930.47</v>
      </c>
      <c r="Z315" s="8">
        <f>IFERROR(Y315/G315,0)</f>
        <v/>
      </c>
      <c r="AA315" s="7">
        <f>Y315-K315/1.06</f>
        <v/>
      </c>
      <c r="AB315" s="8">
        <f>IFERROR(AA315/G315,0)</f>
        <v/>
      </c>
      <c r="AC315" s="7">
        <f>Y315-(Q315+X315)/1.06</f>
        <v/>
      </c>
      <c r="AD315" s="8">
        <f>IFERROR(AC315/G315,0)</f>
        <v/>
      </c>
    </row>
    <row r="316" ht="14.25" customHeight="1" s="69">
      <c r="A316" s="5" t="inlineStr">
        <is>
          <t>7.27-8.2</t>
        </is>
      </c>
      <c r="B316" s="5" t="inlineStr">
        <is>
          <t>7.27-8.2</t>
        </is>
      </c>
      <c r="C316" s="119" t="n">
        <v>649369494424</v>
      </c>
      <c r="D316" s="5" t="inlineStr">
        <is>
          <t>24包经典/牛系列</t>
        </is>
      </c>
      <c r="E316" s="5" t="inlineStr">
        <is>
          <t>营多捞面干拌面一整箱24袋装批发泡面混搭宿舍速食方便面火鸡面</t>
        </is>
      </c>
      <c r="F316" s="7" t="n">
        <v>4152.8</v>
      </c>
      <c r="G316" s="7">
        <f>IFERROR(F316/1.13,0)</f>
        <v/>
      </c>
      <c r="H316" s="5" t="n">
        <v>75</v>
      </c>
      <c r="I316" s="8">
        <f>IFERROR(H316/SUMIF($A:$A,A316,$H:$H),0)</f>
        <v/>
      </c>
      <c r="J316" s="9">
        <f>IFERROR(F316/H316,0)</f>
        <v/>
      </c>
      <c r="K316" s="7" t="n">
        <v>613.928158410986</v>
      </c>
      <c r="L316" s="7" t="n">
        <v>2197.72881069152</v>
      </c>
      <c r="M316" s="9">
        <f>IFERROR(L316/K316,0)</f>
        <v/>
      </c>
      <c r="N316" s="7" t="n">
        <v>37.7869053457577</v>
      </c>
      <c r="O316" s="7" t="n">
        <v>81.2812040215792</v>
      </c>
      <c r="P316" s="9">
        <f>IFERROR(O316/N316,0)</f>
        <v/>
      </c>
      <c r="Q316" s="7">
        <f>K316+N316</f>
        <v/>
      </c>
      <c r="R316" s="7">
        <f>L316+O316</f>
        <v/>
      </c>
      <c r="S316" s="9">
        <f>IFERROR(R316/Q316,0)</f>
        <v/>
      </c>
      <c r="T316" s="8">
        <f>IFERROR(Q316/SUMIF($A:$A,A316,$Q:$Q),0)</f>
        <v/>
      </c>
      <c r="U316" s="8">
        <f>IFERROR(Q316/F316,0)</f>
        <v/>
      </c>
      <c r="V316" s="7">
        <f>F316-R316</f>
        <v/>
      </c>
      <c r="W316" s="8">
        <f>IFERROR(V316/F316,0)</f>
        <v/>
      </c>
      <c r="X316" s="7">
        <f>IFERROR(VLOOKUP(A316,周报其他费用!$A:$B,2,FALSE)*I316,0)</f>
        <v/>
      </c>
      <c r="Y316" s="7" t="n">
        <v>783.0660000000011</v>
      </c>
      <c r="Z316" s="8">
        <f>IFERROR(Y316/G316,0)</f>
        <v/>
      </c>
      <c r="AA316" s="7">
        <f>Y316-K316/1.06</f>
        <v/>
      </c>
      <c r="AB316" s="8">
        <f>IFERROR(AA316/G316,0)</f>
        <v/>
      </c>
      <c r="AC316" s="7">
        <f>Y316-(Q316+X316)/1.06</f>
        <v/>
      </c>
      <c r="AD316" s="8">
        <f>IFERROR(AC316/G316,0)</f>
        <v/>
      </c>
    </row>
    <row r="317" ht="14.25" customHeight="1" s="69">
      <c r="A317" s="5" t="inlineStr">
        <is>
          <t>7.27-8.2</t>
        </is>
      </c>
      <c r="B317" s="5" t="inlineStr">
        <is>
          <t>7.27-8.2</t>
        </is>
      </c>
      <c r="C317" s="119" t="n">
        <v>648681860568</v>
      </c>
      <c r="D317" s="5" t="inlineStr">
        <is>
          <t>杯面次链接</t>
        </is>
      </c>
      <c r="E317" s="5" t="inlineStr">
        <is>
          <t>营多捞面杯装方便面泡面速食干拌面原味整箱批发印尼进口桶装拌面</t>
        </is>
      </c>
      <c r="F317" s="7" t="n">
        <v>1135.09</v>
      </c>
      <c r="G317" s="7">
        <f>IFERROR(F317/1.13,0)</f>
        <v/>
      </c>
      <c r="H317" s="5" t="n">
        <v>66</v>
      </c>
      <c r="I317" s="8">
        <f>IFERROR(H317/SUMIF($A:$A,A317,$H:$H),0)</f>
        <v/>
      </c>
      <c r="J317" s="9">
        <f>IFERROR(F317/H317,0)</f>
        <v/>
      </c>
      <c r="K317" s="7" t="n">
        <v>250.357979401667</v>
      </c>
      <c r="L317" s="7" t="n">
        <v>1223.82495340853</v>
      </c>
      <c r="M317" s="9">
        <f>IFERROR(L317/K317,0)</f>
        <v/>
      </c>
      <c r="N317" s="7" t="n">
        <v>33.2524767042668</v>
      </c>
      <c r="O317" s="7" t="n">
        <v>71.5274595389897</v>
      </c>
      <c r="P317" s="9">
        <f>IFERROR(O317/N317,0)</f>
        <v/>
      </c>
      <c r="Q317" s="7">
        <f>K317+N317</f>
        <v/>
      </c>
      <c r="R317" s="7">
        <f>L317+O317</f>
        <v/>
      </c>
      <c r="S317" s="9">
        <f>IFERROR(R317/Q317,0)</f>
        <v/>
      </c>
      <c r="T317" s="8">
        <f>IFERROR(Q317/SUMIF($A:$A,A317,$Q:$Q),0)</f>
        <v/>
      </c>
      <c r="U317" s="8">
        <f>IFERROR(Q317/F317,0)</f>
        <v/>
      </c>
      <c r="V317" s="7">
        <f>F317-R317</f>
        <v/>
      </c>
      <c r="W317" s="8">
        <f>IFERROR(V317/F317,0)</f>
        <v/>
      </c>
      <c r="X317" s="7">
        <f>IFERROR(VLOOKUP(A317,周报其他费用!$A:$B,2,FALSE)*I317,0)</f>
        <v/>
      </c>
      <c r="Y317" s="7" t="n">
        <v>21.311</v>
      </c>
      <c r="Z317" s="8">
        <f>IFERROR(Y317/G317,0)</f>
        <v/>
      </c>
      <c r="AA317" s="7">
        <f>Y317-K317/1.06</f>
        <v/>
      </c>
      <c r="AB317" s="8">
        <f>IFERROR(AA317/G317,0)</f>
        <v/>
      </c>
      <c r="AC317" s="7">
        <f>Y317-(Q317+X317)/1.06</f>
        <v/>
      </c>
      <c r="AD317" s="8">
        <f>IFERROR(AC317/G317,0)</f>
        <v/>
      </c>
    </row>
    <row r="318" ht="14.25" customHeight="1" s="69">
      <c r="A318" s="5" t="inlineStr">
        <is>
          <t>7.27-8.2</t>
        </is>
      </c>
      <c r="B318" s="5" t="inlineStr">
        <is>
          <t>7.27-8.2</t>
        </is>
      </c>
      <c r="C318" s="119" t="n">
        <v>1060999732877</v>
      </c>
      <c r="D318" s="5" t="inlineStr">
        <is>
          <t>原味大包</t>
        </is>
      </c>
      <c r="E318" s="5" t="inlineStr">
        <is>
          <t>indomie印尼进口营多原味大大包129g捞面方便面速食食品宵夜小吃</t>
        </is>
      </c>
      <c r="F318" s="7" t="n">
        <v>1620.28</v>
      </c>
      <c r="G318" s="7">
        <f>IFERROR(F318/1.13,0)</f>
        <v/>
      </c>
      <c r="H318" s="5" t="n">
        <v>62</v>
      </c>
      <c r="I318" s="8">
        <f>IFERROR(H318/SUMIF($A:$A,A318,$H:$H),0)</f>
        <v/>
      </c>
      <c r="J318" s="9">
        <f>IFERROR(F318/H318,0)</f>
        <v/>
      </c>
      <c r="K318" s="7" t="n">
        <v>350.672344286415</v>
      </c>
      <c r="L318" s="7" t="n">
        <v>1896.23435017165</v>
      </c>
      <c r="M318" s="9">
        <f>IFERROR(L318/K318,0)</f>
        <v/>
      </c>
      <c r="N318" s="7" t="n">
        <v>31.2371750858264</v>
      </c>
      <c r="O318" s="7" t="n">
        <v>67.1924619911721</v>
      </c>
      <c r="P318" s="9">
        <f>IFERROR(O318/N318,0)</f>
        <v/>
      </c>
      <c r="Q318" s="7">
        <f>K318+N318</f>
        <v/>
      </c>
      <c r="R318" s="7">
        <f>L318+O318</f>
        <v/>
      </c>
      <c r="S318" s="9">
        <f>IFERROR(R318/Q318,0)</f>
        <v/>
      </c>
      <c r="T318" s="8">
        <f>IFERROR(Q318/SUMIF($A:$A,A318,$Q:$Q),0)</f>
        <v/>
      </c>
      <c r="U318" s="8">
        <f>IFERROR(Q318/F318,0)</f>
        <v/>
      </c>
      <c r="V318" s="7">
        <f>F318-R318</f>
        <v/>
      </c>
      <c r="W318" s="8">
        <f>IFERROR(V318/F318,0)</f>
        <v/>
      </c>
      <c r="X318" s="7">
        <f>IFERROR(VLOOKUP(A318,周报其他费用!$A:$B,2,FALSE)*I318,0)</f>
        <v/>
      </c>
      <c r="Y318" s="7" t="n">
        <v>339.432</v>
      </c>
      <c r="Z318" s="8">
        <f>IFERROR(Y318/G318,0)</f>
        <v/>
      </c>
      <c r="AA318" s="7">
        <f>Y318-K318/1.06</f>
        <v/>
      </c>
      <c r="AB318" s="8">
        <f>IFERROR(AA318/G318,0)</f>
        <v/>
      </c>
      <c r="AC318" s="7">
        <f>Y318-(Q318+X318)/1.06</f>
        <v/>
      </c>
      <c r="AD318" s="8">
        <f>IFERROR(AC318/G318,0)</f>
        <v/>
      </c>
    </row>
    <row r="319" ht="14.25" customHeight="1" s="69">
      <c r="A319" s="5" t="inlineStr">
        <is>
          <t>7.27-8.2</t>
        </is>
      </c>
      <c r="B319" s="5" t="inlineStr">
        <is>
          <t>7.27-8.2</t>
        </is>
      </c>
      <c r="C319" s="119" t="n">
        <v>648598580775</v>
      </c>
      <c r="D319" s="5" t="inlineStr">
        <is>
          <t>原味大包</t>
        </is>
      </c>
      <c r="E319" s="5" t="inlineStr">
        <is>
          <t>印尼进口大大包营多原味捞面5包干拌面速食超大包方便面速食宵夜</t>
        </is>
      </c>
      <c r="F319" s="7" t="n">
        <v>2210.84</v>
      </c>
      <c r="G319" s="7">
        <f>IFERROR(F319/1.13,0)</f>
        <v/>
      </c>
      <c r="H319" s="5" t="n">
        <v>60</v>
      </c>
      <c r="I319" s="8">
        <f>IFERROR(H319/SUMIF($A:$A,A319,$H:$H),0)</f>
        <v/>
      </c>
      <c r="J319" s="9">
        <f>IFERROR(F319/H319,0)</f>
        <v/>
      </c>
      <c r="K319" s="7" t="n">
        <v>467.024526728789</v>
      </c>
      <c r="L319" s="7" t="n">
        <v>1635.14904855321</v>
      </c>
      <c r="M319" s="9">
        <f>IFERROR(L319/K319,0)</f>
        <v/>
      </c>
      <c r="N319" s="7" t="n">
        <v>30.2295242766062</v>
      </c>
      <c r="O319" s="7" t="n">
        <v>65.02496321726341</v>
      </c>
      <c r="P319" s="9">
        <f>IFERROR(O319/N319,0)</f>
        <v/>
      </c>
      <c r="Q319" s="7">
        <f>K319+N319</f>
        <v/>
      </c>
      <c r="R319" s="7">
        <f>L319+O319</f>
        <v/>
      </c>
      <c r="S319" s="9">
        <f>IFERROR(R319/Q319,0)</f>
        <v/>
      </c>
      <c r="T319" s="8">
        <f>IFERROR(Q319/SUMIF($A:$A,A319,$Q:$Q),0)</f>
        <v/>
      </c>
      <c r="U319" s="8">
        <f>IFERROR(Q319/F319,0)</f>
        <v/>
      </c>
      <c r="V319" s="7">
        <f>F319-R319</f>
        <v/>
      </c>
      <c r="W319" s="8">
        <f>IFERROR(V319/F319,0)</f>
        <v/>
      </c>
      <c r="X319" s="7">
        <f>IFERROR(VLOOKUP(A319,周报其他费用!$A:$B,2,FALSE)*I319,0)</f>
        <v/>
      </c>
      <c r="Y319" s="7" t="n">
        <v>413.688</v>
      </c>
      <c r="Z319" s="8">
        <f>IFERROR(Y319/G319,0)</f>
        <v/>
      </c>
      <c r="AA319" s="7">
        <f>Y319-K319/1.06</f>
        <v/>
      </c>
      <c r="AB319" s="8">
        <f>IFERROR(AA319/G319,0)</f>
        <v/>
      </c>
      <c r="AC319" s="7">
        <f>Y319-(Q319+X319)/1.06</f>
        <v/>
      </c>
      <c r="AD319" s="8">
        <f>IFERROR(AC319/G319,0)</f>
        <v/>
      </c>
    </row>
    <row r="320" ht="14.25" customHeight="1" s="69">
      <c r="A320" s="5" t="inlineStr">
        <is>
          <t>7.27-8.2</t>
        </is>
      </c>
      <c r="B320" s="5" t="inlineStr">
        <is>
          <t>7.27-8.2</t>
        </is>
      </c>
      <c r="C320" s="119" t="n">
        <v>649014937782</v>
      </c>
      <c r="D320" s="5" t="inlineStr">
        <is>
          <t>24包</t>
        </is>
      </c>
      <c r="E320" s="5" t="inlineStr">
        <is>
          <t>印尼营多捞面干拌面一整箱24袋装批发泡面宿舍速食方便面火鸡面</t>
        </is>
      </c>
      <c r="F320" s="7" t="n">
        <v>3108.81</v>
      </c>
      <c r="G320" s="7">
        <f>IFERROR(F320/1.13,0)</f>
        <v/>
      </c>
      <c r="H320" s="5" t="n">
        <v>56</v>
      </c>
      <c r="I320" s="8">
        <f>IFERROR(H320/SUMIF($A:$A,A320,$H:$H),0)</f>
        <v/>
      </c>
      <c r="J320" s="9">
        <f>IFERROR(F320/H320,0)</f>
        <v/>
      </c>
      <c r="K320" s="7" t="n">
        <v>804.5488916135359</v>
      </c>
      <c r="L320" s="7" t="n">
        <v>2301.44844531633</v>
      </c>
      <c r="M320" s="9">
        <f>IFERROR(L320/K320,0)</f>
        <v/>
      </c>
      <c r="N320" s="7" t="n">
        <v>28.2142226581658</v>
      </c>
      <c r="O320" s="7" t="n">
        <v>60.6899656694458</v>
      </c>
      <c r="P320" s="9">
        <f>IFERROR(O320/N320,0)</f>
        <v/>
      </c>
      <c r="Q320" s="7">
        <f>K320+N320</f>
        <v/>
      </c>
      <c r="R320" s="7">
        <f>L320+O320</f>
        <v/>
      </c>
      <c r="S320" s="9">
        <f>IFERROR(R320/Q320,0)</f>
        <v/>
      </c>
      <c r="T320" s="8">
        <f>IFERROR(Q320/SUMIF($A:$A,A320,$Q:$Q),0)</f>
        <v/>
      </c>
      <c r="U320" s="8">
        <f>IFERROR(Q320/F320,0)</f>
        <v/>
      </c>
      <c r="V320" s="7">
        <f>F320-R320</f>
        <v/>
      </c>
      <c r="W320" s="8">
        <f>IFERROR(V320/F320,0)</f>
        <v/>
      </c>
      <c r="X320" s="7">
        <f>IFERROR(VLOOKUP(A320,周报其他费用!$A:$B,2,FALSE)*I320,0)</f>
        <v/>
      </c>
      <c r="Y320" s="7" t="n">
        <v>578.087000000001</v>
      </c>
      <c r="Z320" s="8">
        <f>IFERROR(Y320/G320,0)</f>
        <v/>
      </c>
      <c r="AA320" s="7">
        <f>Y320-K320/1.06</f>
        <v/>
      </c>
      <c r="AB320" s="8">
        <f>IFERROR(AA320/G320,0)</f>
        <v/>
      </c>
      <c r="AC320" s="7">
        <f>Y320-(Q320+X320)/1.06</f>
        <v/>
      </c>
      <c r="AD320" s="8">
        <f>IFERROR(AC320/G320,0)</f>
        <v/>
      </c>
    </row>
    <row r="321" ht="14.25" customHeight="1" s="69">
      <c r="A321" s="5" t="inlineStr">
        <is>
          <t>7.27-8.2</t>
        </is>
      </c>
      <c r="B321" s="5" t="inlineStr">
        <is>
          <t>7.27-8.2</t>
        </is>
      </c>
      <c r="C321" s="119" t="n">
        <v>1013887677295</v>
      </c>
      <c r="D321" s="5" t="inlineStr">
        <is>
          <t>原味大包</t>
        </is>
      </c>
      <c r="E321" s="5" t="inlineStr">
        <is>
          <t>indomie印尼进口营多原味大大包129g捞面方便面速食食品宵夜小吃</t>
        </is>
      </c>
      <c r="F321" s="7" t="n">
        <v>1457.75</v>
      </c>
      <c r="G321" s="7">
        <f>IFERROR(F321/1.13,0)</f>
        <v/>
      </c>
      <c r="H321" s="5" t="n">
        <v>52</v>
      </c>
      <c r="I321" s="8">
        <f>IFERROR(H321/SUMIF($A:$A,A321,$H:$H),0)</f>
        <v/>
      </c>
      <c r="J321" s="9">
        <f>IFERROR(F321/H321,0)</f>
        <v/>
      </c>
      <c r="K321" s="7" t="n">
        <v>270.693256498284</v>
      </c>
      <c r="L321" s="7" t="n">
        <v>985.907842079451</v>
      </c>
      <c r="M321" s="9">
        <f>IFERROR(L321/K321,0)</f>
        <v/>
      </c>
      <c r="N321" s="7" t="n">
        <v>26.1989210397254</v>
      </c>
      <c r="O321" s="7" t="n">
        <v>56.3549681216282</v>
      </c>
      <c r="P321" s="9">
        <f>IFERROR(O321/N321,0)</f>
        <v/>
      </c>
      <c r="Q321" s="7">
        <f>K321+N321</f>
        <v/>
      </c>
      <c r="R321" s="7">
        <f>L321+O321</f>
        <v/>
      </c>
      <c r="S321" s="9">
        <f>IFERROR(R321/Q321,0)</f>
        <v/>
      </c>
      <c r="T321" s="8">
        <f>IFERROR(Q321/SUMIF($A:$A,A321,$Q:$Q),0)</f>
        <v/>
      </c>
      <c r="U321" s="8">
        <f>IFERROR(Q321/F321,0)</f>
        <v/>
      </c>
      <c r="V321" s="7">
        <f>F321-R321</f>
        <v/>
      </c>
      <c r="W321" s="8">
        <f>IFERROR(V321/F321,0)</f>
        <v/>
      </c>
      <c r="X321" s="7">
        <f>IFERROR(VLOOKUP(A321,周报其他费用!$A:$B,2,FALSE)*I321,0)</f>
        <v/>
      </c>
      <c r="Y321" s="7" t="n">
        <v>158.29</v>
      </c>
      <c r="Z321" s="8">
        <f>IFERROR(Y321/G321,0)</f>
        <v/>
      </c>
      <c r="AA321" s="7">
        <f>Y321-K321/1.06</f>
        <v/>
      </c>
      <c r="AB321" s="8">
        <f>IFERROR(AA321/G321,0)</f>
        <v/>
      </c>
      <c r="AC321" s="7">
        <f>Y321-(Q321+X321)/1.06</f>
        <v/>
      </c>
      <c r="AD321" s="8">
        <f>IFERROR(AC321/G321,0)</f>
        <v/>
      </c>
    </row>
    <row r="322" ht="14.25" customHeight="1" s="69">
      <c r="A322" s="5" t="inlineStr">
        <is>
          <t>7.27-8.2</t>
        </is>
      </c>
      <c r="B322" s="5" t="inlineStr">
        <is>
          <t>7.27-8.2</t>
        </is>
      </c>
      <c r="C322" s="119" t="n">
        <v>929504658691</v>
      </c>
      <c r="D322" s="5" t="inlineStr">
        <is>
          <t>巴东牛肉</t>
        </is>
      </c>
      <c r="E322" s="5" t="inlineStr">
        <is>
          <t>营多进口新口味巴东炖牛肉味捞面印尼料理方便面泡面捞面夜宵速食</t>
        </is>
      </c>
      <c r="F322" s="7" t="n">
        <v>585.7</v>
      </c>
      <c r="G322" s="7">
        <f>IFERROR(F322/1.13,0)</f>
        <v/>
      </c>
      <c r="H322" s="5" t="n">
        <v>28</v>
      </c>
      <c r="I322" s="8">
        <f>IFERROR(H322/SUMIF($A:$A,A322,$H:$H),0)</f>
        <v/>
      </c>
      <c r="J322" s="9">
        <f>IFERROR(F322/H322,0)</f>
        <v/>
      </c>
      <c r="K322" s="7" t="n">
        <v>130.489445806768</v>
      </c>
      <c r="L322" s="7" t="n">
        <v>527.904222658166</v>
      </c>
      <c r="M322" s="9">
        <f>IFERROR(L322/K322,0)</f>
        <v/>
      </c>
      <c r="N322" s="7" t="n">
        <v>14.1071113290829</v>
      </c>
      <c r="O322" s="7" t="n">
        <v>30.3449828347229</v>
      </c>
      <c r="P322" s="9">
        <f>IFERROR(O322/N322,0)</f>
        <v/>
      </c>
      <c r="Q322" s="7">
        <f>K322+N322</f>
        <v/>
      </c>
      <c r="R322" s="7">
        <f>L322+O322</f>
        <v/>
      </c>
      <c r="S322" s="9">
        <f>IFERROR(R322/Q322,0)</f>
        <v/>
      </c>
      <c r="T322" s="8">
        <f>IFERROR(Q322/SUMIF($A:$A,A322,$Q:$Q),0)</f>
        <v/>
      </c>
      <c r="U322" s="8">
        <f>IFERROR(Q322/F322,0)</f>
        <v/>
      </c>
      <c r="V322" s="7">
        <f>F322-R322</f>
        <v/>
      </c>
      <c r="W322" s="8">
        <f>IFERROR(V322/F322,0)</f>
        <v/>
      </c>
      <c r="X322" s="7">
        <f>IFERROR(VLOOKUP(A322,周报其他费用!$A:$B,2,FALSE)*I322,0)</f>
        <v/>
      </c>
      <c r="Y322" s="7" t="n">
        <v>71.306</v>
      </c>
      <c r="Z322" s="8">
        <f>IFERROR(Y322/G322,0)</f>
        <v/>
      </c>
      <c r="AA322" s="7">
        <f>Y322-K322/1.06</f>
        <v/>
      </c>
      <c r="AB322" s="8">
        <f>IFERROR(AA322/G322,0)</f>
        <v/>
      </c>
      <c r="AC322" s="7">
        <f>Y322-(Q322+X322)/1.06</f>
        <v/>
      </c>
      <c r="AD322" s="8">
        <f>IFERROR(AC322/G322,0)</f>
        <v/>
      </c>
    </row>
    <row r="323" ht="14.25" customHeight="1" s="69">
      <c r="A323" s="5" t="inlineStr">
        <is>
          <t>7.27-8.2</t>
        </is>
      </c>
      <c r="B323" s="5" t="inlineStr">
        <is>
          <t>7.27-8.2</t>
        </is>
      </c>
      <c r="C323" s="119" t="n">
        <v>969423151512</v>
      </c>
      <c r="D323" s="5" t="inlineStr">
        <is>
          <t>日韩混搭</t>
        </is>
      </c>
      <c r="E323" s="5" t="inlineStr">
        <is>
          <t>营多捞面甜辣炸鸡火鸡面辣蘑菇泡面方便面速食干拌面宿舍宵夜旅行</t>
        </is>
      </c>
      <c r="F323" s="7" t="n">
        <v>510.77</v>
      </c>
      <c r="G323" s="7">
        <f>IFERROR(F323/1.13,0)</f>
        <v/>
      </c>
      <c r="H323" s="5" t="n">
        <v>24</v>
      </c>
      <c r="I323" s="8">
        <f>IFERROR(H323/SUMIF($A:$A,A323,$H:$H),0)</f>
        <v/>
      </c>
      <c r="J323" s="9">
        <f>IFERROR(F323/H323,0)</f>
        <v/>
      </c>
      <c r="K323" s="7" t="n">
        <v>111.833810691515</v>
      </c>
      <c r="L323" s="7" t="n">
        <v>471.773619421285</v>
      </c>
      <c r="M323" s="9">
        <f>IFERROR(L323/K323,0)</f>
        <v/>
      </c>
      <c r="N323" s="7" t="n">
        <v>12.0918097106425</v>
      </c>
      <c r="O323" s="7" t="n">
        <v>26.0099852869053</v>
      </c>
      <c r="P323" s="9">
        <f>IFERROR(O323/N323,0)</f>
        <v/>
      </c>
      <c r="Q323" s="7">
        <f>K323+N323</f>
        <v/>
      </c>
      <c r="R323" s="7">
        <f>L323+O323</f>
        <v/>
      </c>
      <c r="S323" s="9">
        <f>IFERROR(R323/Q323,0)</f>
        <v/>
      </c>
      <c r="T323" s="8">
        <f>IFERROR(Q323/SUMIF($A:$A,A323,$Q:$Q),0)</f>
        <v/>
      </c>
      <c r="U323" s="8">
        <f>IFERROR(Q323/F323,0)</f>
        <v/>
      </c>
      <c r="V323" s="7">
        <f>F323-R323</f>
        <v/>
      </c>
      <c r="W323" s="8">
        <f>IFERROR(V323/F323,0)</f>
        <v/>
      </c>
      <c r="X323" s="7">
        <f>IFERROR(VLOOKUP(A323,周报其他费用!$A:$B,2,FALSE)*I323,0)</f>
        <v/>
      </c>
      <c r="Y323" s="7" t="n">
        <v>67.911</v>
      </c>
      <c r="Z323" s="8">
        <f>IFERROR(Y323/G323,0)</f>
        <v/>
      </c>
      <c r="AA323" s="7">
        <f>Y323-K323/1.06</f>
        <v/>
      </c>
      <c r="AB323" s="8">
        <f>IFERROR(AA323/G323,0)</f>
        <v/>
      </c>
      <c r="AC323" s="7">
        <f>Y323-(Q323+X323)/1.06</f>
        <v/>
      </c>
      <c r="AD323" s="8">
        <f>IFERROR(AC323/G323,0)</f>
        <v/>
      </c>
    </row>
    <row r="324" ht="14.25" customHeight="1" s="69">
      <c r="A324" s="5" t="inlineStr">
        <is>
          <t>7.27-8.2</t>
        </is>
      </c>
      <c r="B324" s="5" t="inlineStr">
        <is>
          <t>7.27-8.2</t>
        </is>
      </c>
      <c r="C324" s="119" t="n">
        <v>766165464414</v>
      </c>
      <c r="D324" s="5" t="inlineStr">
        <is>
          <t>12包</t>
        </is>
      </c>
      <c r="E324" s="5" t="inlineStr">
        <is>
          <t>营多印尼进口营多捞面方便面火鸡面干拌面12包宿舍速食泡面夜宵</t>
        </is>
      </c>
      <c r="F324" s="7" t="n">
        <v>653.6900000000001</v>
      </c>
      <c r="G324" s="7">
        <f>IFERROR(F324/1.13,0)</f>
        <v/>
      </c>
      <c r="H324" s="5" t="n">
        <v>22</v>
      </c>
      <c r="I324" s="8">
        <f>IFERROR(H324/SUMIF($A:$A,A324,$H:$H),0)</f>
        <v/>
      </c>
      <c r="J324" s="9">
        <f>IFERROR(F324/H324,0)</f>
        <v/>
      </c>
      <c r="K324" s="7" t="n">
        <v>16.5159931338892</v>
      </c>
      <c r="L324" s="7" t="n">
        <v>84.1983178028448</v>
      </c>
      <c r="M324" s="9">
        <f>IFERROR(L324/K324,0)</f>
        <v/>
      </c>
      <c r="N324" s="7" t="n">
        <v>11.0841589014223</v>
      </c>
      <c r="O324" s="7" t="n">
        <v>23.8424865129966</v>
      </c>
      <c r="P324" s="9">
        <f>IFERROR(O324/N324,0)</f>
        <v/>
      </c>
      <c r="Q324" s="7">
        <f>K324+N324</f>
        <v/>
      </c>
      <c r="R324" s="7">
        <f>L324+O324</f>
        <v/>
      </c>
      <c r="S324" s="9">
        <f>IFERROR(R324/Q324,0)</f>
        <v/>
      </c>
      <c r="T324" s="8">
        <f>IFERROR(Q324/SUMIF($A:$A,A324,$Q:$Q),0)</f>
        <v/>
      </c>
      <c r="U324" s="8">
        <f>IFERROR(Q324/F324,0)</f>
        <v/>
      </c>
      <c r="V324" s="7">
        <f>F324-R324</f>
        <v/>
      </c>
      <c r="W324" s="8">
        <f>IFERROR(V324/F324,0)</f>
        <v/>
      </c>
      <c r="X324" s="7">
        <f>IFERROR(VLOOKUP(A324,周报其他费用!$A:$B,2,FALSE)*I324,0)</f>
        <v/>
      </c>
      <c r="Y324" s="7" t="n">
        <v>95.274</v>
      </c>
      <c r="Z324" s="8">
        <f>IFERROR(Y324/G324,0)</f>
        <v/>
      </c>
      <c r="AA324" s="7">
        <f>Y324-K324/1.06</f>
        <v/>
      </c>
      <c r="AB324" s="8">
        <f>IFERROR(AA324/G324,0)</f>
        <v/>
      </c>
      <c r="AC324" s="7">
        <f>Y324-(Q324+X324)/1.06</f>
        <v/>
      </c>
      <c r="AD324" s="8">
        <f>IFERROR(AC324/G324,0)</f>
        <v/>
      </c>
    </row>
    <row r="325" ht="14.25" customHeight="1" s="69">
      <c r="A325" s="5" t="inlineStr">
        <is>
          <t>7.27-8.2</t>
        </is>
      </c>
      <c r="B325" s="5" t="inlineStr">
        <is>
          <t>7.27-8.2</t>
        </is>
      </c>
      <c r="C325" s="119" t="n">
        <v>735014804839</v>
      </c>
      <c r="D325" s="5" t="inlineStr">
        <is>
          <t>24/30包</t>
        </is>
      </c>
      <c r="E325" s="5" t="inlineStr">
        <is>
          <t>进口营多捞面多口味Indomie网红方便面干拌面泡面30包整箱批发面</t>
        </is>
      </c>
      <c r="F325" s="7" t="n">
        <v>1372.92</v>
      </c>
      <c r="G325" s="7">
        <f>IFERROR(F325/1.13,0)</f>
        <v/>
      </c>
      <c r="H325" s="5" t="n">
        <v>21</v>
      </c>
      <c r="I325" s="8">
        <f>IFERROR(H325/SUMIF($A:$A,A325,$H:$H),0)</f>
        <v/>
      </c>
      <c r="J325" s="9">
        <f>IFERROR(F325/H325,0)</f>
        <v/>
      </c>
      <c r="K325" s="7" t="n">
        <v>242.467084355076</v>
      </c>
      <c r="L325" s="7" t="n">
        <v>1239.30566699362</v>
      </c>
      <c r="M325" s="9">
        <f>IFERROR(L325/K325,0)</f>
        <v/>
      </c>
      <c r="N325" s="7" t="n">
        <v>10.5803334968122</v>
      </c>
      <c r="O325" s="7" t="n">
        <v>22.7587371260422</v>
      </c>
      <c r="P325" s="9">
        <f>IFERROR(O325/N325,0)</f>
        <v/>
      </c>
      <c r="Q325" s="7">
        <f>K325+N325</f>
        <v/>
      </c>
      <c r="R325" s="7">
        <f>L325+O325</f>
        <v/>
      </c>
      <c r="S325" s="9">
        <f>IFERROR(R325/Q325,0)</f>
        <v/>
      </c>
      <c r="T325" s="8">
        <f>IFERROR(Q325/SUMIF($A:$A,A325,$Q:$Q),0)</f>
        <v/>
      </c>
      <c r="U325" s="8">
        <f>IFERROR(Q325/F325,0)</f>
        <v/>
      </c>
      <c r="V325" s="7">
        <f>F325-R325</f>
        <v/>
      </c>
      <c r="W325" s="8">
        <f>IFERROR(V325/F325,0)</f>
        <v/>
      </c>
      <c r="X325" s="7">
        <f>IFERROR(VLOOKUP(A325,周报其他费用!$A:$B,2,FALSE)*I325,0)</f>
        <v/>
      </c>
      <c r="Y325" s="7" t="n">
        <v>229.703</v>
      </c>
      <c r="Z325" s="8">
        <f>IFERROR(Y325/G325,0)</f>
        <v/>
      </c>
      <c r="AA325" s="7">
        <f>Y325-K325/1.06</f>
        <v/>
      </c>
      <c r="AB325" s="8">
        <f>IFERROR(AA325/G325,0)</f>
        <v/>
      </c>
      <c r="AC325" s="7">
        <f>Y325-(Q325+X325)/1.06</f>
        <v/>
      </c>
      <c r="AD325" s="8">
        <f>IFERROR(AC325/G325,0)</f>
        <v/>
      </c>
    </row>
    <row r="326" ht="14.25" customHeight="1" s="69">
      <c r="A326" s="5" t="inlineStr">
        <is>
          <t>7.27-8.2</t>
        </is>
      </c>
      <c r="B326" s="5" t="inlineStr">
        <is>
          <t>7.27-8.2</t>
        </is>
      </c>
      <c r="C326" s="119" t="n">
        <v>744317232690</v>
      </c>
      <c r="D326" s="5" t="inlineStr">
        <is>
          <t>多规格</t>
        </is>
      </c>
      <c r="E326" s="5" t="inlineStr">
        <is>
          <t>营多捞面汤面清香牛肉味方便面泡面速食食品泡面拉面整箱旅行宿舍</t>
        </is>
      </c>
      <c r="F326" s="7" t="n">
        <v>338.89</v>
      </c>
      <c r="G326" s="7">
        <f>IFERROR(F326/1.13,0)</f>
        <v/>
      </c>
      <c r="H326" s="5" t="n">
        <v>18</v>
      </c>
      <c r="I326" s="8">
        <f>IFERROR(H326/SUMIF($A:$A,A326,$H:$H),0)</f>
        <v/>
      </c>
      <c r="J326" s="9">
        <f>IFERROR(F326/H326,0)</f>
        <v/>
      </c>
      <c r="K326" s="7" t="n">
        <v>63.1603580186366</v>
      </c>
      <c r="L326" s="7" t="n">
        <v>176.677714565964</v>
      </c>
      <c r="M326" s="9">
        <f>IFERROR(L326/K326,0)</f>
        <v/>
      </c>
      <c r="N326" s="7" t="n">
        <v>9.068857282981851</v>
      </c>
      <c r="O326" s="7" t="n">
        <v>19.507488965179</v>
      </c>
      <c r="P326" s="9">
        <f>IFERROR(O326/N326,0)</f>
        <v/>
      </c>
      <c r="Q326" s="7">
        <f>K326+N326</f>
        <v/>
      </c>
      <c r="R326" s="7">
        <f>L326+O326</f>
        <v/>
      </c>
      <c r="S326" s="9">
        <f>IFERROR(R326/Q326,0)</f>
        <v/>
      </c>
      <c r="T326" s="8">
        <f>IFERROR(Q326/SUMIF($A:$A,A326,$Q:$Q),0)</f>
        <v/>
      </c>
      <c r="U326" s="8">
        <f>IFERROR(Q326/F326,0)</f>
        <v/>
      </c>
      <c r="V326" s="7">
        <f>F326-R326</f>
        <v/>
      </c>
      <c r="W326" s="8">
        <f>IFERROR(V326/F326,0)</f>
        <v/>
      </c>
      <c r="X326" s="7">
        <f>IFERROR(VLOOKUP(A326,周报其他费用!$A:$B,2,FALSE)*I326,0)</f>
        <v/>
      </c>
      <c r="Y326" s="7" t="n">
        <v>37.021</v>
      </c>
      <c r="Z326" s="8">
        <f>IFERROR(Y326/G326,0)</f>
        <v/>
      </c>
      <c r="AA326" s="7">
        <f>Y326-K326/1.06</f>
        <v/>
      </c>
      <c r="AB326" s="8">
        <f>IFERROR(AA326/G326,0)</f>
        <v/>
      </c>
      <c r="AC326" s="7">
        <f>Y326-(Q326+X326)/1.06</f>
        <v/>
      </c>
      <c r="AD326" s="8">
        <f>IFERROR(AC326/G326,0)</f>
        <v/>
      </c>
    </row>
    <row r="327" ht="14.25" customHeight="1" s="69">
      <c r="A327" s="5" t="inlineStr">
        <is>
          <t>7.27-8.2</t>
        </is>
      </c>
      <c r="B327" s="5" t="inlineStr">
        <is>
          <t>7.27-8.2</t>
        </is>
      </c>
      <c r="C327" s="119" t="n">
        <v>1059563993918</v>
      </c>
      <c r="D327" s="5" t="inlineStr">
        <is>
          <t>巴东牛肉</t>
        </is>
      </c>
      <c r="E327" s="5" t="inlineStr">
        <is>
          <t>营多进口新口味巴东炖牛肉味捞面印尼料理方便面泡面捞面夜宵速食</t>
        </is>
      </c>
      <c r="F327" s="7" t="n">
        <v>290.01</v>
      </c>
      <c r="G327" s="7">
        <f>IFERROR(F327/1.13,0)</f>
        <v/>
      </c>
      <c r="H327" s="5" t="n">
        <v>17</v>
      </c>
      <c r="I327" s="8">
        <f>IFERROR(H327/SUMIF($A:$A,A327,$H:$H),0)</f>
        <v/>
      </c>
      <c r="J327" s="9">
        <f>IFERROR(F327/H327,0)</f>
        <v/>
      </c>
      <c r="K327" s="7" t="n">
        <v>48.3214492398234</v>
      </c>
      <c r="L327" s="7" t="n">
        <v>254.365063756744</v>
      </c>
      <c r="M327" s="9">
        <f>IFERROR(L327/K327,0)</f>
        <v/>
      </c>
      <c r="N327" s="7" t="n">
        <v>8.56503187837175</v>
      </c>
      <c r="O327" s="7" t="n">
        <v>18.4237395782246</v>
      </c>
      <c r="P327" s="9">
        <f>IFERROR(O327/N327,0)</f>
        <v/>
      </c>
      <c r="Q327" s="7">
        <f>K327+N327</f>
        <v/>
      </c>
      <c r="R327" s="7">
        <f>L327+O327</f>
        <v/>
      </c>
      <c r="S327" s="9">
        <f>IFERROR(R327/Q327,0)</f>
        <v/>
      </c>
      <c r="T327" s="8">
        <f>IFERROR(Q327/SUMIF($A:$A,A327,$Q:$Q),0)</f>
        <v/>
      </c>
      <c r="U327" s="8">
        <f>IFERROR(Q327/F327,0)</f>
        <v/>
      </c>
      <c r="V327" s="7">
        <f>F327-R327</f>
        <v/>
      </c>
      <c r="W327" s="8">
        <f>IFERROR(V327/F327,0)</f>
        <v/>
      </c>
      <c r="X327" s="7">
        <f>IFERROR(VLOOKUP(A327,周报其他费用!$A:$B,2,FALSE)*I327,0)</f>
        <v/>
      </c>
      <c r="Y327" s="7" t="n">
        <v>32.063</v>
      </c>
      <c r="Z327" s="8">
        <f>IFERROR(Y327/G327,0)</f>
        <v/>
      </c>
      <c r="AA327" s="7">
        <f>Y327-K327/1.06</f>
        <v/>
      </c>
      <c r="AB327" s="8">
        <f>IFERROR(AA327/G327,0)</f>
        <v/>
      </c>
      <c r="AC327" s="7">
        <f>Y327-(Q327+X327)/1.06</f>
        <v/>
      </c>
      <c r="AD327" s="8">
        <f>IFERROR(AC327/G327,0)</f>
        <v/>
      </c>
    </row>
    <row r="328" ht="14.25" customHeight="1" s="69">
      <c r="A328" s="5" t="inlineStr">
        <is>
          <t>7.27-8.2</t>
        </is>
      </c>
      <c r="B328" s="5" t="inlineStr">
        <is>
          <t>7.27-8.2</t>
        </is>
      </c>
      <c r="C328" s="119" t="n">
        <v>971242260371</v>
      </c>
      <c r="D328" s="5" t="inlineStr">
        <is>
          <t>韩式袋面</t>
        </is>
      </c>
      <c r="E328" s="5" t="inlineStr">
        <is>
          <t>新品营多捞面韩式辣蘑菇汤面泡面方便面速食干拌面宿舍宵夜旅行</t>
        </is>
      </c>
      <c r="F328" s="7" t="n">
        <v>268.55</v>
      </c>
      <c r="G328" s="7">
        <f>IFERROR(F328/1.13,0)</f>
        <v/>
      </c>
      <c r="H328" s="5" t="n">
        <v>12</v>
      </c>
      <c r="I328" s="8">
        <f>IFERROR(H328/SUMIF($A:$A,A328,$H:$H),0)</f>
        <v/>
      </c>
      <c r="J328" s="9">
        <f>IFERROR(F328/H328,0)</f>
        <v/>
      </c>
      <c r="K328" s="7" t="n">
        <v>61.5969053457577</v>
      </c>
      <c r="L328" s="7" t="n">
        <v>285.211809710643</v>
      </c>
      <c r="M328" s="9">
        <f>IFERROR(L328/K328,0)</f>
        <v/>
      </c>
      <c r="N328" s="7" t="n">
        <v>6.04590485532124</v>
      </c>
      <c r="O328" s="7" t="n">
        <v>13.0049926434527</v>
      </c>
      <c r="P328" s="9">
        <f>IFERROR(O328/N328,0)</f>
        <v/>
      </c>
      <c r="Q328" s="7">
        <f>K328+N328</f>
        <v/>
      </c>
      <c r="R328" s="7">
        <f>L328+O328</f>
        <v/>
      </c>
      <c r="S328" s="9">
        <f>IFERROR(R328/Q328,0)</f>
        <v/>
      </c>
      <c r="T328" s="8">
        <f>IFERROR(Q328/SUMIF($A:$A,A328,$Q:$Q),0)</f>
        <v/>
      </c>
      <c r="U328" s="8">
        <f>IFERROR(Q328/F328,0)</f>
        <v/>
      </c>
      <c r="V328" s="7">
        <f>F328-R328</f>
        <v/>
      </c>
      <c r="W328" s="8">
        <f>IFERROR(V328/F328,0)</f>
        <v/>
      </c>
      <c r="X328" s="7">
        <f>IFERROR(VLOOKUP(A328,周报其他费用!$A:$B,2,FALSE)*I328,0)</f>
        <v/>
      </c>
      <c r="Y328" s="7" t="n">
        <v>39.409</v>
      </c>
      <c r="Z328" s="8">
        <f>IFERROR(Y328/G328,0)</f>
        <v/>
      </c>
      <c r="AA328" s="7">
        <f>Y328-K328/1.06</f>
        <v/>
      </c>
      <c r="AB328" s="8">
        <f>IFERROR(AA328/G328,0)</f>
        <v/>
      </c>
      <c r="AC328" s="7">
        <f>Y328-(Q328+X328)/1.06</f>
        <v/>
      </c>
      <c r="AD328" s="8">
        <f>IFERROR(AC328/G328,0)</f>
        <v/>
      </c>
    </row>
    <row r="329" ht="14.25" customHeight="1" s="69">
      <c r="A329" s="5" t="inlineStr">
        <is>
          <t>7.27-8.2</t>
        </is>
      </c>
      <c r="B329" s="5" t="inlineStr">
        <is>
          <t>7.27-8.2</t>
        </is>
      </c>
      <c r="C329" s="119" t="n">
        <v>937005385662</v>
      </c>
      <c r="D329" s="5" t="inlineStr">
        <is>
          <t>日式袋面</t>
        </is>
      </c>
      <c r="E329" s="5" t="inlineStr">
        <is>
          <t>进口营多正品捞面日式鸡肉鸡汤辛辣味袋装泡面辣味速食方便面汤面</t>
        </is>
      </c>
      <c r="F329" s="7" t="n">
        <v>230.53</v>
      </c>
      <c r="G329" s="7">
        <f>IFERROR(F329/1.13,0)</f>
        <v/>
      </c>
      <c r="H329" s="5" t="n">
        <v>11</v>
      </c>
      <c r="I329" s="8">
        <f>IFERROR(H329/SUMIF($A:$A,A329,$H:$H),0)</f>
        <v/>
      </c>
      <c r="J329" s="9">
        <f>IFERROR(F329/H329,0)</f>
        <v/>
      </c>
      <c r="K329" s="7" t="n">
        <v>88.8679965669446</v>
      </c>
      <c r="L329" s="7" t="n">
        <v>266.479158901422</v>
      </c>
      <c r="M329" s="9">
        <f>IFERROR(L329/K329,0)</f>
        <v/>
      </c>
      <c r="N329" s="7" t="n">
        <v>5.54207945071113</v>
      </c>
      <c r="O329" s="7" t="n">
        <v>11.9212432564983</v>
      </c>
      <c r="P329" s="9">
        <f>IFERROR(O329/N329,0)</f>
        <v/>
      </c>
      <c r="Q329" s="7">
        <f>K329+N329</f>
        <v/>
      </c>
      <c r="R329" s="7">
        <f>L329+O329</f>
        <v/>
      </c>
      <c r="S329" s="9">
        <f>IFERROR(R329/Q329,0)</f>
        <v/>
      </c>
      <c r="T329" s="8">
        <f>IFERROR(Q329/SUMIF($A:$A,A329,$Q:$Q),0)</f>
        <v/>
      </c>
      <c r="U329" s="8">
        <f>IFERROR(Q329/F329,0)</f>
        <v/>
      </c>
      <c r="V329" s="7">
        <f>F329-R329</f>
        <v/>
      </c>
      <c r="W329" s="8">
        <f>IFERROR(V329/F329,0)</f>
        <v/>
      </c>
      <c r="X329" s="7">
        <f>IFERROR(VLOOKUP(A329,周报其他费用!$A:$B,2,FALSE)*I329,0)</f>
        <v/>
      </c>
      <c r="Y329" s="7" t="n">
        <v>26.764</v>
      </c>
      <c r="Z329" s="8">
        <f>IFERROR(Y329/G329,0)</f>
        <v/>
      </c>
      <c r="AA329" s="7">
        <f>Y329-K329/1.06</f>
        <v/>
      </c>
      <c r="AB329" s="8">
        <f>IFERROR(AA329/G329,0)</f>
        <v/>
      </c>
      <c r="AC329" s="7">
        <f>Y329-(Q329+X329)/1.06</f>
        <v/>
      </c>
      <c r="AD329" s="8">
        <f>IFERROR(AC329/G329,0)</f>
        <v/>
      </c>
    </row>
    <row r="330" ht="14.25" customHeight="1" s="69">
      <c r="A330" s="5" t="inlineStr">
        <is>
          <t>7.27-8.2</t>
        </is>
      </c>
      <c r="B330" s="5" t="inlineStr">
        <is>
          <t>7.27-8.2</t>
        </is>
      </c>
      <c r="C330" s="119" t="n">
        <v>898076297965</v>
      </c>
      <c r="D330" s="5" t="inlineStr">
        <is>
          <t>番茄牛肉</t>
        </is>
      </c>
      <c r="E330" s="5" t="inlineStr">
        <is>
          <t>进口正品意面风味奶香番茄牛肉味意式拌面营多捞面早餐儿童宝妈餐</t>
        </is>
      </c>
      <c r="F330" s="7" t="n">
        <v>158.89</v>
      </c>
      <c r="G330" s="7">
        <f>IFERROR(F330/1.13,0)</f>
        <v/>
      </c>
      <c r="H330" s="5" t="n">
        <v>10</v>
      </c>
      <c r="I330" s="8">
        <f>IFERROR(H330/SUMIF($A:$A,A330,$H:$H),0)</f>
        <v/>
      </c>
      <c r="J330" s="9">
        <f>IFERROR(F330/H330,0)</f>
        <v/>
      </c>
      <c r="K330" s="7" t="n">
        <v>19.7690877881314</v>
      </c>
      <c r="L330" s="7" t="n">
        <v>136.816508092202</v>
      </c>
      <c r="M330" s="9">
        <f>IFERROR(L330/K330,0)</f>
        <v/>
      </c>
      <c r="N330" s="7" t="n">
        <v>5.03825404610103</v>
      </c>
      <c r="O330" s="7" t="n">
        <v>10.8374938695439</v>
      </c>
      <c r="P330" s="9">
        <f>IFERROR(O330/N330,0)</f>
        <v/>
      </c>
      <c r="Q330" s="7">
        <f>K330+N330</f>
        <v/>
      </c>
      <c r="R330" s="7">
        <f>L330+O330</f>
        <v/>
      </c>
      <c r="S330" s="9">
        <f>IFERROR(R330/Q330,0)</f>
        <v/>
      </c>
      <c r="T330" s="8">
        <f>IFERROR(Q330/SUMIF($A:$A,A330,$Q:$Q),0)</f>
        <v/>
      </c>
      <c r="U330" s="8">
        <f>IFERROR(Q330/F330,0)</f>
        <v/>
      </c>
      <c r="V330" s="7">
        <f>F330-R330</f>
        <v/>
      </c>
      <c r="W330" s="8">
        <f>IFERROR(V330/F330,0)</f>
        <v/>
      </c>
      <c r="X330" s="7">
        <f>IFERROR(VLOOKUP(A330,周报其他费用!$A:$B,2,FALSE)*I330,0)</f>
        <v/>
      </c>
      <c r="Y330" s="7" t="n">
        <v>8.856</v>
      </c>
      <c r="Z330" s="8">
        <f>IFERROR(Y330/G330,0)</f>
        <v/>
      </c>
      <c r="AA330" s="7">
        <f>Y330-K330/1.06</f>
        <v/>
      </c>
      <c r="AB330" s="8">
        <f>IFERROR(AA330/G330,0)</f>
        <v/>
      </c>
      <c r="AC330" s="7">
        <f>Y330-(Q330+X330)/1.06</f>
        <v/>
      </c>
      <c r="AD330" s="8">
        <f>IFERROR(AC330/G330,0)</f>
        <v/>
      </c>
    </row>
    <row r="331" ht="14.25" customHeight="1" s="69">
      <c r="A331" s="5" t="inlineStr">
        <is>
          <t>7.27-8.2</t>
        </is>
      </c>
      <c r="B331" s="5" t="inlineStr">
        <is>
          <t>7.27-8.2</t>
        </is>
      </c>
      <c r="C331" s="119" t="n">
        <v>886856687067</v>
      </c>
      <c r="D331" s="5" t="inlineStr">
        <is>
          <t>大骨</t>
        </is>
      </c>
      <c r="E331" s="5" t="inlineStr">
        <is>
          <t>营多捞面牛系列大骨牛肉味方便面食品泡面拉面汤面宿舍宵夜旅行</t>
        </is>
      </c>
      <c r="F331" s="7" t="n">
        <v>128.26</v>
      </c>
      <c r="G331" s="7">
        <f>IFERROR(F331/1.13,0)</f>
        <v/>
      </c>
      <c r="H331" s="5" t="n">
        <v>9</v>
      </c>
      <c r="I331" s="8">
        <f>IFERROR(H331/SUMIF($A:$A,A331,$H:$H),0)</f>
        <v/>
      </c>
      <c r="J331" s="9">
        <f>IFERROR(F331/H331,0)</f>
        <v/>
      </c>
      <c r="K331" s="7" t="n">
        <v>11.1201790093183</v>
      </c>
      <c r="L331" s="7" t="n">
        <v>24.453857282982</v>
      </c>
      <c r="M331" s="9">
        <f>IFERROR(L331/K331,0)</f>
        <v/>
      </c>
      <c r="N331" s="7" t="n">
        <v>4.53442864149093</v>
      </c>
      <c r="O331" s="7" t="n">
        <v>9.7537444825895</v>
      </c>
      <c r="P331" s="9">
        <f>IFERROR(O331/N331,0)</f>
        <v/>
      </c>
      <c r="Q331" s="7">
        <f>K331+N331</f>
        <v/>
      </c>
      <c r="R331" s="7">
        <f>L331+O331</f>
        <v/>
      </c>
      <c r="S331" s="9">
        <f>IFERROR(R331/Q331,0)</f>
        <v/>
      </c>
      <c r="T331" s="8">
        <f>IFERROR(Q331/SUMIF($A:$A,A331,$Q:$Q),0)</f>
        <v/>
      </c>
      <c r="U331" s="8">
        <f>IFERROR(Q331/F331,0)</f>
        <v/>
      </c>
      <c r="V331" s="7">
        <f>F331-R331</f>
        <v/>
      </c>
      <c r="W331" s="8">
        <f>IFERROR(V331/F331,0)</f>
        <v/>
      </c>
      <c r="X331" s="7">
        <f>IFERROR(VLOOKUP(A331,周报其他费用!$A:$B,2,FALSE)*I331,0)</f>
        <v/>
      </c>
      <c r="Y331" s="7" t="n">
        <v>4.525</v>
      </c>
      <c r="Z331" s="8">
        <f>IFERROR(Y331/G331,0)</f>
        <v/>
      </c>
      <c r="AA331" s="7">
        <f>Y331-K331/1.06</f>
        <v/>
      </c>
      <c r="AB331" s="8">
        <f>IFERROR(AA331/G331,0)</f>
        <v/>
      </c>
      <c r="AC331" s="7">
        <f>Y331-(Q331+X331)/1.06</f>
        <v/>
      </c>
      <c r="AD331" s="8">
        <f>IFERROR(AC331/G331,0)</f>
        <v/>
      </c>
    </row>
    <row r="332" ht="14.25" customHeight="1" s="69">
      <c r="A332" s="5" t="inlineStr">
        <is>
          <t>7.27-8.2</t>
        </is>
      </c>
      <c r="B332" s="5" t="inlineStr">
        <is>
          <t>7.27-8.2</t>
        </is>
      </c>
      <c r="C332" s="119" t="n">
        <v>869217868453</v>
      </c>
      <c r="D332" s="5" t="inlineStr">
        <is>
          <t>韩式杯面</t>
        </is>
      </c>
      <c r="E332" s="5" t="inlineStr">
        <is>
          <t>营多捞面韩式甜辣炸鸡辣蘑菇杯面方便面拌面泡面宿舍速食面</t>
        </is>
      </c>
      <c r="F332" s="7" t="n">
        <v>194.7</v>
      </c>
      <c r="G332" s="7">
        <f>IFERROR(F332/1.13,0)</f>
        <v/>
      </c>
      <c r="H332" s="5" t="n">
        <v>7</v>
      </c>
      <c r="I332" s="8">
        <f>IFERROR(H332/SUMIF($A:$A,A332,$H:$H),0)</f>
        <v/>
      </c>
      <c r="J332" s="9">
        <f>IFERROR(F332/H332,0)</f>
        <v/>
      </c>
      <c r="K332" s="7" t="n">
        <v>30.872361451692</v>
      </c>
      <c r="L332" s="7" t="n">
        <v>97.9085556645415</v>
      </c>
      <c r="M332" s="9">
        <f>IFERROR(L332/K332,0)</f>
        <v/>
      </c>
      <c r="N332" s="7" t="n">
        <v>3.52677783227072</v>
      </c>
      <c r="O332" s="7" t="n">
        <v>7.58624570868073</v>
      </c>
      <c r="P332" s="9">
        <f>IFERROR(O332/N332,0)</f>
        <v/>
      </c>
      <c r="Q332" s="7">
        <f>K332+N332</f>
        <v/>
      </c>
      <c r="R332" s="7">
        <f>L332+O332</f>
        <v/>
      </c>
      <c r="S332" s="9">
        <f>IFERROR(R332/Q332,0)</f>
        <v/>
      </c>
      <c r="T332" s="8">
        <f>IFERROR(Q332/SUMIF($A:$A,A332,$Q:$Q),0)</f>
        <v/>
      </c>
      <c r="U332" s="8">
        <f>IFERROR(Q332/F332,0)</f>
        <v/>
      </c>
      <c r="V332" s="7">
        <f>F332-R332</f>
        <v/>
      </c>
      <c r="W332" s="8">
        <f>IFERROR(V332/F332,0)</f>
        <v/>
      </c>
      <c r="X332" s="7">
        <f>IFERROR(VLOOKUP(A332,周报其他费用!$A:$B,2,FALSE)*I332,0)</f>
        <v/>
      </c>
      <c r="Y332" s="7" t="n">
        <v>24.416</v>
      </c>
      <c r="Z332" s="8">
        <f>IFERROR(Y332/G332,0)</f>
        <v/>
      </c>
      <c r="AA332" s="7">
        <f>Y332-K332/1.06</f>
        <v/>
      </c>
      <c r="AB332" s="8">
        <f>IFERROR(AA332/G332,0)</f>
        <v/>
      </c>
      <c r="AC332" s="7">
        <f>Y332-(Q332+X332)/1.06</f>
        <v/>
      </c>
      <c r="AD332" s="8">
        <f>IFERROR(AC332/G332,0)</f>
        <v/>
      </c>
    </row>
    <row r="333" ht="14.25" customHeight="1" s="69">
      <c r="A333" s="5" t="inlineStr">
        <is>
          <t>7.27-8.2</t>
        </is>
      </c>
      <c r="B333" s="5" t="inlineStr">
        <is>
          <t>7.27-8.2</t>
        </is>
      </c>
      <c r="C333" s="119" t="n">
        <v>648604228786</v>
      </c>
      <c r="D333" s="5" t="inlineStr">
        <is>
          <t>杯面混搭</t>
        </is>
      </c>
      <c r="E333" s="5" t="inlineStr">
        <is>
          <t>INDOMIE营多日式杯面原味经典泡面整箱批发速食宿舍旅行宵夜宿舍</t>
        </is>
      </c>
      <c r="F333" s="7" t="n">
        <v>204.64</v>
      </c>
      <c r="G333" s="7">
        <f>IFERROR(F333/1.13,0)</f>
        <v/>
      </c>
      <c r="H333" s="5" t="n">
        <v>7</v>
      </c>
      <c r="I333" s="8">
        <f>IFERROR(H333/SUMIF($A:$A,A333,$H:$H),0)</f>
        <v/>
      </c>
      <c r="J333" s="9">
        <f>IFERROR(F333/H333,0)</f>
        <v/>
      </c>
      <c r="K333" s="7" t="n">
        <v>12.872361451692</v>
      </c>
      <c r="L333" s="7" t="n">
        <v>60.0085556645415</v>
      </c>
      <c r="M333" s="9">
        <f>IFERROR(L333/K333,0)</f>
        <v/>
      </c>
      <c r="N333" s="7" t="n">
        <v>3.52677783227072</v>
      </c>
      <c r="O333" s="7" t="n">
        <v>7.58624570868073</v>
      </c>
      <c r="P333" s="9">
        <f>IFERROR(O333/N333,0)</f>
        <v/>
      </c>
      <c r="Q333" s="7">
        <f>K333+N333</f>
        <v/>
      </c>
      <c r="R333" s="7">
        <f>L333+O333</f>
        <v/>
      </c>
      <c r="S333" s="9">
        <f>IFERROR(R333/Q333,0)</f>
        <v/>
      </c>
      <c r="T333" s="8">
        <f>IFERROR(Q333/SUMIF($A:$A,A333,$Q:$Q),0)</f>
        <v/>
      </c>
      <c r="U333" s="8">
        <f>IFERROR(Q333/F333,0)</f>
        <v/>
      </c>
      <c r="V333" s="7">
        <f>F333-R333</f>
        <v/>
      </c>
      <c r="W333" s="8">
        <f>IFERROR(V333/F333,0)</f>
        <v/>
      </c>
      <c r="X333" s="7">
        <f>IFERROR(VLOOKUP(A333,周报其他费用!$A:$B,2,FALSE)*I333,0)</f>
        <v/>
      </c>
      <c r="Y333" s="7" t="n">
        <v>25.85</v>
      </c>
      <c r="Z333" s="8">
        <f>IFERROR(Y333/G333,0)</f>
        <v/>
      </c>
      <c r="AA333" s="7">
        <f>Y333-K333/1.06</f>
        <v/>
      </c>
      <c r="AB333" s="8">
        <f>IFERROR(AA333/G333,0)</f>
        <v/>
      </c>
      <c r="AC333" s="7">
        <f>Y333-(Q333+X333)/1.06</f>
        <v/>
      </c>
      <c r="AD333" s="8">
        <f>IFERROR(AC333/G333,0)</f>
        <v/>
      </c>
    </row>
    <row r="334" ht="14.25" customHeight="1" s="69">
      <c r="A334" s="5" t="inlineStr">
        <is>
          <t>7.27-8.2</t>
        </is>
      </c>
      <c r="B334" s="5" t="inlineStr">
        <is>
          <t>7.27-8.2</t>
        </is>
      </c>
      <c r="C334" s="119" t="n">
        <v>1067957289054</v>
      </c>
      <c r="D334" s="5" t="inlineStr">
        <is>
          <t>巴东牛肉</t>
        </is>
      </c>
      <c r="E334" s="5" t="inlineStr">
        <is>
          <t>【新口味】印尼进口营多捞面巴东炖牛肉味泡面方便面宿舍速食宵夜</t>
        </is>
      </c>
      <c r="F334" s="7" t="n">
        <v>73.09999999999999</v>
      </c>
      <c r="G334" s="7">
        <f>IFERROR(F334/1.13,0)</f>
        <v/>
      </c>
      <c r="H334" s="5" t="n">
        <v>5</v>
      </c>
      <c r="I334" s="8">
        <f>IFERROR(H334/SUMIF($A:$A,A334,$H:$H),0)</f>
        <v/>
      </c>
      <c r="J334" s="9">
        <f>IFERROR(F334/H334,0)</f>
        <v/>
      </c>
      <c r="K334" s="7" t="n">
        <v>12.7045438940657</v>
      </c>
      <c r="L334" s="7" t="n">
        <v>5.86325404610109</v>
      </c>
      <c r="M334" s="9">
        <f>IFERROR(L334/K334,0)</f>
        <v/>
      </c>
      <c r="N334" s="7" t="n">
        <v>2.51912702305051</v>
      </c>
      <c r="O334" s="7" t="n">
        <v>5.41874693477195</v>
      </c>
      <c r="P334" s="9">
        <f>IFERROR(O334/N334,0)</f>
        <v/>
      </c>
      <c r="Q334" s="7">
        <f>K334+N334</f>
        <v/>
      </c>
      <c r="R334" s="7">
        <f>L334+O334</f>
        <v/>
      </c>
      <c r="S334" s="9">
        <f>IFERROR(R334/Q334,0)</f>
        <v/>
      </c>
      <c r="T334" s="8">
        <f>IFERROR(Q334/SUMIF($A:$A,A334,$Q:$Q),0)</f>
        <v/>
      </c>
      <c r="U334" s="8">
        <f>IFERROR(Q334/F334,0)</f>
        <v/>
      </c>
      <c r="V334" s="7">
        <f>F334-R334</f>
        <v/>
      </c>
      <c r="W334" s="8">
        <f>IFERROR(V334/F334,0)</f>
        <v/>
      </c>
      <c r="X334" s="7">
        <f>IFERROR(VLOOKUP(A334,周报其他费用!$A:$B,2,FALSE)*I334,0)</f>
        <v/>
      </c>
      <c r="Y334" s="7" t="n">
        <v>5.512</v>
      </c>
      <c r="Z334" s="8">
        <f>IFERROR(Y334/G334,0)</f>
        <v/>
      </c>
      <c r="AA334" s="7">
        <f>Y334-K334/1.06</f>
        <v/>
      </c>
      <c r="AB334" s="8">
        <f>IFERROR(AA334/G334,0)</f>
        <v/>
      </c>
      <c r="AC334" s="7">
        <f>Y334-(Q334+X334)/1.06</f>
        <v/>
      </c>
      <c r="AD334" s="8">
        <f>IFERROR(AC334/G334,0)</f>
        <v/>
      </c>
    </row>
    <row r="335" ht="14.25" customHeight="1" s="69">
      <c r="A335" s="5" t="inlineStr">
        <is>
          <t>7.27-8.2</t>
        </is>
      </c>
      <c r="B335" s="5" t="inlineStr">
        <is>
          <t>7.27-8.2</t>
        </is>
      </c>
      <c r="C335" s="119" t="n">
        <v>976467954327</v>
      </c>
      <c r="D335" s="5" t="inlineStr">
        <is>
          <t>日韩杯面</t>
        </is>
      </c>
      <c r="E335" s="5" t="inlineStr">
        <is>
          <t>【天猫U选】indomie营多捞面辣蘑菇味日式辣味杯面</t>
        </is>
      </c>
      <c r="F335" s="7" t="n">
        <v>49.3</v>
      </c>
      <c r="G335" s="7">
        <f>IFERROR(F335/1.13,0)</f>
        <v/>
      </c>
      <c r="H335" s="5" t="n">
        <v>5</v>
      </c>
      <c r="I335" s="8">
        <f>IFERROR(H335/SUMIF($A:$A,A335,$H:$H),0)</f>
        <v/>
      </c>
      <c r="J335" s="9">
        <f>IFERROR(F335/H335,0)</f>
        <v/>
      </c>
      <c r="K335" s="7" t="n">
        <v>0.994543894065718</v>
      </c>
      <c r="L335" s="7" t="n">
        <v>5.86325404610109</v>
      </c>
      <c r="M335" s="9">
        <f>IFERROR(L335/K335,0)</f>
        <v/>
      </c>
      <c r="N335" s="7" t="n">
        <v>2.51912702305051</v>
      </c>
      <c r="O335" s="7" t="n">
        <v>5.41874693477195</v>
      </c>
      <c r="P335" s="9">
        <f>IFERROR(O335/N335,0)</f>
        <v/>
      </c>
      <c r="Q335" s="7">
        <f>K335+N335</f>
        <v/>
      </c>
      <c r="R335" s="7">
        <f>L335+O335</f>
        <v/>
      </c>
      <c r="S335" s="9">
        <f>IFERROR(R335/Q335,0)</f>
        <v/>
      </c>
      <c r="T335" s="8">
        <f>IFERROR(Q335/SUMIF($A:$A,A335,$Q:$Q),0)</f>
        <v/>
      </c>
      <c r="U335" s="8">
        <f>IFERROR(Q335/F335,0)</f>
        <v/>
      </c>
      <c r="V335" s="7">
        <f>F335-R335</f>
        <v/>
      </c>
      <c r="W335" s="8">
        <f>IFERROR(V335/F335,0)</f>
        <v/>
      </c>
      <c r="X335" s="7">
        <f>IFERROR(VLOOKUP(A335,周报其他费用!$A:$B,2,FALSE)*I335,0)</f>
        <v/>
      </c>
      <c r="Y335" s="7" t="n">
        <v>-6.959</v>
      </c>
      <c r="Z335" s="8">
        <f>IFERROR(Y335/G335,0)</f>
        <v/>
      </c>
      <c r="AA335" s="7">
        <f>Y335-K335/1.06</f>
        <v/>
      </c>
      <c r="AB335" s="8">
        <f>IFERROR(AA335/G335,0)</f>
        <v/>
      </c>
      <c r="AC335" s="7">
        <f>Y335-(Q335+X335)/1.06</f>
        <v/>
      </c>
      <c r="AD335" s="8">
        <f>IFERROR(AC335/G335,0)</f>
        <v/>
      </c>
    </row>
    <row r="336" ht="14.25" customHeight="1" s="69">
      <c r="A336" s="5" t="inlineStr">
        <is>
          <t>7.27-8.2</t>
        </is>
      </c>
      <c r="B336" s="5" t="inlineStr">
        <is>
          <t>7.27-8.2</t>
        </is>
      </c>
      <c r="C336" s="119" t="n">
        <v>976479938842</v>
      </c>
      <c r="D336" s="5" t="inlineStr">
        <is>
          <t>【U选】原味5</t>
        </is>
      </c>
      <c r="E336" s="5" t="inlineStr">
        <is>
          <t>【天猫U选】indomie营多大骨牛肉味捞面拌面5包</t>
        </is>
      </c>
      <c r="F336" s="7" t="n">
        <v>47.83</v>
      </c>
      <c r="G336" s="7">
        <f>IFERROR(F336/1.13,0)</f>
        <v/>
      </c>
      <c r="H336" s="5" t="n">
        <v>5</v>
      </c>
      <c r="I336" s="8">
        <f>IFERROR(H336/SUMIF($A:$A,A336,$H:$H),0)</f>
        <v/>
      </c>
      <c r="J336" s="9">
        <f>IFERROR(F336/H336,0)</f>
        <v/>
      </c>
      <c r="K336" s="7" t="n">
        <v>0.994543894065718</v>
      </c>
      <c r="L336" s="7" t="n">
        <v>5.86325404610109</v>
      </c>
      <c r="M336" s="9">
        <f>IFERROR(L336/K336,0)</f>
        <v/>
      </c>
      <c r="N336" s="7" t="n">
        <v>2.51912702305051</v>
      </c>
      <c r="O336" s="7" t="n">
        <v>5.41874693477195</v>
      </c>
      <c r="P336" s="9">
        <f>IFERROR(O336/N336,0)</f>
        <v/>
      </c>
      <c r="Q336" s="7">
        <f>K336+N336</f>
        <v/>
      </c>
      <c r="R336" s="7">
        <f>L336+O336</f>
        <v/>
      </c>
      <c r="S336" s="9">
        <f>IFERROR(R336/Q336,0)</f>
        <v/>
      </c>
      <c r="T336" s="8">
        <f>IFERROR(Q336/SUMIF($A:$A,A336,$Q:$Q),0)</f>
        <v/>
      </c>
      <c r="U336" s="8">
        <f>IFERROR(Q336/F336,0)</f>
        <v/>
      </c>
      <c r="V336" s="7">
        <f>F336-R336</f>
        <v/>
      </c>
      <c r="W336" s="8">
        <f>IFERROR(V336/F336,0)</f>
        <v/>
      </c>
      <c r="X336" s="7">
        <f>IFERROR(VLOOKUP(A336,周报其他费用!$A:$B,2,FALSE)*I336,0)</f>
        <v/>
      </c>
      <c r="Y336" s="7" t="n">
        <v>-15.185</v>
      </c>
      <c r="Z336" s="8">
        <f>IFERROR(Y336/G336,0)</f>
        <v/>
      </c>
      <c r="AA336" s="7">
        <f>Y336-K336/1.06</f>
        <v/>
      </c>
      <c r="AB336" s="8">
        <f>IFERROR(AA336/G336,0)</f>
        <v/>
      </c>
      <c r="AC336" s="7">
        <f>Y336-(Q336+X336)/1.06</f>
        <v/>
      </c>
      <c r="AD336" s="8">
        <f>IFERROR(AC336/G336,0)</f>
        <v/>
      </c>
    </row>
    <row r="337" ht="14.25" customHeight="1" s="69">
      <c r="A337" s="5" t="inlineStr">
        <is>
          <t>7.27-8.2</t>
        </is>
      </c>
      <c r="B337" s="5" t="inlineStr">
        <is>
          <t>7.27-8.2</t>
        </is>
      </c>
      <c r="C337" s="119" t="n">
        <v>969433743398</v>
      </c>
      <c r="D337" s="5" t="inlineStr">
        <is>
          <t>韩蘑菇</t>
        </is>
      </c>
      <c r="E337" s="5" t="inlineStr">
        <is>
          <t>新品营多捞面韩式辣蘑菇汤面泡面方便面速食干拌面宿舍宵夜旅行</t>
        </is>
      </c>
      <c r="F337" s="7" t="n">
        <v>137.23</v>
      </c>
      <c r="G337" s="7">
        <f>IFERROR(F337/1.13,0)</f>
        <v/>
      </c>
      <c r="H337" s="5" t="n">
        <v>5</v>
      </c>
      <c r="I337" s="8">
        <f>IFERROR(H337/SUMIF($A:$A,A337,$H:$H),0)</f>
        <v/>
      </c>
      <c r="J337" s="9">
        <f>IFERROR(F337/H337,0)</f>
        <v/>
      </c>
      <c r="K337" s="7" t="n">
        <v>12.5945438940657</v>
      </c>
      <c r="L337" s="7" t="n">
        <v>174.003254046101</v>
      </c>
      <c r="M337" s="9">
        <f>IFERROR(L337/K337,0)</f>
        <v/>
      </c>
      <c r="N337" s="7" t="n">
        <v>2.51912702305051</v>
      </c>
      <c r="O337" s="7" t="n">
        <v>5.41874693477195</v>
      </c>
      <c r="P337" s="9">
        <f>IFERROR(O337/N337,0)</f>
        <v/>
      </c>
      <c r="Q337" s="7">
        <f>K337+N337</f>
        <v/>
      </c>
      <c r="R337" s="7">
        <f>L337+O337</f>
        <v/>
      </c>
      <c r="S337" s="9">
        <f>IFERROR(R337/Q337,0)</f>
        <v/>
      </c>
      <c r="T337" s="8">
        <f>IFERROR(Q337/SUMIF($A:$A,A337,$Q:$Q),0)</f>
        <v/>
      </c>
      <c r="U337" s="8">
        <f>IFERROR(Q337/F337,0)</f>
        <v/>
      </c>
      <c r="V337" s="7">
        <f>F337-R337</f>
        <v/>
      </c>
      <c r="W337" s="8">
        <f>IFERROR(V337/F337,0)</f>
        <v/>
      </c>
      <c r="X337" s="7">
        <f>IFERROR(VLOOKUP(A337,周报其他费用!$A:$B,2,FALSE)*I337,0)</f>
        <v/>
      </c>
      <c r="Y337" s="7" t="n">
        <v>23.991</v>
      </c>
      <c r="Z337" s="8">
        <f>IFERROR(Y337/G337,0)</f>
        <v/>
      </c>
      <c r="AA337" s="7">
        <f>Y337-K337/1.06</f>
        <v/>
      </c>
      <c r="AB337" s="8">
        <f>IFERROR(AA337/G337,0)</f>
        <v/>
      </c>
      <c r="AC337" s="7">
        <f>Y337-(Q337+X337)/1.06</f>
        <v/>
      </c>
      <c r="AD337" s="8">
        <f>IFERROR(AC337/G337,0)</f>
        <v/>
      </c>
    </row>
    <row r="338" ht="14.25" customHeight="1" s="69">
      <c r="A338" s="5" t="inlineStr">
        <is>
          <t>7.27-8.2</t>
        </is>
      </c>
      <c r="B338" s="5" t="inlineStr">
        <is>
          <t>7.27-8.2</t>
        </is>
      </c>
      <c r="C338" s="119" t="n">
        <v>649731447266</v>
      </c>
      <c r="D338" s="5" t="inlineStr">
        <is>
          <t>20包经典/牛系列</t>
        </is>
      </c>
      <c r="E338" s="5" t="inlineStr">
        <is>
          <t>营多印尼进口营多捞面方便面火鸡面干拌面20包宿舍速食泡面夜宵</t>
        </is>
      </c>
      <c r="F338" s="7" t="n">
        <v>231.87</v>
      </c>
      <c r="G338" s="7">
        <f>IFERROR(F338/1.13,0)</f>
        <v/>
      </c>
      <c r="H338" s="5" t="n">
        <v>5</v>
      </c>
      <c r="I338" s="8">
        <f>IFERROR(H338/SUMIF($A:$A,A338,$H:$H),0)</f>
        <v/>
      </c>
      <c r="J338" s="9">
        <f>IFERROR(F338/H338,0)</f>
        <v/>
      </c>
      <c r="K338" s="7" t="n">
        <v>5.90454389406572</v>
      </c>
      <c r="L338" s="7" t="n">
        <v>5.86325404610109</v>
      </c>
      <c r="M338" s="9">
        <f>IFERROR(L338/K338,0)</f>
        <v/>
      </c>
      <c r="N338" s="7" t="n">
        <v>2.51912702305051</v>
      </c>
      <c r="O338" s="7" t="n">
        <v>5.41874693477195</v>
      </c>
      <c r="P338" s="9">
        <f>IFERROR(O338/N338,0)</f>
        <v/>
      </c>
      <c r="Q338" s="7">
        <f>K338+N338</f>
        <v/>
      </c>
      <c r="R338" s="7">
        <f>L338+O338</f>
        <v/>
      </c>
      <c r="S338" s="9">
        <f>IFERROR(R338/Q338,0)</f>
        <v/>
      </c>
      <c r="T338" s="8">
        <f>IFERROR(Q338/SUMIF($A:$A,A338,$Q:$Q),0)</f>
        <v/>
      </c>
      <c r="U338" s="8">
        <f>IFERROR(Q338/F338,0)</f>
        <v/>
      </c>
      <c r="V338" s="7">
        <f>F338-R338</f>
        <v/>
      </c>
      <c r="W338" s="8">
        <f>IFERROR(V338/F338,0)</f>
        <v/>
      </c>
      <c r="X338" s="7">
        <f>IFERROR(VLOOKUP(A338,周报其他费用!$A:$B,2,FALSE)*I338,0)</f>
        <v/>
      </c>
      <c r="Y338" s="7" t="n">
        <v>40.67</v>
      </c>
      <c r="Z338" s="8">
        <f>IFERROR(Y338/G338,0)</f>
        <v/>
      </c>
      <c r="AA338" s="7">
        <f>Y338-K338/1.06</f>
        <v/>
      </c>
      <c r="AB338" s="8">
        <f>IFERROR(AA338/G338,0)</f>
        <v/>
      </c>
      <c r="AC338" s="7">
        <f>Y338-(Q338+X338)/1.06</f>
        <v/>
      </c>
      <c r="AD338" s="8">
        <f>IFERROR(AC338/G338,0)</f>
        <v/>
      </c>
    </row>
    <row r="339" ht="14.25" customHeight="1" s="69">
      <c r="A339" s="5" t="inlineStr">
        <is>
          <t>7.27-8.2</t>
        </is>
      </c>
      <c r="B339" s="5" t="inlineStr">
        <is>
          <t>7.27-8.2</t>
        </is>
      </c>
      <c r="C339" s="119" t="n">
        <v>1028450344901</v>
      </c>
      <c r="D339" s="5" t="inlineStr">
        <is>
          <t>韩式火鸡</t>
        </is>
      </c>
      <c r="E339" s="5" t="inlineStr">
        <is>
          <t>营多韩式火鸡面袋装拌面干拌面泡面方便面速食面宿舍宵夜旅行</t>
        </is>
      </c>
      <c r="F339" s="7" t="n">
        <v>101.81</v>
      </c>
      <c r="G339" s="7">
        <f>IFERROR(F339/1.13,0)</f>
        <v/>
      </c>
      <c r="H339" s="5" t="n">
        <v>5</v>
      </c>
      <c r="I339" s="8">
        <f>IFERROR(H339/SUMIF($A:$A,A339,$H:$H),0)</f>
        <v/>
      </c>
      <c r="J339" s="9">
        <f>IFERROR(F339/H339,0)</f>
        <v/>
      </c>
      <c r="K339" s="7" t="n">
        <v>6.83454389406572</v>
      </c>
      <c r="L339" s="7" t="n">
        <v>76.8732540461011</v>
      </c>
      <c r="M339" s="9">
        <f>IFERROR(L339/K339,0)</f>
        <v/>
      </c>
      <c r="N339" s="7" t="n">
        <v>2.51912702305051</v>
      </c>
      <c r="O339" s="7" t="n">
        <v>5.41874693477195</v>
      </c>
      <c r="P339" s="9">
        <f>IFERROR(O339/N339,0)</f>
        <v/>
      </c>
      <c r="Q339" s="7">
        <f>K339+N339</f>
        <v/>
      </c>
      <c r="R339" s="7">
        <f>L339+O339</f>
        <v/>
      </c>
      <c r="S339" s="9">
        <f>IFERROR(R339/Q339,0)</f>
        <v/>
      </c>
      <c r="T339" s="8">
        <f>IFERROR(Q339/SUMIF($A:$A,A339,$Q:$Q),0)</f>
        <v/>
      </c>
      <c r="U339" s="8">
        <f>IFERROR(Q339/F339,0)</f>
        <v/>
      </c>
      <c r="V339" s="7">
        <f>F339-R339</f>
        <v/>
      </c>
      <c r="W339" s="8">
        <f>IFERROR(V339/F339,0)</f>
        <v/>
      </c>
      <c r="X339" s="7">
        <f>IFERROR(VLOOKUP(A339,周报其他费用!$A:$B,2,FALSE)*I339,0)</f>
        <v/>
      </c>
      <c r="Y339" s="7" t="n">
        <v>12.243</v>
      </c>
      <c r="Z339" s="8">
        <f>IFERROR(Y339/G339,0)</f>
        <v/>
      </c>
      <c r="AA339" s="7">
        <f>Y339-K339/1.06</f>
        <v/>
      </c>
      <c r="AB339" s="8">
        <f>IFERROR(AA339/G339,0)</f>
        <v/>
      </c>
      <c r="AC339" s="7">
        <f>Y339-(Q339+X339)/1.06</f>
        <v/>
      </c>
      <c r="AD339" s="8">
        <f>IFERROR(AC339/G339,0)</f>
        <v/>
      </c>
    </row>
    <row r="340" ht="14.25" customHeight="1" s="69">
      <c r="A340" s="5" t="inlineStr">
        <is>
          <t>7.27-8.2</t>
        </is>
      </c>
      <c r="B340" s="5" t="inlineStr">
        <is>
          <t>7.27-8.2</t>
        </is>
      </c>
      <c r="C340" s="119" t="n">
        <v>898120785283</v>
      </c>
      <c r="D340" s="5" t="inlineStr">
        <is>
          <t>番茄</t>
        </is>
      </c>
      <c r="E340" s="5" t="inlineStr">
        <is>
          <t>进口意大利面风味奶香番茄牛肉味意式营多早餐儿童宝妈家庭餐拌面</t>
        </is>
      </c>
      <c r="F340" s="7" t="n">
        <v>90.95</v>
      </c>
      <c r="G340" s="7">
        <f>IFERROR(F340/1.13,0)</f>
        <v/>
      </c>
      <c r="H340" s="5" t="n">
        <v>4</v>
      </c>
      <c r="I340" s="8">
        <f>IFERROR(H340/SUMIF($A:$A,A340,$H:$H),0)</f>
        <v/>
      </c>
      <c r="J340" s="9">
        <f>IFERROR(F340/H340,0)</f>
        <v/>
      </c>
      <c r="K340" s="7" t="n">
        <v>2.11563511525257</v>
      </c>
      <c r="L340" s="7" t="n">
        <v>4.69060323688087</v>
      </c>
      <c r="M340" s="9">
        <f>IFERROR(L340/K340,0)</f>
        <v/>
      </c>
      <c r="N340" s="7" t="n">
        <v>2.01530161844041</v>
      </c>
      <c r="O340" s="7" t="n">
        <v>4.33499754781756</v>
      </c>
      <c r="P340" s="9">
        <f>IFERROR(O340/N340,0)</f>
        <v/>
      </c>
      <c r="Q340" s="7">
        <f>K340+N340</f>
        <v/>
      </c>
      <c r="R340" s="7">
        <f>L340+O340</f>
        <v/>
      </c>
      <c r="S340" s="9">
        <f>IFERROR(R340/Q340,0)</f>
        <v/>
      </c>
      <c r="T340" s="8">
        <f>IFERROR(Q340/SUMIF($A:$A,A340,$Q:$Q),0)</f>
        <v/>
      </c>
      <c r="U340" s="8">
        <f>IFERROR(Q340/F340,0)</f>
        <v/>
      </c>
      <c r="V340" s="7">
        <f>F340-R340</f>
        <v/>
      </c>
      <c r="W340" s="8">
        <f>IFERROR(V340/F340,0)</f>
        <v/>
      </c>
      <c r="X340" s="7">
        <f>IFERROR(VLOOKUP(A340,周报其他费用!$A:$B,2,FALSE)*I340,0)</f>
        <v/>
      </c>
      <c r="Y340" s="7" t="n">
        <v>16.641</v>
      </c>
      <c r="Z340" s="8">
        <f>IFERROR(Y340/G340,0)</f>
        <v/>
      </c>
      <c r="AA340" s="7">
        <f>Y340-K340/1.06</f>
        <v/>
      </c>
      <c r="AB340" s="8">
        <f>IFERROR(AA340/G340,0)</f>
        <v/>
      </c>
      <c r="AC340" s="7">
        <f>Y340-(Q340+X340)/1.06</f>
        <v/>
      </c>
      <c r="AD340" s="8">
        <f>IFERROR(AC340/G340,0)</f>
        <v/>
      </c>
    </row>
    <row r="341" ht="14.25" customHeight="1" s="69">
      <c r="A341" s="5" t="inlineStr">
        <is>
          <t>7.27-8.2</t>
        </is>
      </c>
      <c r="B341" s="5" t="inlineStr">
        <is>
          <t>7.27-8.2</t>
        </is>
      </c>
      <c r="C341" s="119" t="n">
        <v>903183018417</v>
      </c>
      <c r="D341" s="5" t="inlineStr">
        <is>
          <t>七口味混搭</t>
        </is>
      </c>
      <c r="E341" s="5" t="inlineStr">
        <is>
          <t>进口营多捞面汤面拌面七口味混合方便面速拉面宿舍拌面泡面食食品</t>
        </is>
      </c>
      <c r="F341" s="7" t="n">
        <v>58.53</v>
      </c>
      <c r="G341" s="7">
        <f>IFERROR(F341/1.13,0)</f>
        <v/>
      </c>
      <c r="H341" s="5" t="n">
        <v>3</v>
      </c>
      <c r="I341" s="8">
        <f>IFERROR(H341/SUMIF($A:$A,A341,$H:$H),0)</f>
        <v/>
      </c>
      <c r="J341" s="9">
        <f>IFERROR(F341/H341,0)</f>
        <v/>
      </c>
      <c r="K341" s="7" t="n">
        <v>2.29672633643943</v>
      </c>
      <c r="L341" s="7" t="n">
        <v>22.9479524276607</v>
      </c>
      <c r="M341" s="9">
        <f>IFERROR(L341/K341,0)</f>
        <v/>
      </c>
      <c r="N341" s="7" t="n">
        <v>1.51147621383031</v>
      </c>
      <c r="O341" s="7" t="n">
        <v>3.25124816086317</v>
      </c>
      <c r="P341" s="9">
        <f>IFERROR(O341/N341,0)</f>
        <v/>
      </c>
      <c r="Q341" s="7">
        <f>K341+N341</f>
        <v/>
      </c>
      <c r="R341" s="7">
        <f>L341+O341</f>
        <v/>
      </c>
      <c r="S341" s="9">
        <f>IFERROR(R341/Q341,0)</f>
        <v/>
      </c>
      <c r="T341" s="8">
        <f>IFERROR(Q341/SUMIF($A:$A,A341,$Q:$Q),0)</f>
        <v/>
      </c>
      <c r="U341" s="8">
        <f>IFERROR(Q341/F341,0)</f>
        <v/>
      </c>
      <c r="V341" s="7">
        <f>F341-R341</f>
        <v/>
      </c>
      <c r="W341" s="8">
        <f>IFERROR(V341/F341,0)</f>
        <v/>
      </c>
      <c r="X341" s="7">
        <f>IFERROR(VLOOKUP(A341,周报其他费用!$A:$B,2,FALSE)*I341,0)</f>
        <v/>
      </c>
      <c r="Y341" s="7" t="n">
        <v>5.511</v>
      </c>
      <c r="Z341" s="8">
        <f>IFERROR(Y341/G341,0)</f>
        <v/>
      </c>
      <c r="AA341" s="7">
        <f>Y341-K341/1.06</f>
        <v/>
      </c>
      <c r="AB341" s="8">
        <f>IFERROR(AA341/G341,0)</f>
        <v/>
      </c>
      <c r="AC341" s="7">
        <f>Y341-(Q341+X341)/1.06</f>
        <v/>
      </c>
      <c r="AD341" s="8">
        <f>IFERROR(AC341/G341,0)</f>
        <v/>
      </c>
    </row>
    <row r="342" ht="14.25" customHeight="1" s="69">
      <c r="A342" s="5" t="inlineStr">
        <is>
          <t>7.27-8.2</t>
        </is>
      </c>
      <c r="B342" s="5" t="inlineStr">
        <is>
          <t>7.27-8.2</t>
        </is>
      </c>
      <c r="C342" s="119" t="n">
        <v>649729851594</v>
      </c>
      <c r="D342" s="5" t="inlineStr">
        <is>
          <t>小规格</t>
        </is>
      </c>
      <c r="E342" s="5" t="inlineStr">
        <is>
          <t>营多捞面袋装8包装泡面宿舍速食面热干面干拌面方便面火鸡面食品</t>
        </is>
      </c>
      <c r="F342" s="7" t="n">
        <v>68.16</v>
      </c>
      <c r="G342" s="7">
        <f>IFERROR(F342/1.13,0)</f>
        <v/>
      </c>
      <c r="H342" s="5" t="n">
        <v>3</v>
      </c>
      <c r="I342" s="8">
        <f>IFERROR(H342/SUMIF($A:$A,A342,$H:$H),0)</f>
        <v/>
      </c>
      <c r="J342" s="9">
        <f>IFERROR(F342/H342,0)</f>
        <v/>
      </c>
      <c r="K342" s="7" t="n">
        <v>0.596726336439431</v>
      </c>
      <c r="L342" s="7" t="n">
        <v>3.51795242766066</v>
      </c>
      <c r="M342" s="9">
        <f>IFERROR(L342/K342,0)</f>
        <v/>
      </c>
      <c r="N342" s="7" t="n">
        <v>1.51147621383031</v>
      </c>
      <c r="O342" s="7" t="n">
        <v>3.25124816086317</v>
      </c>
      <c r="P342" s="9">
        <f>IFERROR(O342/N342,0)</f>
        <v/>
      </c>
      <c r="Q342" s="7">
        <f>K342+N342</f>
        <v/>
      </c>
      <c r="R342" s="7">
        <f>L342+O342</f>
        <v/>
      </c>
      <c r="S342" s="9">
        <f>IFERROR(R342/Q342,0)</f>
        <v/>
      </c>
      <c r="T342" s="8">
        <f>IFERROR(Q342/SUMIF($A:$A,A342,$Q:$Q),0)</f>
        <v/>
      </c>
      <c r="U342" s="8">
        <f>IFERROR(Q342/F342,0)</f>
        <v/>
      </c>
      <c r="V342" s="7">
        <f>F342-R342</f>
        <v/>
      </c>
      <c r="W342" s="8">
        <f>IFERROR(V342/F342,0)</f>
        <v/>
      </c>
      <c r="X342" s="7">
        <f>IFERROR(VLOOKUP(A342,周报其他费用!$A:$B,2,FALSE)*I342,0)</f>
        <v/>
      </c>
      <c r="Y342" s="7" t="n">
        <v>11.567</v>
      </c>
      <c r="Z342" s="8">
        <f>IFERROR(Y342/G342,0)</f>
        <v/>
      </c>
      <c r="AA342" s="7">
        <f>Y342-K342/1.06</f>
        <v/>
      </c>
      <c r="AB342" s="8">
        <f>IFERROR(AA342/G342,0)</f>
        <v/>
      </c>
      <c r="AC342" s="7">
        <f>Y342-(Q342+X342)/1.06</f>
        <v/>
      </c>
      <c r="AD342" s="8">
        <f>IFERROR(AC342/G342,0)</f>
        <v/>
      </c>
    </row>
    <row r="343" ht="14.25" customHeight="1" s="69">
      <c r="A343" s="5" t="inlineStr">
        <is>
          <t>7.27-8.2</t>
        </is>
      </c>
      <c r="B343" s="5" t="inlineStr">
        <is>
          <t>7.27-8.2</t>
        </is>
      </c>
      <c r="C343" s="119" t="n">
        <v>965545088099</v>
      </c>
      <c r="D343" s="5" t="inlineStr">
        <is>
          <t>十口味混搭</t>
        </is>
      </c>
      <c r="E343" s="5" t="inlineStr">
        <is>
          <t>营多捞面多口味袋装泡面拌面速食面干拌面方便面速食宵夜宿舍旅行</t>
        </is>
      </c>
      <c r="F343" s="7" t="n">
        <v>63.02</v>
      </c>
      <c r="G343" s="7">
        <f>IFERROR(F343/1.13,0)</f>
        <v/>
      </c>
      <c r="H343" s="5" t="n">
        <v>2</v>
      </c>
      <c r="I343" s="8">
        <f>IFERROR(H343/SUMIF($A:$A,A343,$H:$H),0)</f>
        <v/>
      </c>
      <c r="J343" s="9">
        <f>IFERROR(F343/H343,0)</f>
        <v/>
      </c>
      <c r="K343" s="7" t="n">
        <v>1.48781755762629</v>
      </c>
      <c r="L343" s="7" t="n">
        <v>2.34530161844044</v>
      </c>
      <c r="M343" s="9">
        <f>IFERROR(L343/K343,0)</f>
        <v/>
      </c>
      <c r="N343" s="7" t="n">
        <v>1.00765080922021</v>
      </c>
      <c r="O343" s="7" t="n">
        <v>2.16749877390878</v>
      </c>
      <c r="P343" s="9">
        <f>IFERROR(O343/N343,0)</f>
        <v/>
      </c>
      <c r="Q343" s="7">
        <f>K343+N343</f>
        <v/>
      </c>
      <c r="R343" s="7">
        <f>L343+O343</f>
        <v/>
      </c>
      <c r="S343" s="9">
        <f>IFERROR(R343/Q343,0)</f>
        <v/>
      </c>
      <c r="T343" s="8">
        <f>IFERROR(Q343/SUMIF($A:$A,A343,$Q:$Q),0)</f>
        <v/>
      </c>
      <c r="U343" s="8">
        <f>IFERROR(Q343/F343,0)</f>
        <v/>
      </c>
      <c r="V343" s="7">
        <f>F343-R343</f>
        <v/>
      </c>
      <c r="W343" s="8">
        <f>IFERROR(V343/F343,0)</f>
        <v/>
      </c>
      <c r="X343" s="7">
        <f>IFERROR(VLOOKUP(A343,周报其他费用!$A:$B,2,FALSE)*I343,0)</f>
        <v/>
      </c>
      <c r="Y343" s="7" t="n">
        <v>13.428</v>
      </c>
      <c r="Z343" s="8">
        <f>IFERROR(Y343/G343,0)</f>
        <v/>
      </c>
      <c r="AA343" s="7">
        <f>Y343-K343/1.06</f>
        <v/>
      </c>
      <c r="AB343" s="8">
        <f>IFERROR(AA343/G343,0)</f>
        <v/>
      </c>
      <c r="AC343" s="7">
        <f>Y343-(Q343+X343)/1.06</f>
        <v/>
      </c>
      <c r="AD343" s="8">
        <f>IFERROR(AC343/G343,0)</f>
        <v/>
      </c>
    </row>
    <row r="344" ht="14.25" customHeight="1" s="69">
      <c r="A344" s="5" t="inlineStr">
        <is>
          <t>7.27-8.2</t>
        </is>
      </c>
      <c r="B344" s="5" t="inlineStr">
        <is>
          <t>7.27-8.2</t>
        </is>
      </c>
      <c r="C344" s="119" t="n">
        <v>916072786304</v>
      </c>
      <c r="D344" s="5" t="inlineStr">
        <is>
          <t>小规格</t>
        </is>
      </c>
      <c r="E344" s="5" t="inlineStr">
        <is>
          <t>营多印尼进口营多捞面方便面火鸡面干拌面10包宿舍速食泡面夜宵</t>
        </is>
      </c>
      <c r="F344" s="7" t="n">
        <v>26.99</v>
      </c>
      <c r="G344" s="7">
        <f>IFERROR(F344/1.13,0)</f>
        <v/>
      </c>
      <c r="H344" s="5" t="n">
        <v>2</v>
      </c>
      <c r="I344" s="8">
        <f>IFERROR(H344/SUMIF($A:$A,A344,$H:$H),0)</f>
        <v/>
      </c>
      <c r="J344" s="9">
        <f>IFERROR(F344/H344,0)</f>
        <v/>
      </c>
      <c r="K344" s="7" t="n">
        <v>0.617817557626287</v>
      </c>
      <c r="L344" s="7" t="n">
        <v>2.34530161844044</v>
      </c>
      <c r="M344" s="9">
        <f>IFERROR(L344/K344,0)</f>
        <v/>
      </c>
      <c r="N344" s="7" t="n">
        <v>1.00765080922021</v>
      </c>
      <c r="O344" s="7" t="n">
        <v>2.16749877390878</v>
      </c>
      <c r="P344" s="9">
        <f>IFERROR(O344/N344,0)</f>
        <v/>
      </c>
      <c r="Q344" s="7">
        <f>K344+N344</f>
        <v/>
      </c>
      <c r="R344" s="7">
        <f>L344+O344</f>
        <v/>
      </c>
      <c r="S344" s="9">
        <f>IFERROR(R344/Q344,0)</f>
        <v/>
      </c>
      <c r="T344" s="8">
        <f>IFERROR(Q344/SUMIF($A:$A,A344,$Q:$Q),0)</f>
        <v/>
      </c>
      <c r="U344" s="8">
        <f>IFERROR(Q344/F344,0)</f>
        <v/>
      </c>
      <c r="V344" s="7">
        <f>F344-R344</f>
        <v/>
      </c>
      <c r="W344" s="8">
        <f>IFERROR(V344/F344,0)</f>
        <v/>
      </c>
      <c r="X344" s="7">
        <f>IFERROR(VLOOKUP(A344,周报其他费用!$A:$B,2,FALSE)*I344,0)</f>
        <v/>
      </c>
      <c r="Y344" s="7" t="n">
        <v>0.362</v>
      </c>
      <c r="Z344" s="8">
        <f>IFERROR(Y344/G344,0)</f>
        <v/>
      </c>
      <c r="AA344" s="7">
        <f>Y344-K344/1.06</f>
        <v/>
      </c>
      <c r="AB344" s="8">
        <f>IFERROR(AA344/G344,0)</f>
        <v/>
      </c>
      <c r="AC344" s="7">
        <f>Y344-(Q344+X344)/1.06</f>
        <v/>
      </c>
      <c r="AD344" s="8">
        <f>IFERROR(AC344/G344,0)</f>
        <v/>
      </c>
    </row>
    <row r="345" ht="14.25" customHeight="1" s="69">
      <c r="A345" s="5" t="inlineStr">
        <is>
          <t>7.27-8.2</t>
        </is>
      </c>
      <c r="B345" s="5" t="inlineStr">
        <is>
          <t>7.27-8.2</t>
        </is>
      </c>
      <c r="C345" s="119" t="n">
        <v>932687928859</v>
      </c>
      <c r="D345" s="5" t="inlineStr">
        <is>
          <t>杯面混搭</t>
        </is>
      </c>
      <c r="E345" s="5" t="inlineStr">
        <is>
          <t>营多捞面韩式甜辣炸鸡辣蘑菇杯面方便面拌面泡面宿舍速食面</t>
        </is>
      </c>
      <c r="F345" s="7" t="n">
        <v>61.08</v>
      </c>
      <c r="G345" s="7">
        <f>IFERROR(F345/1.13,0)</f>
        <v/>
      </c>
      <c r="H345" s="5" t="n">
        <v>2</v>
      </c>
      <c r="I345" s="8">
        <f>IFERROR(H345/SUMIF($A:$A,A345,$H:$H),0)</f>
        <v/>
      </c>
      <c r="J345" s="9">
        <f>IFERROR(F345/H345,0)</f>
        <v/>
      </c>
      <c r="K345" s="7" t="n">
        <v>3.09781755762629</v>
      </c>
      <c r="L345" s="7" t="n">
        <v>32.5253016184404</v>
      </c>
      <c r="M345" s="9">
        <f>IFERROR(L345/K345,0)</f>
        <v/>
      </c>
      <c r="N345" s="7" t="n">
        <v>1.00765080922021</v>
      </c>
      <c r="O345" s="7" t="n">
        <v>2.16749877390878</v>
      </c>
      <c r="P345" s="9">
        <f>IFERROR(O345/N345,0)</f>
        <v/>
      </c>
      <c r="Q345" s="7">
        <f>K345+N345</f>
        <v/>
      </c>
      <c r="R345" s="7">
        <f>L345+O345</f>
        <v/>
      </c>
      <c r="S345" s="9">
        <f>IFERROR(R345/Q345,0)</f>
        <v/>
      </c>
      <c r="T345" s="8">
        <f>IFERROR(Q345/SUMIF($A:$A,A345,$Q:$Q),0)</f>
        <v/>
      </c>
      <c r="U345" s="8">
        <f>IFERROR(Q345/F345,0)</f>
        <v/>
      </c>
      <c r="V345" s="7">
        <f>F345-R345</f>
        <v/>
      </c>
      <c r="W345" s="8">
        <f>IFERROR(V345/F345,0)</f>
        <v/>
      </c>
      <c r="X345" s="7">
        <f>IFERROR(VLOOKUP(A345,周报其他费用!$A:$B,2,FALSE)*I345,0)</f>
        <v/>
      </c>
      <c r="Y345" s="7" t="n">
        <v>11.839</v>
      </c>
      <c r="Z345" s="8">
        <f>IFERROR(Y345/G345,0)</f>
        <v/>
      </c>
      <c r="AA345" s="7">
        <f>Y345-K345/1.06</f>
        <v/>
      </c>
      <c r="AB345" s="8">
        <f>IFERROR(AA345/G345,0)</f>
        <v/>
      </c>
      <c r="AC345" s="7">
        <f>Y345-(Q345+X345)/1.06</f>
        <v/>
      </c>
      <c r="AD345" s="8">
        <f>IFERROR(AC345/G345,0)</f>
        <v/>
      </c>
    </row>
    <row r="346" ht="14.25" customHeight="1" s="69">
      <c r="A346" s="5" t="inlineStr">
        <is>
          <t>7.27-8.2</t>
        </is>
      </c>
      <c r="B346" s="5" t="inlineStr">
        <is>
          <t>7.27-8.2</t>
        </is>
      </c>
      <c r="C346" s="119" t="n">
        <v>947413291596</v>
      </c>
      <c r="D346" s="5" t="inlineStr">
        <is>
          <t>杯面混搭</t>
        </is>
      </c>
      <c r="E346" s="5" t="inlineStr">
        <is>
          <t>印尼进口营多捞面杯面原味甜辣蘑菇味整箱速食拌面拉面泡面方便面</t>
        </is>
      </c>
      <c r="F346" s="7" t="n">
        <v>55.15</v>
      </c>
      <c r="G346" s="7">
        <f>IFERROR(F346/1.13,0)</f>
        <v/>
      </c>
      <c r="H346" s="5" t="n">
        <v>2</v>
      </c>
      <c r="I346" s="8">
        <f>IFERROR(H346/SUMIF($A:$A,A346,$H:$H),0)</f>
        <v/>
      </c>
      <c r="J346" s="9">
        <f>IFERROR(F346/H346,0)</f>
        <v/>
      </c>
      <c r="K346" s="7" t="n">
        <v>5.54781755762629</v>
      </c>
      <c r="L346" s="7" t="n">
        <v>2.34530161844044</v>
      </c>
      <c r="M346" s="9">
        <f>IFERROR(L346/K346,0)</f>
        <v/>
      </c>
      <c r="N346" s="7" t="n">
        <v>1.00765080922021</v>
      </c>
      <c r="O346" s="7" t="n">
        <v>2.16749877390878</v>
      </c>
      <c r="P346" s="9">
        <f>IFERROR(O346/N346,0)</f>
        <v/>
      </c>
      <c r="Q346" s="7">
        <f>K346+N346</f>
        <v/>
      </c>
      <c r="R346" s="7">
        <f>L346+O346</f>
        <v/>
      </c>
      <c r="S346" s="9">
        <f>IFERROR(R346/Q346,0)</f>
        <v/>
      </c>
      <c r="T346" s="8">
        <f>IFERROR(Q346/SUMIF($A:$A,A346,$Q:$Q),0)</f>
        <v/>
      </c>
      <c r="U346" s="8">
        <f>IFERROR(Q346/F346,0)</f>
        <v/>
      </c>
      <c r="V346" s="7">
        <f>F346-R346</f>
        <v/>
      </c>
      <c r="W346" s="8">
        <f>IFERROR(V346/F346,0)</f>
        <v/>
      </c>
      <c r="X346" s="7">
        <f>IFERROR(VLOOKUP(A346,周报其他费用!$A:$B,2,FALSE)*I346,0)</f>
        <v/>
      </c>
      <c r="Y346" s="7" t="n">
        <v>6.768</v>
      </c>
      <c r="Z346" s="8">
        <f>IFERROR(Y346/G346,0)</f>
        <v/>
      </c>
      <c r="AA346" s="7">
        <f>Y346-K346/1.06</f>
        <v/>
      </c>
      <c r="AB346" s="8">
        <f>IFERROR(AA346/G346,0)</f>
        <v/>
      </c>
      <c r="AC346" s="7">
        <f>Y346-(Q346+X346)/1.06</f>
        <v/>
      </c>
      <c r="AD346" s="8">
        <f>IFERROR(AC346/G346,0)</f>
        <v/>
      </c>
    </row>
  </sheetData>
  <mergeCells count="1">
    <mergeCell ref="A1:A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2026-08-11T13:38:00Z</dcterms:created>
  <dcterms:modified xsi:type="dcterms:W3CDTF">2026-08-12T08:23:30Z</dcterms:modified>
  <cp:lastModifiedBy>希孟</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16230D43F17F4FF8A2BAD22A6253B73C_13</vt:lpwstr>
  </property>
  <property name="KSOProductBuildVer" fmtid="{D5CDD505-2E9C-101B-9397-08002B2CF9AE}" pid="3">
    <vt:lpwstr>2052-12.1.0.28043</vt:lpwstr>
  </property>
  <property name="CalculationRule" fmtid="{D5CDD505-2E9C-101B-9397-08002B2CF9AE}" pid="4">
    <vt:i4>0</vt:i4>
  </property>
  <property name="KSOReadingLayout" fmtid="{D5CDD505-2E9C-101B-9397-08002B2CF9AE}" pid="5">
    <vt:bool>1</vt:bool>
  </property>
</Properties>
</file>