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完整报告" sheetId="1" state="visible" r:id="rId1"/>
    <sheet name="02-整体周趋势" sheetId="2" state="visible" r:id="rId2"/>
    <sheet name="03-阶段一拆解" sheetId="3" state="visible" r:id="rId3"/>
    <sheet name="04-阶段二拆解" sheetId="4" state="visible" r:id="rId4"/>
    <sheet name="05-累计拆解" sheetId="5" state="visible" r:id="rId5"/>
    <sheet name="06-主链轨迹" sheetId="6" state="visible" r:id="rId6"/>
    <sheet name="07-口径说明" sheetId="7" state="visible" r:id="rId7"/>
  </sheets>
  <definedNames>
    <definedName name="_xlnm._FilterDatabase" localSheetId="2" hidden="1">'03-阶段一拆解'!$A$3:$K$41</definedName>
    <definedName name="_xlnm._FilterDatabase" localSheetId="3" hidden="1">'04-阶段二拆解'!$A$3:$K$34</definedName>
    <definedName name="_xlnm._FilterDatabase" localSheetId="4" hidden="1">'05-累计拆解'!$A$3:$K$35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微软雅黑"/>
      <b val="1"/>
      <color rgb="001F4E79"/>
      <sz val="18"/>
    </font>
    <font>
      <name val="微软雅黑"/>
      <color rgb="00666666"/>
      <sz val="9"/>
    </font>
    <font>
      <name val="微软雅黑"/>
      <b val="1"/>
      <color rgb="001F4E79"/>
      <sz val="13"/>
    </font>
    <font>
      <name val="微软雅黑"/>
      <b val="1"/>
      <color rgb="00FFFFFF"/>
      <sz val="10"/>
    </font>
    <font>
      <name val="微软雅黑"/>
      <sz val="10"/>
    </font>
    <font>
      <name val="微软雅黑"/>
      <color rgb="00548235"/>
      <sz val="10"/>
    </font>
    <font>
      <name val="微软雅黑"/>
      <color rgb="00C00000"/>
      <sz val="10"/>
    </font>
    <font>
      <name val="微软雅黑"/>
      <b val="1"/>
      <color rgb="00C65911"/>
      <sz val="11"/>
    </font>
    <font>
      <name val="微软雅黑"/>
      <b val="1"/>
      <color rgb="001F4E79"/>
      <sz val="14"/>
    </font>
    <font>
      <name val="微软雅黑"/>
      <b val="1"/>
      <color rgb="001F4E79"/>
    </font>
    <font>
      <name val="微软雅黑"/>
      <b val="1"/>
      <sz val="10"/>
    </font>
  </fonts>
  <fills count="8">
    <fill>
      <patternFill/>
    </fill>
    <fill>
      <patternFill patternType="gray125"/>
    </fill>
    <fill>
      <patternFill patternType="solid">
        <fgColor rgb="001F4E79"/>
      </patternFill>
    </fill>
    <fill>
      <patternFill patternType="solid">
        <fgColor rgb="00D6EAF8"/>
      </patternFill>
    </fill>
    <fill>
      <patternFill patternType="solid">
        <fgColor rgb="00C6EFCE"/>
      </patternFill>
    </fill>
    <fill>
      <patternFill patternType="solid">
        <fgColor rgb="00FCE4D6"/>
      </patternFill>
    </fill>
    <fill>
      <patternFill patternType="solid">
        <fgColor rgb="00C65911"/>
      </patternFill>
    </fill>
    <fill>
      <patternFill patternType="solid">
        <fgColor rgb="002E75B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5" fillId="3" borderId="1" applyAlignment="1" pivotButton="0" quotePrefix="0" xfId="0">
      <alignment vertical="center" wrapText="1"/>
    </xf>
    <xf numFmtId="0" fontId="5" fillId="0" borderId="1" applyAlignment="1" pivotButton="0" quotePrefix="0" xfId="0">
      <alignment horizontal="left" vertical="center" wrapText="1"/>
    </xf>
    <xf numFmtId="3" fontId="6" fillId="0" borderId="1" applyAlignment="1" pivotButton="0" quotePrefix="0" xfId="0">
      <alignment horizontal="center" vertical="center" wrapText="1"/>
    </xf>
    <xf numFmtId="3" fontId="7"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left" vertical="center" wrapText="1"/>
    </xf>
    <xf numFmtId="3" fontId="6" fillId="4" borderId="1" applyAlignment="1" pivotButton="0" quotePrefix="0" xfId="0">
      <alignment horizontal="center" vertical="center" wrapText="1"/>
    </xf>
    <xf numFmtId="3" fontId="7" fillId="4" borderId="1" applyAlignment="1" pivotButton="0" quotePrefix="0" xfId="0">
      <alignment horizontal="center" vertical="center" wrapText="1"/>
    </xf>
    <xf numFmtId="0" fontId="5" fillId="5" borderId="1" applyAlignment="1" pivotButton="0" quotePrefix="0" xfId="0">
      <alignment horizontal="left" vertical="center" wrapText="1"/>
    </xf>
    <xf numFmtId="3" fontId="6" fillId="5" borderId="1" applyAlignment="1" pivotButton="0" quotePrefix="0" xfId="0">
      <alignment horizontal="center" vertical="center" wrapText="1"/>
    </xf>
    <xf numFmtId="3" fontId="7" fillId="5" borderId="1" applyAlignment="1" pivotButton="0" quotePrefix="0" xfId="0">
      <alignment horizontal="center" vertical="center" wrapText="1"/>
    </xf>
    <xf numFmtId="0" fontId="8" fillId="0" borderId="0" pivotButton="0" quotePrefix="0" xfId="0"/>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0" pivotButton="0" quotePrefix="0" xfId="0"/>
    <xf numFmtId="3" fontId="5" fillId="0" borderId="1" applyAlignment="1" pivotButton="0" quotePrefix="0" xfId="0">
      <alignment horizontal="center" vertical="center" wrapText="1"/>
    </xf>
    <xf numFmtId="0" fontId="10" fillId="0" borderId="0" pivotButton="0" quotePrefix="0" xfId="0"/>
    <xf numFmtId="0" fontId="1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推广后净利润周趋势</a:t>
            </a:r>
          </a:p>
        </rich>
      </tx>
    </title>
    <plotArea>
      <lineChart>
        <grouping val="standard"/>
        <ser>
          <idx val="0"/>
          <order val="0"/>
          <tx>
            <strRef>
              <f>'01-完整报告'!E16</f>
            </strRef>
          </tx>
          <spPr>
            <a:ln>
              <a:prstDash val="solid"/>
            </a:ln>
          </spPr>
          <marker>
            <symbol val="none"/>
            <spPr>
              <a:ln>
                <a:prstDash val="solid"/>
              </a:ln>
            </spPr>
          </marker>
          <cat>
            <numRef>
              <f>'01-完整报告'!$A$17:$A$24</f>
            </numRef>
          </cat>
          <val>
            <numRef>
              <f>'01-完整报告'!$E$17:$E$24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元</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25</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10" customWidth="1" min="1" max="1"/>
    <col width="18" customWidth="1" min="2" max="2"/>
    <col width="14" customWidth="1" min="3" max="3"/>
    <col width="14" customWidth="1" min="4" max="4"/>
    <col width="14" customWidth="1" min="5" max="5"/>
    <col width="14" customWidth="1" min="6" max="6"/>
    <col width="28" customWidth="1" min="7" max="7"/>
    <col width="52" customWidth="1" min="8" max="8"/>
  </cols>
  <sheetData>
    <row r="1">
      <c r="A1" s="1" t="inlineStr">
        <is>
          <t>天猫近3个月利润下降原因分析报告（完整版）</t>
        </is>
      </c>
    </row>
    <row r="2">
      <c r="A2" s="2" t="inlineStr">
        <is>
          <t>口径：净利润(推广后)｜覆盖周次：5.11–7.26（单周，已含7.20-7.26）｜单位：元｜拆解：推广后变化 ≈ 推广前变化 − 推广花费变化</t>
        </is>
      </c>
    </row>
    <row r="4">
      <c r="A4" s="3" t="inlineStr">
        <is>
          <t>一、利润下降原因（完整结论）</t>
        </is>
      </c>
    </row>
    <row r="5">
      <c r="A5" s="4" t="inlineStr">
        <is>
          <t>序号</t>
        </is>
      </c>
      <c r="B5" s="4" t="inlineStr">
        <is>
          <t>说明</t>
        </is>
      </c>
    </row>
    <row r="6" ht="36" customHeight="1">
      <c r="A6" s="5" t="n">
        <v>1</v>
      </c>
      <c r="B6" s="5" t="inlineStr">
        <is>
          <t>总判断：整体长期亏损；7.6-7.12 改善至 -4111 后连续回落，7.13-7.19 为 -5180，7.20-7.26 进一步至 -5613。相对最好周累计恶化 -1502 元。</t>
        </is>
      </c>
    </row>
    <row r="7" ht="36" customHeight="1">
      <c r="A7" s="6" t="n">
        <v>2</v>
      </c>
      <c r="B7" s="6" t="inlineStr">
        <is>
          <t>阶段一（7.6→7.13）：整体推广后 -4111→-5180（-1069）。主因是推广前利润下降，不是推广费上升。第一责任ID：668566625747（袋面主链接），推广后 -667；推广前 -597，推广费 -133。</t>
        </is>
      </c>
    </row>
    <row r="8" ht="36" customHeight="1">
      <c r="A8" s="5" t="n">
        <v>3</v>
      </c>
      <c r="B8" s="5" t="inlineStr">
        <is>
          <t>阶段二（7.13→7.20）：整体 -5180→-5613（-433）。本阶段推广费上升拖累更突出。恶化最大ID：649361890551（袋面次链接），推广后 -259；推广前 +195，推广费 +529 → 主要是推广费上升。袋面主链接同期推广后 +126（已不再是最大拖累）。</t>
        </is>
      </c>
    </row>
    <row r="9" ht="36" customHeight="1">
      <c r="A9" s="6" t="n">
        <v>4</v>
      </c>
      <c r="B9" s="6" t="inlineStr">
        <is>
          <t>阶段一归因结构（恶化ID）：主要是推广前利润下降18个/-1645；主要是推广费上升6个/-33；其他费用/口径差1个/-4。第一波主要来自推广前利润走弱。</t>
        </is>
      </c>
    </row>
    <row r="10" ht="36" customHeight="1">
      <c r="A10" s="5" t="n">
        <v>5</v>
      </c>
      <c r="B10" s="5" t="inlineStr">
        <is>
          <t>阶段二归因结构（恶化ID）：主要是推广前利润下降8个/-317；主要是推广费上升8个/-585；推广前利润下降 + 推广费上升（双因）1个/-5。第二波中推广费上升成为重要推手。</t>
        </is>
      </c>
    </row>
    <row r="11" ht="36" customHeight="1">
      <c r="A11" s="6" t="n">
        <v>6</v>
      </c>
      <c r="B11" s="6" t="inlineStr">
        <is>
          <t>原味大大包：推广前常有利润，但推广后净贡献弱，不是两波回落的第一责任；部分大大包链接在阶段二也出现推广前下滑。</t>
        </is>
      </c>
    </row>
    <row r="12" ht="36" customHeight="1">
      <c r="A12" s="5" t="n">
        <v>7</v>
      </c>
      <c r="B12" s="5" t="inlineStr">
        <is>
          <t>长期亏损底座：袋面主/次链接、杯面主链接、巴东牛肉持续贡献大额负利润；近两周变化叠加其上，造成可见的利润下降。</t>
        </is>
      </c>
    </row>
    <row r="13" ht="36" customHeight="1">
      <c r="A13" s="6" t="n">
        <v>8</v>
      </c>
      <c r="B13" s="6" t="inlineStr">
        <is>
          <t>建议：①阶段一抓袋面主链接推广前利润/成交；②阶段二严控袋面次链接与30包推广费；③巴东牛肉高费比持续亏损建议减投；④大大包压推广侵蚀、保推广前利润。</t>
        </is>
      </c>
    </row>
    <row r="15">
      <c r="A15" s="3" t="inlineStr">
        <is>
          <t>二、整体周趋势</t>
        </is>
      </c>
    </row>
    <row r="16">
      <c r="A16" s="4" t="inlineStr">
        <is>
          <t>周次</t>
        </is>
      </c>
      <c r="B16" s="4" t="inlineStr">
        <is>
          <t>成交金额</t>
        </is>
      </c>
      <c r="C16" s="4" t="inlineStr">
        <is>
          <t>推广前净利润</t>
        </is>
      </c>
      <c r="D16" s="4" t="inlineStr">
        <is>
          <t>推广花费</t>
        </is>
      </c>
      <c r="E16" s="4" t="inlineStr">
        <is>
          <t>推广后净利润</t>
        </is>
      </c>
      <c r="F16" s="4" t="inlineStr">
        <is>
          <t>推广后环比</t>
        </is>
      </c>
      <c r="G16" s="4" t="inlineStr">
        <is>
          <t>说明</t>
        </is>
      </c>
    </row>
    <row r="17">
      <c r="A17" s="7" t="inlineStr">
        <is>
          <t>5.11-5.17</t>
        </is>
      </c>
      <c r="B17" s="8" t="n">
        <v>118254</v>
      </c>
      <c r="C17" s="8" t="n">
        <v>15584</v>
      </c>
      <c r="D17" s="8" t="n">
        <v>22197</v>
      </c>
      <c r="E17" s="9" t="n">
        <v>-6305</v>
      </c>
      <c r="F17" s="10" t="n"/>
      <c r="G17" s="7" t="inlineStr">
        <is>
          <t>单周</t>
        </is>
      </c>
    </row>
    <row r="18">
      <c r="A18" s="7" t="inlineStr">
        <is>
          <t>5.25-5.31</t>
        </is>
      </c>
      <c r="B18" s="8" t="n">
        <v>123379</v>
      </c>
      <c r="C18" s="8" t="n">
        <v>16529</v>
      </c>
      <c r="D18" s="8" t="n">
        <v>22866</v>
      </c>
      <c r="E18" s="9" t="n">
        <v>-6518</v>
      </c>
      <c r="F18" s="9" t="n">
        <v>-213</v>
      </c>
      <c r="G18" s="7" t="inlineStr">
        <is>
          <t>单周</t>
        </is>
      </c>
    </row>
    <row r="19">
      <c r="A19" s="7" t="inlineStr">
        <is>
          <t>6.15-6.21</t>
        </is>
      </c>
      <c r="B19" s="8" t="n">
        <v>102109</v>
      </c>
      <c r="C19" s="8" t="n">
        <v>13775</v>
      </c>
      <c r="D19" s="8" t="n">
        <v>19491</v>
      </c>
      <c r="E19" s="9" t="n">
        <v>-6628</v>
      </c>
      <c r="F19" s="9" t="n">
        <v>-110</v>
      </c>
      <c r="G19" s="7" t="inlineStr">
        <is>
          <t>单周</t>
        </is>
      </c>
    </row>
    <row r="20">
      <c r="A20" s="7" t="inlineStr">
        <is>
          <t>6.22-6.28</t>
        </is>
      </c>
      <c r="B20" s="8" t="n">
        <v>86705</v>
      </c>
      <c r="C20" s="8" t="n">
        <v>11721</v>
      </c>
      <c r="D20" s="8" t="n">
        <v>17055</v>
      </c>
      <c r="E20" s="9" t="n">
        <v>-6335</v>
      </c>
      <c r="F20" s="8" t="n">
        <v>293</v>
      </c>
      <c r="G20" s="7" t="inlineStr">
        <is>
          <t>单周</t>
        </is>
      </c>
    </row>
    <row r="21">
      <c r="A21" s="7" t="inlineStr">
        <is>
          <t>6.29-7.5</t>
        </is>
      </c>
      <c r="B21" s="8" t="n">
        <v>93260</v>
      </c>
      <c r="C21" s="8" t="n">
        <v>12987</v>
      </c>
      <c r="D21" s="8" t="n">
        <v>17356</v>
      </c>
      <c r="E21" s="9" t="n">
        <v>-5229</v>
      </c>
      <c r="F21" s="8" t="n">
        <v>1106</v>
      </c>
      <c r="G21" s="7" t="inlineStr">
        <is>
          <t>单周</t>
        </is>
      </c>
    </row>
    <row r="22">
      <c r="A22" s="11" t="inlineStr">
        <is>
          <t>7.6-7.12</t>
        </is>
      </c>
      <c r="B22" s="12" t="n">
        <v>120624</v>
      </c>
      <c r="C22" s="12" t="n">
        <v>16854</v>
      </c>
      <c r="D22" s="12" t="n">
        <v>20166</v>
      </c>
      <c r="E22" s="13" t="n">
        <v>-4111</v>
      </c>
      <c r="F22" s="12" t="n">
        <v>1118</v>
      </c>
      <c r="G22" s="11" t="inlineStr">
        <is>
          <t>最好周</t>
        </is>
      </c>
    </row>
    <row r="23">
      <c r="A23" s="14" t="inlineStr">
        <is>
          <t>7.13-7.19</t>
        </is>
      </c>
      <c r="B23" s="15" t="n">
        <v>100698</v>
      </c>
      <c r="C23" s="15" t="n">
        <v>13663</v>
      </c>
      <c r="D23" s="15" t="n">
        <v>17573</v>
      </c>
      <c r="E23" s="16" t="n">
        <v>-5180</v>
      </c>
      <c r="F23" s="16" t="n">
        <v>-1069</v>
      </c>
      <c r="G23" s="14" t="inlineStr">
        <is>
          <t>第一波回落</t>
        </is>
      </c>
    </row>
    <row r="24">
      <c r="A24" s="14" t="inlineStr">
        <is>
          <t>7.20-7.26</t>
        </is>
      </c>
      <c r="B24" s="15" t="n">
        <v>98451</v>
      </c>
      <c r="C24" s="15" t="n">
        <v>13513</v>
      </c>
      <c r="D24" s="15" t="n">
        <v>18178</v>
      </c>
      <c r="E24" s="16" t="n">
        <v>-5613</v>
      </c>
      <c r="F24" s="16" t="n">
        <v>-433</v>
      </c>
      <c r="G24" s="14" t="inlineStr">
        <is>
          <t>第二波回落/最新周</t>
        </is>
      </c>
    </row>
    <row r="41">
      <c r="A41" s="3" t="inlineStr">
        <is>
          <t>三、两阶段责任ID</t>
        </is>
      </c>
    </row>
    <row r="42">
      <c r="A42" s="17" t="inlineStr">
        <is>
          <t>阶段一：7.6→7.13（主因：推广前利润下降）</t>
        </is>
      </c>
    </row>
    <row r="43">
      <c r="A43" s="18" t="inlineStr">
        <is>
          <t>排名</t>
        </is>
      </c>
      <c r="B43" s="18" t="inlineStr">
        <is>
          <t>商品ID</t>
        </is>
      </c>
      <c r="C43" s="18" t="inlineStr">
        <is>
          <t>定位</t>
        </is>
      </c>
      <c r="D43" s="18" t="inlineStr">
        <is>
          <t>推广前变化</t>
        </is>
      </c>
      <c r="E43" s="18" t="inlineStr">
        <is>
          <t>推广费变化</t>
        </is>
      </c>
      <c r="F43" s="18" t="inlineStr">
        <is>
          <t>推广后变化</t>
        </is>
      </c>
      <c r="G43" s="18" t="inlineStr">
        <is>
          <t>主因判断</t>
        </is>
      </c>
      <c r="H43" s="18" t="inlineStr">
        <is>
          <t>商品名称</t>
        </is>
      </c>
    </row>
    <row r="44">
      <c r="A44" s="7" t="n">
        <v>1</v>
      </c>
      <c r="B44" s="7" t="inlineStr">
        <is>
          <t>668566625747</t>
        </is>
      </c>
      <c r="C44" s="7" t="inlineStr">
        <is>
          <t>袋面主链接</t>
        </is>
      </c>
      <c r="D44" s="9" t="n">
        <v>-597</v>
      </c>
      <c r="E44" s="9" t="n">
        <v>-133</v>
      </c>
      <c r="F44" s="9" t="n">
        <v>-667</v>
      </c>
      <c r="G44" s="7" t="inlineStr">
        <is>
          <t>主要是推广前利润下降</t>
        </is>
      </c>
      <c r="H44" s="7" t="inlineStr">
        <is>
          <t>印尼营多捞面进口网红泡面袋装方便面速食食品拉面火鸡面拌面整箱</t>
        </is>
      </c>
    </row>
    <row r="45">
      <c r="A45" s="7" t="n">
        <v>2</v>
      </c>
      <c r="B45" s="7" t="inlineStr">
        <is>
          <t>648600900806</t>
        </is>
      </c>
      <c r="C45" s="7" t="inlineStr">
        <is>
          <t>30包</t>
        </is>
      </c>
      <c r="D45" s="9" t="n">
        <v>-587</v>
      </c>
      <c r="E45" s="9" t="n">
        <v>-359</v>
      </c>
      <c r="F45" s="9" t="n">
        <v>-243</v>
      </c>
      <c r="G45" s="7" t="inlineStr">
        <is>
          <t>主要是推广前利润下降</t>
        </is>
      </c>
      <c r="H45" s="7" t="inlineStr">
        <is>
          <t>进口营多捞面一整箱30包网红速食方便面宿舍速食泡面干拌面拉面</t>
        </is>
      </c>
    </row>
    <row r="46">
      <c r="A46" s="7" t="n">
        <v>3</v>
      </c>
      <c r="B46" s="7" t="inlineStr">
        <is>
          <t>649369494424</t>
        </is>
      </c>
      <c r="C46" s="7" t="inlineStr">
        <is>
          <t>24包经典/牛系列</t>
        </is>
      </c>
      <c r="D46" s="9" t="n">
        <v>-486</v>
      </c>
      <c r="E46" s="9" t="n">
        <v>-287</v>
      </c>
      <c r="F46" s="9" t="n">
        <v>-210</v>
      </c>
      <c r="G46" s="7" t="inlineStr">
        <is>
          <t>主要是推广前利润下降</t>
        </is>
      </c>
      <c r="H46" s="7" t="inlineStr">
        <is>
          <t>营多捞面干拌面一整箱24袋装批发泡面混搭宿舍速食方便面火鸡面</t>
        </is>
      </c>
    </row>
    <row r="47">
      <c r="A47" s="7" t="n">
        <v>4</v>
      </c>
      <c r="B47" s="7" t="inlineStr">
        <is>
          <t>766165464414</t>
        </is>
      </c>
      <c r="C47" s="7" t="inlineStr">
        <is>
          <t>12包</t>
        </is>
      </c>
      <c r="D47" s="9" t="n">
        <v>-157</v>
      </c>
      <c r="E47" s="9" t="n">
        <v>-30</v>
      </c>
      <c r="F47" s="9" t="n">
        <v>-119</v>
      </c>
      <c r="G47" s="7" t="inlineStr">
        <is>
          <t>主要是推广前利润下降</t>
        </is>
      </c>
      <c r="H47" s="7" t="inlineStr">
        <is>
          <t>营多印尼进口营多捞面方便面火鸡面干拌面12包宿舍速食泡面夜宵</t>
        </is>
      </c>
    </row>
    <row r="48">
      <c r="A48" s="7" t="n">
        <v>5</v>
      </c>
      <c r="B48" s="7" t="inlineStr">
        <is>
          <t>648598580775</t>
        </is>
      </c>
      <c r="C48" s="7" t="inlineStr">
        <is>
          <t>原味大包</t>
        </is>
      </c>
      <c r="D48" s="9" t="n">
        <v>-200</v>
      </c>
      <c r="E48" s="9" t="n">
        <v>-105</v>
      </c>
      <c r="F48" s="9" t="n">
        <v>-101</v>
      </c>
      <c r="G48" s="7" t="inlineStr">
        <is>
          <t>主要是推广前利润下降</t>
        </is>
      </c>
      <c r="H48" s="7" t="inlineStr">
        <is>
          <t>印尼进口大大包营多原味捞面5包干拌面速食超大包方便面速食宵夜</t>
        </is>
      </c>
    </row>
    <row r="49">
      <c r="A49" s="7" t="n">
        <v>6</v>
      </c>
      <c r="B49" s="7" t="inlineStr">
        <is>
          <t>1059563993918</t>
        </is>
      </c>
      <c r="C49" s="7" t="inlineStr">
        <is>
          <t>原味大包</t>
        </is>
      </c>
      <c r="D49" s="9" t="n">
        <v>-46</v>
      </c>
      <c r="E49" s="8" t="n">
        <v>8</v>
      </c>
      <c r="F49" s="9" t="n">
        <v>-65</v>
      </c>
      <c r="G49" s="7" t="inlineStr">
        <is>
          <t>主要是推广前利润下降</t>
        </is>
      </c>
      <c r="H49" s="7" t="inlineStr">
        <is>
          <t>indomie印尼进口营多原味大大包129g捞面方便面速食食品宵夜小吃</t>
        </is>
      </c>
    </row>
    <row r="50">
      <c r="A50" s="7" t="n">
        <v>7</v>
      </c>
      <c r="B50" s="7" t="inlineStr">
        <is>
          <t>649014937782</t>
        </is>
      </c>
      <c r="C50" s="7" t="inlineStr">
        <is>
          <t>24包</t>
        </is>
      </c>
      <c r="D50" s="9" t="n">
        <v>-106</v>
      </c>
      <c r="E50" s="9" t="n">
        <v>-63</v>
      </c>
      <c r="F50" s="9" t="n">
        <v>-58</v>
      </c>
      <c r="G50" s="7" t="inlineStr">
        <is>
          <t>主要是推广前利润下降</t>
        </is>
      </c>
      <c r="H50" s="7" t="inlineStr">
        <is>
          <t>印尼营多捞面干拌面一整箱24袋装批发泡面宿舍速食方便面火鸡面</t>
        </is>
      </c>
    </row>
    <row r="51">
      <c r="A51" s="7" t="n">
        <v>8</v>
      </c>
      <c r="B51" s="7" t="inlineStr">
        <is>
          <t>1013887677295</t>
        </is>
      </c>
      <c r="C51" s="7" t="inlineStr">
        <is>
          <t>混搭5杯</t>
        </is>
      </c>
      <c r="D51" s="9" t="n">
        <v>-64</v>
      </c>
      <c r="E51" s="9" t="n">
        <v>-20</v>
      </c>
      <c r="F51" s="9" t="n">
        <v>-46</v>
      </c>
      <c r="G51" s="7" t="inlineStr">
        <is>
          <t>主要是推广前利润下降</t>
        </is>
      </c>
      <c r="H51" s="7" t="inlineStr">
        <is>
          <t>进口营多原味杯面日式杯面韩式杯面泡面方便面汤面宿舍速食夜宵</t>
        </is>
      </c>
    </row>
    <row r="53">
      <c r="A53" s="17" t="inlineStr">
        <is>
          <t>阶段二：7.13→7.20（推广费上升拖累加重）</t>
        </is>
      </c>
    </row>
    <row r="54">
      <c r="A54" s="18" t="inlineStr">
        <is>
          <t>排名</t>
        </is>
      </c>
      <c r="B54" s="18" t="inlineStr">
        <is>
          <t>商品ID</t>
        </is>
      </c>
      <c r="C54" s="18" t="inlineStr">
        <is>
          <t>定位</t>
        </is>
      </c>
      <c r="D54" s="18" t="inlineStr">
        <is>
          <t>推广前变化</t>
        </is>
      </c>
      <c r="E54" s="18" t="inlineStr">
        <is>
          <t>推广费变化</t>
        </is>
      </c>
      <c r="F54" s="18" t="inlineStr">
        <is>
          <t>推广后变化</t>
        </is>
      </c>
      <c r="G54" s="18" t="inlineStr">
        <is>
          <t>主因判断</t>
        </is>
      </c>
      <c r="H54" s="18" t="inlineStr">
        <is>
          <t>商品名称</t>
        </is>
      </c>
    </row>
    <row r="55">
      <c r="A55" s="7" t="n">
        <v>1</v>
      </c>
      <c r="B55" s="7" t="inlineStr">
        <is>
          <t>649361890551</t>
        </is>
      </c>
      <c r="C55" s="7" t="inlineStr">
        <is>
          <t>袋面次链接</t>
        </is>
      </c>
      <c r="D55" s="8" t="n">
        <v>195</v>
      </c>
      <c r="E55" s="8" t="n">
        <v>529</v>
      </c>
      <c r="F55" s="9" t="n">
        <v>-259</v>
      </c>
      <c r="G55" s="7" t="inlineStr">
        <is>
          <t>主要是推广费上升</t>
        </is>
      </c>
      <c r="H55" s="7" t="inlineStr">
        <is>
          <t>营多捞面印尼进口Indomie网红夜宵早餐方便面火鸡面泡面拌面</t>
        </is>
      </c>
    </row>
    <row r="56">
      <c r="A56" s="7" t="n">
        <v>2</v>
      </c>
      <c r="B56" s="7" t="inlineStr">
        <is>
          <t>648600900806</t>
        </is>
      </c>
      <c r="C56" s="7" t="inlineStr">
        <is>
          <t>30包</t>
        </is>
      </c>
      <c r="D56" s="8" t="n">
        <v>30</v>
      </c>
      <c r="E56" s="8" t="n">
        <v>312</v>
      </c>
      <c r="F56" s="9" t="n">
        <v>-251</v>
      </c>
      <c r="G56" s="7" t="inlineStr">
        <is>
          <t>主要是推广费上升</t>
        </is>
      </c>
      <c r="H56" s="7" t="inlineStr">
        <is>
          <t>进口营多捞面一整箱30包网红速食方便面宿舍速食泡面干拌面拉面</t>
        </is>
      </c>
    </row>
    <row r="57">
      <c r="A57" s="7" t="n">
        <v>3</v>
      </c>
      <c r="B57" s="7" t="inlineStr">
        <is>
          <t>649014937782</t>
        </is>
      </c>
      <c r="C57" s="7" t="inlineStr">
        <is>
          <t>原味大包</t>
        </is>
      </c>
      <c r="D57" s="9" t="n">
        <v>-150</v>
      </c>
      <c r="E57" s="9" t="n">
        <v>-23</v>
      </c>
      <c r="F57" s="9" t="n">
        <v>-114</v>
      </c>
      <c r="G57" s="7" t="inlineStr">
        <is>
          <t>主要是推广前利润下降</t>
        </is>
      </c>
      <c r="H57" s="7" t="inlineStr">
        <is>
          <t>indomie印尼进口营多原味大大包129g捞面方便面速食食品宵夜小吃</t>
        </is>
      </c>
    </row>
    <row r="58">
      <c r="A58" s="7" t="n">
        <v>4</v>
      </c>
      <c r="B58" s="7" t="inlineStr">
        <is>
          <t>735014804839</t>
        </is>
      </c>
      <c r="C58" s="7" t="inlineStr">
        <is>
          <t>24/30包</t>
        </is>
      </c>
      <c r="D58" s="9" t="n">
        <v>-161</v>
      </c>
      <c r="E58" s="9" t="n">
        <v>-53</v>
      </c>
      <c r="F58" s="9" t="n">
        <v>-102</v>
      </c>
      <c r="G58" s="7" t="inlineStr">
        <is>
          <t>主要是推广前利润下降</t>
        </is>
      </c>
      <c r="H58" s="7" t="inlineStr">
        <is>
          <t>进口营多捞面多口味Indomie网红方便面干拌面泡面30包整箱批发面</t>
        </is>
      </c>
    </row>
    <row r="59">
      <c r="A59" s="7" t="n">
        <v>5</v>
      </c>
      <c r="B59" s="7" t="inlineStr">
        <is>
          <t>1013887677295</t>
        </is>
      </c>
      <c r="C59" s="7" t="inlineStr">
        <is>
          <t>原味大包</t>
        </is>
      </c>
      <c r="D59" s="8" t="n">
        <v>10</v>
      </c>
      <c r="E59" s="8" t="n">
        <v>74</v>
      </c>
      <c r="F59" s="9" t="n">
        <v>-50</v>
      </c>
      <c r="G59" s="7" t="inlineStr">
        <is>
          <t>主要是推广费上升</t>
        </is>
      </c>
      <c r="H59" s="7" t="inlineStr">
        <is>
          <t>indomie印尼进口营多原味大大包129g捞面方便面速食食品宵夜小吃</t>
        </is>
      </c>
    </row>
    <row r="60">
      <c r="A60" s="7" t="n">
        <v>6</v>
      </c>
      <c r="B60" s="7" t="inlineStr">
        <is>
          <t>648598580775</t>
        </is>
      </c>
      <c r="C60" s="7" t="inlineStr">
        <is>
          <t>原味大包</t>
        </is>
      </c>
      <c r="D60" s="9" t="n">
        <v>-87</v>
      </c>
      <c r="E60" s="9" t="n">
        <v>-34</v>
      </c>
      <c r="F60" s="9" t="n">
        <v>-43</v>
      </c>
      <c r="G60" s="7" t="inlineStr">
        <is>
          <t>主要是推广前利润下降</t>
        </is>
      </c>
      <c r="H60" s="7" t="inlineStr">
        <is>
          <t>印尼进口大大包营多原味捞面5包干拌面速食超大包方便面速食宵夜</t>
        </is>
      </c>
    </row>
    <row r="61">
      <c r="A61" s="7" t="n">
        <v>7</v>
      </c>
      <c r="B61" s="7" t="inlineStr">
        <is>
          <t>649735171438</t>
        </is>
      </c>
      <c r="C61" s="7" t="inlineStr">
        <is>
          <t>杯面主链接</t>
        </is>
      </c>
      <c r="D61" s="9" t="n">
        <v>-97</v>
      </c>
      <c r="E61" s="9" t="n">
        <v>-24</v>
      </c>
      <c r="F61" s="9" t="n">
        <v>-22</v>
      </c>
      <c r="G61" s="7" t="inlineStr">
        <is>
          <t>主要是推广前利润下降</t>
        </is>
      </c>
      <c r="H61" s="7" t="inlineStr">
        <is>
          <t>印尼进口indomie营多捞面杯面速食泡面干拌面盒桶装方便面火鸡面</t>
        </is>
      </c>
    </row>
    <row r="62">
      <c r="A62" s="7" t="n">
        <v>8</v>
      </c>
      <c r="B62" s="7" t="inlineStr">
        <is>
          <t>886856687067</t>
        </is>
      </c>
      <c r="C62" s="7" t="inlineStr">
        <is>
          <t>大骨</t>
        </is>
      </c>
      <c r="D62" s="9" t="n">
        <v>-22</v>
      </c>
      <c r="E62" s="8" t="n">
        <v>1</v>
      </c>
      <c r="F62" s="9" t="n">
        <v>-21</v>
      </c>
      <c r="G62" s="7" t="inlineStr">
        <is>
          <t>主要是推广前利润下降</t>
        </is>
      </c>
      <c r="H62" s="7" t="inlineStr">
        <is>
          <t>营多捞面牛系列大骨牛肉味方便面食品泡面拉面汤面宿舍宵夜旅行</t>
        </is>
      </c>
    </row>
    <row r="65">
      <c r="A65" s="3" t="inlineStr">
        <is>
          <t>四、相对最好周到最新周累计恶化TOP</t>
        </is>
      </c>
    </row>
    <row r="66">
      <c r="A66" s="19" t="inlineStr">
        <is>
          <t>排名</t>
        </is>
      </c>
      <c r="B66" s="19" t="inlineStr">
        <is>
          <t>商品ID</t>
        </is>
      </c>
      <c r="C66" s="19" t="inlineStr">
        <is>
          <t>定位</t>
        </is>
      </c>
      <c r="D66" s="19" t="inlineStr">
        <is>
          <t>推广前累计变化</t>
        </is>
      </c>
      <c r="E66" s="19" t="inlineStr">
        <is>
          <t>推广费累计变化</t>
        </is>
      </c>
      <c r="F66" s="19" t="inlineStr">
        <is>
          <t>推广后累计变化</t>
        </is>
      </c>
      <c r="G66" s="19" t="inlineStr">
        <is>
          <t>主因判断</t>
        </is>
      </c>
      <c r="H66" s="19" t="inlineStr">
        <is>
          <t>商品名称</t>
        </is>
      </c>
    </row>
    <row r="67">
      <c r="A67" s="7" t="n">
        <v>1</v>
      </c>
      <c r="B67" s="7" t="inlineStr">
        <is>
          <t>668566625747</t>
        </is>
      </c>
      <c r="C67" s="7" t="inlineStr">
        <is>
          <t>袋面主链接</t>
        </is>
      </c>
      <c r="D67" s="9" t="n">
        <v>-740</v>
      </c>
      <c r="E67" s="9" t="n">
        <v>-287</v>
      </c>
      <c r="F67" s="9" t="n">
        <v>-541</v>
      </c>
      <c r="G67" s="7" t="inlineStr">
        <is>
          <t>主要是推广前利润下降</t>
        </is>
      </c>
      <c r="H67" s="7" t="inlineStr">
        <is>
          <t>印尼营多捞面进口网红泡面袋装方便面速食食品拉面火鸡面拌面整箱</t>
        </is>
      </c>
    </row>
    <row r="68">
      <c r="A68" s="7" t="n">
        <v>2</v>
      </c>
      <c r="B68" s="7" t="inlineStr">
        <is>
          <t>648600900806</t>
        </is>
      </c>
      <c r="C68" s="7" t="inlineStr">
        <is>
          <t>30包</t>
        </is>
      </c>
      <c r="D68" s="9" t="n">
        <v>-557</v>
      </c>
      <c r="E68" s="9" t="n">
        <v>-47</v>
      </c>
      <c r="F68" s="9" t="n">
        <v>-494</v>
      </c>
      <c r="G68" s="7" t="inlineStr">
        <is>
          <t>主要是推广前利润下降</t>
        </is>
      </c>
      <c r="H68" s="7" t="inlineStr">
        <is>
          <t>进口营多捞面一整箱30包网红速食方便面宿舍速食泡面干拌面拉面</t>
        </is>
      </c>
    </row>
    <row r="69">
      <c r="A69" s="7" t="n">
        <v>3</v>
      </c>
      <c r="B69" s="7" t="inlineStr">
        <is>
          <t>649369494424</t>
        </is>
      </c>
      <c r="C69" s="7" t="inlineStr">
        <is>
          <t>24包经典/牛系列</t>
        </is>
      </c>
      <c r="D69" s="9" t="n">
        <v>-796</v>
      </c>
      <c r="E69" s="9" t="n">
        <v>-591</v>
      </c>
      <c r="F69" s="9" t="n">
        <v>-212</v>
      </c>
      <c r="G69" s="7" t="inlineStr">
        <is>
          <t>主要是推广前利润下降</t>
        </is>
      </c>
      <c r="H69" s="7" t="inlineStr">
        <is>
          <t>营多捞面干拌面一整箱24袋装批发泡面混搭宿舍速食方便面火鸡面</t>
        </is>
      </c>
    </row>
    <row r="70">
      <c r="A70" s="7" t="n">
        <v>4</v>
      </c>
      <c r="B70" s="7" t="inlineStr">
        <is>
          <t>649014937782</t>
        </is>
      </c>
      <c r="C70" s="7" t="inlineStr">
        <is>
          <t>原味大包</t>
        </is>
      </c>
      <c r="D70" s="9" t="n">
        <v>-256</v>
      </c>
      <c r="E70" s="9" t="n">
        <v>-86</v>
      </c>
      <c r="F70" s="9" t="n">
        <v>-172</v>
      </c>
      <c r="G70" s="7" t="inlineStr">
        <is>
          <t>主要是推广前利润下降</t>
        </is>
      </c>
      <c r="H70" s="7" t="inlineStr">
        <is>
          <t>indomie印尼进口营多原味大大包129g捞面方便面速食食品宵夜小吃</t>
        </is>
      </c>
    </row>
    <row r="71">
      <c r="A71" s="7" t="n">
        <v>5</v>
      </c>
      <c r="B71" s="7" t="inlineStr">
        <is>
          <t>648598580775</t>
        </is>
      </c>
      <c r="C71" s="7" t="inlineStr">
        <is>
          <t>原味大包</t>
        </is>
      </c>
      <c r="D71" s="9" t="n">
        <v>-287</v>
      </c>
      <c r="E71" s="9" t="n">
        <v>-139</v>
      </c>
      <c r="F71" s="9" t="n">
        <v>-144</v>
      </c>
      <c r="G71" s="7" t="inlineStr">
        <is>
          <t>主要是推广前利润下降</t>
        </is>
      </c>
      <c r="H71" s="7" t="inlineStr">
        <is>
          <t>印尼进口大大包营多原味捞面5包干拌面速食超大包方便面速食宵夜</t>
        </is>
      </c>
    </row>
    <row r="72">
      <c r="A72" s="7" t="n">
        <v>6</v>
      </c>
      <c r="B72" s="7" t="inlineStr">
        <is>
          <t>735014804839</t>
        </is>
      </c>
      <c r="C72" s="7" t="inlineStr">
        <is>
          <t>24/30包</t>
        </is>
      </c>
      <c r="D72" s="9" t="n">
        <v>-237</v>
      </c>
      <c r="E72" s="9" t="n">
        <v>-105</v>
      </c>
      <c r="F72" s="9" t="n">
        <v>-131</v>
      </c>
      <c r="G72" s="7" t="inlineStr">
        <is>
          <t>主要是推广前利润下降</t>
        </is>
      </c>
      <c r="H72" s="7" t="inlineStr">
        <is>
          <t>进口营多捞面多口味Indomie网红方便面干拌面泡面30包整箱批发面</t>
        </is>
      </c>
    </row>
    <row r="73">
      <c r="A73" s="7" t="n">
        <v>7</v>
      </c>
      <c r="B73" s="7" t="inlineStr">
        <is>
          <t>766165464414</t>
        </is>
      </c>
      <c r="C73" s="7" t="inlineStr">
        <is>
          <t>12包</t>
        </is>
      </c>
      <c r="D73" s="9" t="n">
        <v>-154</v>
      </c>
      <c r="E73" s="9" t="n">
        <v>-49</v>
      </c>
      <c r="F73" s="9" t="n">
        <v>-96</v>
      </c>
      <c r="G73" s="7" t="inlineStr">
        <is>
          <t>主要是推广前利润下降</t>
        </is>
      </c>
      <c r="H73" s="7" t="inlineStr">
        <is>
          <t>营多印尼进口营多捞面方便面火鸡面干拌面12包宿舍速食泡面夜宵</t>
        </is>
      </c>
    </row>
    <row r="74">
      <c r="A74" s="7" t="n">
        <v>8</v>
      </c>
      <c r="B74" s="7" t="inlineStr">
        <is>
          <t>1013887677295</t>
        </is>
      </c>
      <c r="C74" s="7" t="inlineStr">
        <is>
          <t>原味大包</t>
        </is>
      </c>
      <c r="D74" s="9" t="n">
        <v>-54</v>
      </c>
      <c r="E74" s="8" t="n">
        <v>54</v>
      </c>
      <c r="F74" s="9" t="n">
        <v>-96</v>
      </c>
      <c r="G74" s="7" t="inlineStr">
        <is>
          <t>推广前利润下降 + 推广费上升（双因）</t>
        </is>
      </c>
      <c r="H74" s="7" t="inlineStr">
        <is>
          <t>indomie印尼进口营多原味大大包129g捞面方便面速食食品宵夜小吃</t>
        </is>
      </c>
    </row>
    <row r="75">
      <c r="A75" s="7" t="n">
        <v>9</v>
      </c>
      <c r="B75" s="7" t="inlineStr">
        <is>
          <t>1057479227624</t>
        </is>
      </c>
      <c r="C75" s="7" t="inlineStr">
        <is>
          <t>巴东牛肉</t>
        </is>
      </c>
      <c r="D75" s="8" t="n">
        <v>136</v>
      </c>
      <c r="E75" s="8" t="n">
        <v>131</v>
      </c>
      <c r="F75" s="9" t="n">
        <v>-21</v>
      </c>
      <c r="G75" s="7" t="inlineStr">
        <is>
          <t>主要是推广费上升</t>
        </is>
      </c>
      <c r="H75" s="7" t="inlineStr">
        <is>
          <t>【新口味】印尼进口营多捞面巴东炖牛肉味泡面方便面宿舍速食宵夜</t>
        </is>
      </c>
    </row>
    <row r="76">
      <c r="A76" s="7" t="n">
        <v>10</v>
      </c>
      <c r="B76" s="7" t="inlineStr">
        <is>
          <t>869217868453</t>
        </is>
      </c>
      <c r="C76" s="7" t="inlineStr">
        <is>
          <t>韩式杯面</t>
        </is>
      </c>
      <c r="D76" s="9" t="n">
        <v>-14</v>
      </c>
      <c r="E76" s="8" t="n">
        <v>7</v>
      </c>
      <c r="F76" s="9" t="n">
        <v>-21</v>
      </c>
      <c r="G76" s="7" t="inlineStr">
        <is>
          <t>主要是推广前利润下降</t>
        </is>
      </c>
      <c r="H76" s="7" t="inlineStr">
        <is>
          <t>营多捞面韩式甜辣炸鸡辣蘑菇杯面方便面拌面泡面宿舍速食面</t>
        </is>
      </c>
    </row>
  </sheetData>
  <mergeCells count="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20" t="inlineStr">
        <is>
          <t>整体周趋势明细</t>
        </is>
      </c>
    </row>
    <row r="3">
      <c r="A3" s="4" t="inlineStr">
        <is>
          <t>周次</t>
        </is>
      </c>
      <c r="B3" s="4" t="inlineStr">
        <is>
          <t>成交金额</t>
        </is>
      </c>
      <c r="C3" s="4" t="inlineStr">
        <is>
          <t>推广前净利润</t>
        </is>
      </c>
      <c r="D3" s="4" t="inlineStr">
        <is>
          <t>推广前环比</t>
        </is>
      </c>
      <c r="E3" s="4" t="inlineStr">
        <is>
          <t>推广花费</t>
        </is>
      </c>
      <c r="F3" s="4" t="inlineStr">
        <is>
          <t>推广费环比</t>
        </is>
      </c>
      <c r="G3" s="4" t="inlineStr">
        <is>
          <t>推广后净利润</t>
        </is>
      </c>
      <c r="H3" s="4" t="inlineStr">
        <is>
          <t>推广后环比</t>
        </is>
      </c>
    </row>
    <row r="4">
      <c r="A4" s="7" t="inlineStr">
        <is>
          <t>5.11-5.17</t>
        </is>
      </c>
      <c r="B4" s="8" t="n">
        <v>118254</v>
      </c>
      <c r="C4" s="8" t="n">
        <v>15584</v>
      </c>
      <c r="D4" s="10" t="n"/>
      <c r="E4" s="8" t="n">
        <v>22197</v>
      </c>
      <c r="F4" s="10" t="n"/>
      <c r="G4" s="9" t="n">
        <v>-6305</v>
      </c>
      <c r="H4" s="10" t="n"/>
    </row>
    <row r="5">
      <c r="A5" s="7" t="inlineStr">
        <is>
          <t>5.25-5.31</t>
        </is>
      </c>
      <c r="B5" s="8" t="n">
        <v>123379</v>
      </c>
      <c r="C5" s="8" t="n">
        <v>16529</v>
      </c>
      <c r="D5" s="8" t="n">
        <v>945</v>
      </c>
      <c r="E5" s="8" t="n">
        <v>22866</v>
      </c>
      <c r="F5" s="8" t="n">
        <v>669</v>
      </c>
      <c r="G5" s="9" t="n">
        <v>-6518</v>
      </c>
      <c r="H5" s="9" t="n">
        <v>-213</v>
      </c>
    </row>
    <row r="6">
      <c r="A6" s="7" t="inlineStr">
        <is>
          <t>6.15-6.21</t>
        </is>
      </c>
      <c r="B6" s="8" t="n">
        <v>102109</v>
      </c>
      <c r="C6" s="8" t="n">
        <v>13775</v>
      </c>
      <c r="D6" s="9" t="n">
        <v>-2754</v>
      </c>
      <c r="E6" s="8" t="n">
        <v>19491</v>
      </c>
      <c r="F6" s="9" t="n">
        <v>-3375</v>
      </c>
      <c r="G6" s="9" t="n">
        <v>-6628</v>
      </c>
      <c r="H6" s="9" t="n">
        <v>-110</v>
      </c>
    </row>
    <row r="7">
      <c r="A7" s="7" t="inlineStr">
        <is>
          <t>6.22-6.28</t>
        </is>
      </c>
      <c r="B7" s="8" t="n">
        <v>86705</v>
      </c>
      <c r="C7" s="8" t="n">
        <v>11721</v>
      </c>
      <c r="D7" s="9" t="n">
        <v>-2054</v>
      </c>
      <c r="E7" s="8" t="n">
        <v>17055</v>
      </c>
      <c r="F7" s="9" t="n">
        <v>-2436</v>
      </c>
      <c r="G7" s="9" t="n">
        <v>-6335</v>
      </c>
      <c r="H7" s="8" t="n">
        <v>293</v>
      </c>
    </row>
    <row r="8">
      <c r="A8" s="7" t="inlineStr">
        <is>
          <t>6.29-7.5</t>
        </is>
      </c>
      <c r="B8" s="8" t="n">
        <v>93260</v>
      </c>
      <c r="C8" s="8" t="n">
        <v>12987</v>
      </c>
      <c r="D8" s="8" t="n">
        <v>1266</v>
      </c>
      <c r="E8" s="8" t="n">
        <v>17356</v>
      </c>
      <c r="F8" s="8" t="n">
        <v>301</v>
      </c>
      <c r="G8" s="9" t="n">
        <v>-5229</v>
      </c>
      <c r="H8" s="8" t="n">
        <v>1106</v>
      </c>
    </row>
    <row r="9">
      <c r="A9" s="7" t="inlineStr">
        <is>
          <t>7.6-7.12</t>
        </is>
      </c>
      <c r="B9" s="8" t="n">
        <v>120624</v>
      </c>
      <c r="C9" s="8" t="n">
        <v>16854</v>
      </c>
      <c r="D9" s="8" t="n">
        <v>3867</v>
      </c>
      <c r="E9" s="8" t="n">
        <v>20166</v>
      </c>
      <c r="F9" s="8" t="n">
        <v>2810</v>
      </c>
      <c r="G9" s="9" t="n">
        <v>-4111</v>
      </c>
      <c r="H9" s="8" t="n">
        <v>1118</v>
      </c>
    </row>
    <row r="10">
      <c r="A10" s="7" t="inlineStr">
        <is>
          <t>7.13-7.19</t>
        </is>
      </c>
      <c r="B10" s="8" t="n">
        <v>100698</v>
      </c>
      <c r="C10" s="8" t="n">
        <v>13663</v>
      </c>
      <c r="D10" s="9" t="n">
        <v>-3191</v>
      </c>
      <c r="E10" s="8" t="n">
        <v>17573</v>
      </c>
      <c r="F10" s="9" t="n">
        <v>-2593</v>
      </c>
      <c r="G10" s="9" t="n">
        <v>-5180</v>
      </c>
      <c r="H10" s="9" t="n">
        <v>-1069</v>
      </c>
    </row>
    <row r="11">
      <c r="A11" s="7" t="inlineStr">
        <is>
          <t>7.20-7.26</t>
        </is>
      </c>
      <c r="B11" s="8" t="n">
        <v>98451</v>
      </c>
      <c r="C11" s="8" t="n">
        <v>13513</v>
      </c>
      <c r="D11" s="9" t="n">
        <v>-150</v>
      </c>
      <c r="E11" s="8" t="n">
        <v>18178</v>
      </c>
      <c r="F11" s="8" t="n">
        <v>605</v>
      </c>
      <c r="G11" s="9" t="n">
        <v>-5613</v>
      </c>
      <c r="H11" s="9" t="n">
        <v>-433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50" customWidth="1" min="3" max="3"/>
    <col width="10" customWidth="1" min="4" max="4"/>
    <col width="12" customWidth="1" min="5" max="5"/>
    <col width="12" customWidth="1" min="6" max="6"/>
    <col width="12" customWidth="1" min="7" max="7"/>
    <col width="10" customWidth="1" min="8" max="8"/>
    <col width="10" customWidth="1" min="9" max="9"/>
    <col width="10" customWidth="1" min="10" max="10"/>
    <col width="26" customWidth="1" min="11" max="11"/>
  </cols>
  <sheetData>
    <row r="1">
      <c r="A1" s="20" t="inlineStr">
        <is>
          <t>阶段一：7.6-7.12 → 7.13-7.19</t>
        </is>
      </c>
    </row>
    <row r="3">
      <c r="A3" s="4" t="inlineStr">
        <is>
          <t>商品ID</t>
        </is>
      </c>
      <c r="B3" s="4" t="inlineStr">
        <is>
          <t>定位</t>
        </is>
      </c>
      <c r="C3" s="4" t="inlineStr">
        <is>
          <t>商品名称</t>
        </is>
      </c>
      <c r="D3" s="4" t="inlineStr">
        <is>
          <t>成交变化</t>
        </is>
      </c>
      <c r="E3" s="4" t="inlineStr">
        <is>
          <t>推广前净利变化</t>
        </is>
      </c>
      <c r="F3" s="4" t="inlineStr">
        <is>
          <t>推广花费变化</t>
        </is>
      </c>
      <c r="G3" s="4" t="inlineStr">
        <is>
          <t>推广后净利变化</t>
        </is>
      </c>
      <c r="H3" s="4" t="inlineStr">
        <is>
          <t>推广前影响</t>
        </is>
      </c>
      <c r="I3" s="4" t="inlineStr">
        <is>
          <t>推广费影响</t>
        </is>
      </c>
      <c r="J3" s="4" t="inlineStr">
        <is>
          <t>其他影响</t>
        </is>
      </c>
      <c r="K3" s="4" t="inlineStr">
        <is>
          <t>主因判断</t>
        </is>
      </c>
    </row>
    <row r="4">
      <c r="A4" s="7" t="inlineStr">
        <is>
          <t>668566625747</t>
        </is>
      </c>
      <c r="B4" s="7" t="inlineStr">
        <is>
          <t>袋面主链接</t>
        </is>
      </c>
      <c r="C4" s="7" t="inlineStr">
        <is>
          <t>印尼营多捞面进口网红泡面袋装方便面速食食品拉面火鸡面拌面整箱</t>
        </is>
      </c>
      <c r="D4" s="9" t="n">
        <v>-3205</v>
      </c>
      <c r="E4" s="9" t="n">
        <v>-597</v>
      </c>
      <c r="F4" s="9" t="n">
        <v>-133</v>
      </c>
      <c r="G4" s="9" t="n">
        <v>-667</v>
      </c>
      <c r="H4" s="9" t="n">
        <v>-597</v>
      </c>
      <c r="I4" s="8" t="n">
        <v>133</v>
      </c>
      <c r="J4" s="9" t="n">
        <v>-203</v>
      </c>
      <c r="K4" s="7" t="inlineStr">
        <is>
          <t>主要是推广前利润下降</t>
        </is>
      </c>
    </row>
    <row r="5">
      <c r="A5" s="7" t="inlineStr">
        <is>
          <t>648600900806</t>
        </is>
      </c>
      <c r="B5" s="7" t="inlineStr">
        <is>
          <t>30包</t>
        </is>
      </c>
      <c r="C5" s="7" t="inlineStr">
        <is>
          <t>进口营多捞面一整箱30包网红速食方便面宿舍速食泡面干拌面拉面</t>
        </is>
      </c>
      <c r="D5" s="9" t="n">
        <v>-3206</v>
      </c>
      <c r="E5" s="9" t="n">
        <v>-587</v>
      </c>
      <c r="F5" s="9" t="n">
        <v>-359</v>
      </c>
      <c r="G5" s="9" t="n">
        <v>-243</v>
      </c>
      <c r="H5" s="9" t="n">
        <v>-587</v>
      </c>
      <c r="I5" s="8" t="n">
        <v>359</v>
      </c>
      <c r="J5" s="9" t="n">
        <v>-15</v>
      </c>
      <c r="K5" s="7" t="inlineStr">
        <is>
          <t>主要是推广前利润下降</t>
        </is>
      </c>
    </row>
    <row r="6">
      <c r="A6" s="7" t="inlineStr">
        <is>
          <t>649369494424</t>
        </is>
      </c>
      <c r="B6" s="7" t="inlineStr">
        <is>
          <t>24包经典/牛系列</t>
        </is>
      </c>
      <c r="C6" s="7" t="inlineStr">
        <is>
          <t>营多捞面干拌面一整箱24袋装批发泡面混搭宿舍速食方便面火鸡面</t>
        </is>
      </c>
      <c r="D6" s="9" t="n">
        <v>-2590</v>
      </c>
      <c r="E6" s="9" t="n">
        <v>-486</v>
      </c>
      <c r="F6" s="9" t="n">
        <v>-287</v>
      </c>
      <c r="G6" s="9" t="n">
        <v>-210</v>
      </c>
      <c r="H6" s="9" t="n">
        <v>-486</v>
      </c>
      <c r="I6" s="8" t="n">
        <v>287</v>
      </c>
      <c r="J6" s="9" t="n">
        <v>-11</v>
      </c>
      <c r="K6" s="7" t="inlineStr">
        <is>
          <t>主要是推广前利润下降</t>
        </is>
      </c>
    </row>
    <row r="7">
      <c r="A7" s="7" t="inlineStr">
        <is>
          <t>766165464414</t>
        </is>
      </c>
      <c r="B7" s="7" t="inlineStr">
        <is>
          <t>12包</t>
        </is>
      </c>
      <c r="C7" s="7" t="inlineStr">
        <is>
          <t>营多印尼进口营多捞面方便面火鸡面干拌面12包宿舍速食泡面夜宵</t>
        </is>
      </c>
      <c r="D7" s="9" t="n">
        <v>-811</v>
      </c>
      <c r="E7" s="9" t="n">
        <v>-157</v>
      </c>
      <c r="F7" s="9" t="n">
        <v>-30</v>
      </c>
      <c r="G7" s="9" t="n">
        <v>-119</v>
      </c>
      <c r="H7" s="9" t="n">
        <v>-157</v>
      </c>
      <c r="I7" s="8" t="n">
        <v>30</v>
      </c>
      <c r="J7" s="8" t="n">
        <v>8</v>
      </c>
      <c r="K7" s="7" t="inlineStr">
        <is>
          <t>主要是推广前利润下降</t>
        </is>
      </c>
    </row>
    <row r="8">
      <c r="A8" s="7" t="inlineStr">
        <is>
          <t>648598580775</t>
        </is>
      </c>
      <c r="B8" s="7" t="inlineStr">
        <is>
          <t>原味大包</t>
        </is>
      </c>
      <c r="C8" s="7" t="inlineStr">
        <is>
          <t>印尼进口大大包营多原味捞面5包干拌面速食超大包方便面速食宵夜</t>
        </is>
      </c>
      <c r="D8" s="9" t="n">
        <v>-985</v>
      </c>
      <c r="E8" s="9" t="n">
        <v>-200</v>
      </c>
      <c r="F8" s="9" t="n">
        <v>-105</v>
      </c>
      <c r="G8" s="9" t="n">
        <v>-101</v>
      </c>
      <c r="H8" s="9" t="n">
        <v>-200</v>
      </c>
      <c r="I8" s="8" t="n">
        <v>105</v>
      </c>
      <c r="J8" s="9" t="n">
        <v>-6</v>
      </c>
      <c r="K8" s="7" t="inlineStr">
        <is>
          <t>主要是推广前利润下降</t>
        </is>
      </c>
    </row>
    <row r="9">
      <c r="A9" s="7" t="inlineStr">
        <is>
          <t>1059563993918</t>
        </is>
      </c>
      <c r="B9" s="7" t="inlineStr">
        <is>
          <t>原味大包</t>
        </is>
      </c>
      <c r="C9" s="7" t="inlineStr">
        <is>
          <t>indomie印尼进口营多原味大大包129g捞面方便面速食食品宵夜小吃</t>
        </is>
      </c>
      <c r="D9" s="8" t="n">
        <v>147</v>
      </c>
      <c r="E9" s="9" t="n">
        <v>-46</v>
      </c>
      <c r="F9" s="8" t="n">
        <v>8</v>
      </c>
      <c r="G9" s="9" t="n">
        <v>-65</v>
      </c>
      <c r="H9" s="9" t="n">
        <v>-46</v>
      </c>
      <c r="I9" s="9" t="n">
        <v>-8</v>
      </c>
      <c r="J9" s="9" t="n">
        <v>-11</v>
      </c>
      <c r="K9" s="7" t="inlineStr">
        <is>
          <t>主要是推广前利润下降</t>
        </is>
      </c>
    </row>
    <row r="10">
      <c r="A10" s="7" t="inlineStr">
        <is>
          <t>649014937782</t>
        </is>
      </c>
      <c r="B10" s="7" t="inlineStr">
        <is>
          <t>24包</t>
        </is>
      </c>
      <c r="C10" s="7" t="inlineStr">
        <is>
          <t>印尼营多捞面干拌面一整箱24袋装批发泡面宿舍速食方便面火鸡面</t>
        </is>
      </c>
      <c r="D10" s="9" t="n">
        <v>-261</v>
      </c>
      <c r="E10" s="9" t="n">
        <v>-106</v>
      </c>
      <c r="F10" s="9" t="n">
        <v>-63</v>
      </c>
      <c r="G10" s="9" t="n">
        <v>-58</v>
      </c>
      <c r="H10" s="9" t="n">
        <v>-106</v>
      </c>
      <c r="I10" s="8" t="n">
        <v>63</v>
      </c>
      <c r="J10" s="9" t="n">
        <v>-15</v>
      </c>
      <c r="K10" s="7" t="inlineStr">
        <is>
          <t>主要是推广前利润下降</t>
        </is>
      </c>
    </row>
    <row r="11">
      <c r="A11" s="7" t="inlineStr">
        <is>
          <t>1013887677295</t>
        </is>
      </c>
      <c r="B11" s="7" t="inlineStr">
        <is>
          <t>混搭5杯</t>
        </is>
      </c>
      <c r="C11" s="7" t="inlineStr">
        <is>
          <t>进口营多原味杯面日式杯面韩式杯面泡面方便面汤面宿舍速食夜宵</t>
        </is>
      </c>
      <c r="D11" s="9" t="n">
        <v>-397</v>
      </c>
      <c r="E11" s="9" t="n">
        <v>-64</v>
      </c>
      <c r="F11" s="9" t="n">
        <v>-20</v>
      </c>
      <c r="G11" s="9" t="n">
        <v>-46</v>
      </c>
      <c r="H11" s="9" t="n">
        <v>-64</v>
      </c>
      <c r="I11" s="8" t="n">
        <v>20</v>
      </c>
      <c r="J11" s="9" t="n">
        <v>-2</v>
      </c>
      <c r="K11" s="7" t="inlineStr">
        <is>
          <t>主要是推广前利润下降</t>
        </is>
      </c>
    </row>
    <row r="12">
      <c r="A12" s="7" t="inlineStr">
        <is>
          <t>648604228786</t>
        </is>
      </c>
      <c r="B12" s="7" t="inlineStr">
        <is>
          <t>杯面混搭</t>
        </is>
      </c>
      <c r="C12" s="7" t="inlineStr">
        <is>
          <t>INDOMIE营多日式杯面原味经典泡面整箱批发速食宿舍旅行宵夜宿舍</t>
        </is>
      </c>
      <c r="D12" s="9" t="n">
        <v>-222</v>
      </c>
      <c r="E12" s="9" t="n">
        <v>-31</v>
      </c>
      <c r="F12" s="8" t="n">
        <v>3</v>
      </c>
      <c r="G12" s="9" t="n">
        <v>-31</v>
      </c>
      <c r="H12" s="9" t="n">
        <v>-31</v>
      </c>
      <c r="I12" s="9" t="n">
        <v>-3</v>
      </c>
      <c r="J12" s="8" t="n">
        <v>3</v>
      </c>
      <c r="K12" s="7" t="inlineStr">
        <is>
          <t>主要是推广前利润下降</t>
        </is>
      </c>
    </row>
    <row r="13">
      <c r="A13" s="7" t="inlineStr">
        <is>
          <t>735014804839</t>
        </is>
      </c>
      <c r="B13" s="7" t="inlineStr">
        <is>
          <t>24/30包</t>
        </is>
      </c>
      <c r="C13" s="7" t="inlineStr">
        <is>
          <t>进口营多捞面多口味Indomie网红方便面干拌面泡面30包整箱批发面</t>
        </is>
      </c>
      <c r="D13" s="9" t="n">
        <v>-458</v>
      </c>
      <c r="E13" s="9" t="n">
        <v>-76</v>
      </c>
      <c r="F13" s="9" t="n">
        <v>-52</v>
      </c>
      <c r="G13" s="9" t="n">
        <v>-29</v>
      </c>
      <c r="H13" s="9" t="n">
        <v>-76</v>
      </c>
      <c r="I13" s="8" t="n">
        <v>52</v>
      </c>
      <c r="J13" s="9" t="n">
        <v>-5</v>
      </c>
      <c r="K13" s="7" t="inlineStr">
        <is>
          <t>主要是推广前利润下降</t>
        </is>
      </c>
    </row>
    <row r="14">
      <c r="A14" s="7" t="inlineStr">
        <is>
          <t>744317232690</t>
        </is>
      </c>
      <c r="B14" s="7" t="inlineStr">
        <is>
          <t>多规格</t>
        </is>
      </c>
      <c r="C14" s="7" t="inlineStr">
        <is>
          <t>营多捞面汤面清香牛肉味方便面泡面速食食品泡面拉面整箱旅行宿舍</t>
        </is>
      </c>
      <c r="D14" s="9" t="n">
        <v>-89</v>
      </c>
      <c r="E14" s="9" t="n">
        <v>-29</v>
      </c>
      <c r="F14" s="9" t="n">
        <v>-16</v>
      </c>
      <c r="G14" s="9" t="n">
        <v>-18</v>
      </c>
      <c r="H14" s="9" t="n">
        <v>-29</v>
      </c>
      <c r="I14" s="8" t="n">
        <v>16</v>
      </c>
      <c r="J14" s="9" t="n">
        <v>-5</v>
      </c>
      <c r="K14" s="7" t="inlineStr">
        <is>
          <t>主要是推广前利润下降</t>
        </is>
      </c>
    </row>
    <row r="15">
      <c r="A15" s="7" t="inlineStr">
        <is>
          <t>1057479227624</t>
        </is>
      </c>
      <c r="B15" s="7" t="inlineStr">
        <is>
          <t>巴东牛肉</t>
        </is>
      </c>
      <c r="C15" s="7" t="inlineStr">
        <is>
          <t>【新口味】印尼进口营多捞面巴东炖牛肉味泡面方便面宿舍速食宵夜</t>
        </is>
      </c>
      <c r="D15" s="8" t="n">
        <v>54</v>
      </c>
      <c r="E15" s="9" t="n">
        <v>-6</v>
      </c>
      <c r="F15" s="9" t="n">
        <v>-15</v>
      </c>
      <c r="G15" s="9" t="n">
        <v>-17</v>
      </c>
      <c r="H15" s="9" t="n">
        <v>-6</v>
      </c>
      <c r="I15" s="8" t="n">
        <v>15</v>
      </c>
      <c r="J15" s="9" t="n">
        <v>-26</v>
      </c>
      <c r="K15" s="7" t="inlineStr">
        <is>
          <t>主要是推广前利润下降</t>
        </is>
      </c>
    </row>
    <row r="16">
      <c r="A16" s="7" t="inlineStr">
        <is>
          <t>649731447266</t>
        </is>
      </c>
      <c r="B16" s="7" t="inlineStr">
        <is>
          <t>20包经典/牛系列</t>
        </is>
      </c>
      <c r="C16" s="7" t="inlineStr">
        <is>
          <t>营多印尼进口营多捞面方便面火鸡面干拌面20包宿舍速食泡面夜宵</t>
        </is>
      </c>
      <c r="D16" s="9" t="n">
        <v>-97</v>
      </c>
      <c r="E16" s="9" t="n">
        <v>-20</v>
      </c>
      <c r="F16" s="9" t="n">
        <v>-5</v>
      </c>
      <c r="G16" s="9" t="n">
        <v>-15</v>
      </c>
      <c r="H16" s="9" t="n">
        <v>-20</v>
      </c>
      <c r="I16" s="8" t="n">
        <v>5</v>
      </c>
      <c r="J16" s="21" t="n">
        <v>0</v>
      </c>
      <c r="K16" s="7" t="inlineStr">
        <is>
          <t>主要是推广前利润下降</t>
        </is>
      </c>
    </row>
    <row r="17">
      <c r="A17" s="7" t="inlineStr">
        <is>
          <t>932687928859</t>
        </is>
      </c>
      <c r="B17" s="7" t="inlineStr">
        <is>
          <t>8包组合</t>
        </is>
      </c>
      <c r="C17" s="7" t="inlineStr">
        <is>
          <t>营多捞面八口味袋装泡面拌面速食面干拌面方便面宿舍宵夜速食家用</t>
        </is>
      </c>
      <c r="D17" s="9" t="n">
        <v>-29</v>
      </c>
      <c r="E17" s="9" t="n">
        <v>-5</v>
      </c>
      <c r="F17" s="8" t="n">
        <v>11</v>
      </c>
      <c r="G17" s="9" t="n">
        <v>-15</v>
      </c>
      <c r="H17" s="9" t="n">
        <v>-5</v>
      </c>
      <c r="I17" s="9" t="n">
        <v>-11</v>
      </c>
      <c r="J17" s="8" t="n">
        <v>1</v>
      </c>
      <c r="K17" s="7" t="inlineStr">
        <is>
          <t>主要是推广费上升</t>
        </is>
      </c>
    </row>
    <row r="18">
      <c r="A18" s="7" t="inlineStr">
        <is>
          <t>969423151512</t>
        </is>
      </c>
      <c r="B18" s="7" t="inlineStr">
        <is>
          <t>日韩混搭</t>
        </is>
      </c>
      <c r="C18" s="7" t="inlineStr">
        <is>
          <t>营多捞面甜辣炸鸡火鸡面辣蘑菇泡面方便面速食干拌面宿舍宵夜旅行</t>
        </is>
      </c>
      <c r="D18" s="8" t="n">
        <v>37</v>
      </c>
      <c r="E18" s="8" t="n">
        <v>4</v>
      </c>
      <c r="F18" s="8" t="n">
        <v>10</v>
      </c>
      <c r="G18" s="9" t="n">
        <v>-10</v>
      </c>
      <c r="H18" s="8" t="n">
        <v>4</v>
      </c>
      <c r="I18" s="9" t="n">
        <v>-10</v>
      </c>
      <c r="J18" s="9" t="n">
        <v>-4</v>
      </c>
      <c r="K18" s="7" t="inlineStr">
        <is>
          <t>主要是推广费上升</t>
        </is>
      </c>
    </row>
    <row r="19">
      <c r="A19" s="7" t="inlineStr">
        <is>
          <t>649729851594</t>
        </is>
      </c>
      <c r="B19" s="7" t="inlineStr">
        <is>
          <t>小规格</t>
        </is>
      </c>
      <c r="C19" s="7" t="inlineStr">
        <is>
          <t>营多捞面袋装8包装泡面宿舍速食面热干面干拌面方便面火鸡面食品</t>
        </is>
      </c>
      <c r="D19" s="9" t="n">
        <v>-65</v>
      </c>
      <c r="E19" s="9" t="n">
        <v>-9</v>
      </c>
      <c r="F19" s="8" t="n">
        <v>1</v>
      </c>
      <c r="G19" s="9" t="n">
        <v>-9</v>
      </c>
      <c r="H19" s="9" t="n">
        <v>-9</v>
      </c>
      <c r="I19" s="9" t="n">
        <v>-1</v>
      </c>
      <c r="J19" s="8" t="n">
        <v>1</v>
      </c>
      <c r="K19" s="7" t="inlineStr">
        <is>
          <t>主要是推广前利润下降</t>
        </is>
      </c>
    </row>
    <row r="20">
      <c r="A20" s="7" t="inlineStr">
        <is>
          <t>1028450344901</t>
        </is>
      </c>
      <c r="B20" s="7" t="inlineStr">
        <is>
          <t>韩式火鸡</t>
        </is>
      </c>
      <c r="C20" s="7" t="inlineStr">
        <is>
          <t>营多韩式火鸡面袋装拌面干拌面泡面方便面速食面宿舍宵夜旅行</t>
        </is>
      </c>
      <c r="D20" s="9" t="n">
        <v>-51</v>
      </c>
      <c r="E20" s="9" t="n">
        <v>-18</v>
      </c>
      <c r="F20" s="9" t="n">
        <v>-10</v>
      </c>
      <c r="G20" s="9" t="n">
        <v>-8</v>
      </c>
      <c r="H20" s="9" t="n">
        <v>-18</v>
      </c>
      <c r="I20" s="8" t="n">
        <v>10</v>
      </c>
      <c r="J20" s="21" t="n">
        <v>0</v>
      </c>
      <c r="K20" s="7" t="inlineStr">
        <is>
          <t>主要是推广前利润下降</t>
        </is>
      </c>
    </row>
    <row r="21">
      <c r="A21" s="7" t="inlineStr">
        <is>
          <t>969433743398</t>
        </is>
      </c>
      <c r="B21" s="7" t="inlineStr">
        <is>
          <t>韩蘑菇</t>
        </is>
      </c>
      <c r="C21" s="7" t="inlineStr">
        <is>
          <t>新品营多捞面韩式辣蘑菇汤面泡面方便面速食干拌面宿舍宵夜旅行</t>
        </is>
      </c>
      <c r="D21" s="9" t="n">
        <v>-11</v>
      </c>
      <c r="E21" s="9" t="n">
        <v>-4</v>
      </c>
      <c r="F21" s="8" t="n">
        <v>1</v>
      </c>
      <c r="G21" s="9" t="n">
        <v>-5</v>
      </c>
      <c r="H21" s="9" t="n">
        <v>-4</v>
      </c>
      <c r="I21" s="9" t="n">
        <v>-1</v>
      </c>
      <c r="J21" s="21" t="n">
        <v>0</v>
      </c>
      <c r="K21" s="7" t="inlineStr">
        <is>
          <t>主要是推广前利润下降</t>
        </is>
      </c>
    </row>
    <row r="22">
      <c r="A22" s="7" t="inlineStr">
        <is>
          <t>937005385662</t>
        </is>
      </c>
      <c r="B22" s="7" t="inlineStr">
        <is>
          <t>日式袋面</t>
        </is>
      </c>
      <c r="C22" s="7" t="inlineStr">
        <is>
          <t>进口营多正品捞面日式鸡肉鸡汤辛辣味袋装泡面辣味速食方便面汤面</t>
        </is>
      </c>
      <c r="D22" s="8" t="n">
        <v>69</v>
      </c>
      <c r="E22" s="8" t="n">
        <v>13</v>
      </c>
      <c r="F22" s="8" t="n">
        <v>16</v>
      </c>
      <c r="G22" s="9" t="n">
        <v>-4</v>
      </c>
      <c r="H22" s="8" t="n">
        <v>13</v>
      </c>
      <c r="I22" s="9" t="n">
        <v>-16</v>
      </c>
      <c r="J22" s="9" t="n">
        <v>-1</v>
      </c>
      <c r="K22" s="7" t="inlineStr">
        <is>
          <t>主要是推广费上升</t>
        </is>
      </c>
    </row>
    <row r="23">
      <c r="A23" s="7" t="inlineStr">
        <is>
          <t>1060999732877</t>
        </is>
      </c>
      <c r="B23" s="7" t="inlineStr">
        <is>
          <t>原味大包</t>
        </is>
      </c>
      <c r="C23" s="7" t="inlineStr">
        <is>
          <t>indomie印尼进口营多原味大大包129g捞面方便面速食食品宵夜小吃</t>
        </is>
      </c>
      <c r="D23" s="8" t="n">
        <v>82</v>
      </c>
      <c r="E23" s="8" t="n">
        <v>5</v>
      </c>
      <c r="F23" s="9" t="n">
        <v>-6</v>
      </c>
      <c r="G23" s="9" t="n">
        <v>-4</v>
      </c>
      <c r="H23" s="8" t="n">
        <v>5</v>
      </c>
      <c r="I23" s="8" t="n">
        <v>6</v>
      </c>
      <c r="J23" s="9" t="n">
        <v>-15</v>
      </c>
      <c r="K23" s="7" t="inlineStr">
        <is>
          <t>其他费用/口径差</t>
        </is>
      </c>
    </row>
    <row r="24">
      <c r="A24" s="7" t="inlineStr">
        <is>
          <t>916072786304</t>
        </is>
      </c>
      <c r="B24" s="7" t="inlineStr">
        <is>
          <t>小规格</t>
        </is>
      </c>
      <c r="C24" s="7" t="inlineStr">
        <is>
          <t>营多印尼进口营多捞面方便面火鸡面干拌面10包宿舍速食泡面夜宵</t>
        </is>
      </c>
      <c r="D24" s="9" t="n">
        <v>-10</v>
      </c>
      <c r="E24" s="9" t="n">
        <v>-2</v>
      </c>
      <c r="F24" s="21" t="n">
        <v>0</v>
      </c>
      <c r="G24" s="9" t="n">
        <v>-3</v>
      </c>
      <c r="H24" s="9" t="n">
        <v>-2</v>
      </c>
      <c r="I24" s="21" t="n">
        <v>-0</v>
      </c>
      <c r="J24" s="9" t="n">
        <v>-1</v>
      </c>
      <c r="K24" s="7" t="inlineStr">
        <is>
          <t>主要是推广前利润下降</t>
        </is>
      </c>
    </row>
    <row r="25">
      <c r="A25" s="7" t="inlineStr">
        <is>
          <t>898120785283</t>
        </is>
      </c>
      <c r="B25" s="7" t="inlineStr">
        <is>
          <t>十全十美</t>
        </is>
      </c>
      <c r="C25" s="7" t="inlineStr">
        <is>
          <t>营多捞面多口味袋装泡面拌面速食面干拌面方便面速食宵夜宿舍旅行</t>
        </is>
      </c>
      <c r="D25" s="9" t="n">
        <v>-1</v>
      </c>
      <c r="E25" s="9" t="n">
        <v>-1</v>
      </c>
      <c r="F25" s="8" t="n">
        <v>2</v>
      </c>
      <c r="G25" s="9" t="n">
        <v>-2</v>
      </c>
      <c r="H25" s="9" t="n">
        <v>-1</v>
      </c>
      <c r="I25" s="9" t="n">
        <v>-2</v>
      </c>
      <c r="J25" s="8" t="n">
        <v>1</v>
      </c>
      <c r="K25" s="7" t="inlineStr">
        <is>
          <t>主要是推广费上升</t>
        </is>
      </c>
    </row>
    <row r="26">
      <c r="A26" s="7" t="inlineStr">
        <is>
          <t>947413291596</t>
        </is>
      </c>
      <c r="B26" s="7" t="inlineStr">
        <is>
          <t>杯面混搭</t>
        </is>
      </c>
      <c r="C26" s="7" t="inlineStr">
        <is>
          <t>印尼进口营多捞面杯面原味甜辣蘑菇味整箱速食拌面拉面泡面方便面</t>
        </is>
      </c>
      <c r="D26" s="9" t="n">
        <v>-27</v>
      </c>
      <c r="E26" s="9" t="n">
        <v>-3</v>
      </c>
      <c r="F26" s="9" t="n">
        <v>-1</v>
      </c>
      <c r="G26" s="9" t="n">
        <v>-1</v>
      </c>
      <c r="H26" s="9" t="n">
        <v>-3</v>
      </c>
      <c r="I26" s="8" t="n">
        <v>1</v>
      </c>
      <c r="J26" s="8" t="n">
        <v>1</v>
      </c>
      <c r="K26" s="7" t="inlineStr">
        <is>
          <t>主要是推广前利润下降</t>
        </is>
      </c>
    </row>
    <row r="27">
      <c r="A27" s="7" t="inlineStr">
        <is>
          <t>885645733215</t>
        </is>
      </c>
      <c r="B27" s="7" t="inlineStr">
        <is>
          <t>大骨牛肉</t>
        </is>
      </c>
      <c r="C27" s="7" t="inlineStr">
        <is>
          <t>进口营多大骨番茄牛肉味营多捞面意式泡面宿舍宿舍宵夜速食方便面</t>
        </is>
      </c>
      <c r="D27" s="8" t="n">
        <v>17</v>
      </c>
      <c r="E27" s="8" t="n">
        <v>1</v>
      </c>
      <c r="F27" s="8" t="n">
        <v>1</v>
      </c>
      <c r="G27" s="9" t="n">
        <v>-1</v>
      </c>
      <c r="H27" s="8" t="n">
        <v>1</v>
      </c>
      <c r="I27" s="9" t="n">
        <v>-1</v>
      </c>
      <c r="J27" s="9" t="n">
        <v>-1</v>
      </c>
      <c r="K27" s="7" t="inlineStr">
        <is>
          <t>主要是推广费上升</t>
        </is>
      </c>
    </row>
    <row r="28">
      <c r="A28" s="7" t="inlineStr">
        <is>
          <t>775016827115</t>
        </is>
      </c>
      <c r="B28" s="7" t="inlineStr">
        <is>
          <t>杯面混搭</t>
        </is>
      </c>
      <c r="C28" s="7" t="inlineStr">
        <is>
          <t>进口营多原味杯面日式杯面韩式杯面泡面方便面汤面宿舍速食夜宵</t>
        </is>
      </c>
      <c r="D28" s="8" t="n">
        <v>55</v>
      </c>
      <c r="E28" s="8" t="n">
        <v>7</v>
      </c>
      <c r="F28" s="8" t="n">
        <v>6</v>
      </c>
      <c r="G28" s="9" t="n">
        <v>-1</v>
      </c>
      <c r="H28" s="8" t="n">
        <v>7</v>
      </c>
      <c r="I28" s="9" t="n">
        <v>-6</v>
      </c>
      <c r="J28" s="9" t="n">
        <v>-2</v>
      </c>
      <c r="K28" s="7" t="inlineStr">
        <is>
          <t>主要是推广费上升</t>
        </is>
      </c>
    </row>
    <row r="29">
      <c r="A29" s="7" t="inlineStr">
        <is>
          <t>976467954327</t>
        </is>
      </c>
      <c r="B29" s="7" t="inlineStr">
        <is>
          <t>日韩杯面</t>
        </is>
      </c>
      <c r="C29" s="7" t="inlineStr">
        <is>
          <t>【天猫U选】indomie营多捞面辣蘑菇味日式辣味杯面</t>
        </is>
      </c>
      <c r="D29" s="8" t="n">
        <v>1</v>
      </c>
      <c r="E29" s="8" t="n">
        <v>1</v>
      </c>
      <c r="F29" s="21" t="n">
        <v>0</v>
      </c>
      <c r="G29" s="21" t="n">
        <v>0</v>
      </c>
      <c r="H29" s="8" t="n">
        <v>1</v>
      </c>
      <c r="I29" s="21" t="n">
        <v>-0</v>
      </c>
      <c r="J29" s="9" t="n">
        <v>-1</v>
      </c>
      <c r="K29" s="7" t="inlineStr">
        <is>
          <t>本期改善/持平</t>
        </is>
      </c>
    </row>
    <row r="30">
      <c r="A30" s="7" t="inlineStr">
        <is>
          <t>1019572719528</t>
        </is>
      </c>
      <c r="B30" s="7" t="inlineStr">
        <is>
          <t>日韩袋面</t>
        </is>
      </c>
      <c r="C30" s="7" t="inlineStr">
        <is>
          <t>新品营多捞面韩式辣蘑菇汤面泡面方便面速食干拌面宿舍宵夜旅行</t>
        </is>
      </c>
      <c r="D30" s="9" t="n">
        <v>-9</v>
      </c>
      <c r="E30" s="9" t="n">
        <v>-1</v>
      </c>
      <c r="F30" s="21" t="n">
        <v>0</v>
      </c>
      <c r="G30" s="21" t="n">
        <v>0</v>
      </c>
      <c r="H30" s="9" t="n">
        <v>-1</v>
      </c>
      <c r="I30" s="21" t="n">
        <v>-0</v>
      </c>
      <c r="J30" s="8" t="n">
        <v>1</v>
      </c>
      <c r="K30" s="7" t="inlineStr">
        <is>
          <t>本期改善/持平</t>
        </is>
      </c>
    </row>
    <row r="31">
      <c r="A31" s="7" t="inlineStr">
        <is>
          <t>976466902934</t>
        </is>
      </c>
      <c r="B31" s="7" t="inlineStr">
        <is>
          <t>杯面混搭</t>
        </is>
      </c>
      <c r="C31" s="7" t="inlineStr">
        <is>
          <t>营多捞面韩式甜辣炸鸡辣蘑菇杯面方便面拌面泡面宿舍速食面</t>
        </is>
      </c>
      <c r="D31" s="8" t="n">
        <v>1</v>
      </c>
      <c r="E31" s="8" t="n">
        <v>1</v>
      </c>
      <c r="F31" s="21" t="n">
        <v>0</v>
      </c>
      <c r="G31" s="8" t="n">
        <v>1</v>
      </c>
      <c r="H31" s="8" t="n">
        <v>1</v>
      </c>
      <c r="I31" s="21" t="n">
        <v>-0</v>
      </c>
      <c r="J31" s="21" t="n">
        <v>0</v>
      </c>
      <c r="K31" s="7" t="inlineStr">
        <is>
          <t>本期改善/持平</t>
        </is>
      </c>
    </row>
    <row r="32">
      <c r="A32" s="7" t="inlineStr">
        <is>
          <t>898076297965</t>
        </is>
      </c>
      <c r="B32" s="7" t="inlineStr">
        <is>
          <t>番茄牛肉</t>
        </is>
      </c>
      <c r="C32" s="7" t="inlineStr">
        <is>
          <t>进口正品意面风味奶香番茄牛肉味意式拌面营多捞面早餐儿童宝妈餐</t>
        </is>
      </c>
      <c r="D32" s="9" t="n">
        <v>-57</v>
      </c>
      <c r="E32" s="9" t="n">
        <v>-7</v>
      </c>
      <c r="F32" s="9" t="n">
        <v>-11</v>
      </c>
      <c r="G32" s="8" t="n">
        <v>3</v>
      </c>
      <c r="H32" s="9" t="n">
        <v>-7</v>
      </c>
      <c r="I32" s="8" t="n">
        <v>11</v>
      </c>
      <c r="J32" s="9" t="n">
        <v>-1</v>
      </c>
      <c r="K32" s="7" t="inlineStr">
        <is>
          <t>本期改善/持平</t>
        </is>
      </c>
    </row>
    <row r="33">
      <c r="A33" s="7" t="inlineStr">
        <is>
          <t>903183018417</t>
        </is>
      </c>
      <c r="B33" s="7" t="inlineStr">
        <is>
          <t>七口味混搭</t>
        </is>
      </c>
      <c r="C33" s="7" t="inlineStr">
        <is>
          <t>进口营多捞面汤面拌面七口味混合方便面速拉面宿舍拌面泡面食食品</t>
        </is>
      </c>
      <c r="D33" s="8" t="n">
        <v>6</v>
      </c>
      <c r="E33" s="8" t="n">
        <v>4</v>
      </c>
      <c r="F33" s="9" t="n">
        <v>-3</v>
      </c>
      <c r="G33" s="8" t="n">
        <v>7</v>
      </c>
      <c r="H33" s="8" t="n">
        <v>4</v>
      </c>
      <c r="I33" s="8" t="n">
        <v>3</v>
      </c>
      <c r="J33" s="21" t="n">
        <v>0</v>
      </c>
      <c r="K33" s="7" t="inlineStr">
        <is>
          <t>本期改善/持平</t>
        </is>
      </c>
    </row>
    <row r="34">
      <c r="A34" s="7" t="inlineStr">
        <is>
          <t>976479938842</t>
        </is>
      </c>
      <c r="B34" s="7" t="inlineStr">
        <is>
          <t>【U选】原味5</t>
        </is>
      </c>
      <c r="C34" s="7" t="inlineStr">
        <is>
          <t>【天猫U选】indomie营多大骨牛肉味捞面拌面5包</t>
        </is>
      </c>
      <c r="D34" s="9" t="n">
        <v>-39</v>
      </c>
      <c r="E34" s="8" t="n">
        <v>12</v>
      </c>
      <c r="F34" s="9" t="n">
        <v>-2</v>
      </c>
      <c r="G34" s="8" t="n">
        <v>15</v>
      </c>
      <c r="H34" s="8" t="n">
        <v>12</v>
      </c>
      <c r="I34" s="8" t="n">
        <v>2</v>
      </c>
      <c r="J34" s="8" t="n">
        <v>1</v>
      </c>
      <c r="K34" s="7" t="inlineStr">
        <is>
          <t>本期改善/持平</t>
        </is>
      </c>
    </row>
    <row r="35">
      <c r="A35" s="7" t="inlineStr">
        <is>
          <t>929504658691</t>
        </is>
      </c>
      <c r="B35" s="7" t="inlineStr">
        <is>
          <t>日式袋面</t>
        </is>
      </c>
      <c r="C35" s="7" t="inlineStr">
        <is>
          <t>营多捞面日式鸡肉汤面原味辛辣味袋装泡面方便面速食宿舍夜宵食品</t>
        </is>
      </c>
      <c r="D35" s="9" t="n">
        <v>-105</v>
      </c>
      <c r="E35" s="8" t="n">
        <v>10</v>
      </c>
      <c r="F35" s="9" t="n">
        <v>-7</v>
      </c>
      <c r="G35" s="8" t="n">
        <v>15</v>
      </c>
      <c r="H35" s="8" t="n">
        <v>10</v>
      </c>
      <c r="I35" s="8" t="n">
        <v>7</v>
      </c>
      <c r="J35" s="9" t="n">
        <v>-2</v>
      </c>
      <c r="K35" s="7" t="inlineStr">
        <is>
          <t>本期改善/持平</t>
        </is>
      </c>
    </row>
    <row r="36">
      <c r="A36" s="7" t="inlineStr">
        <is>
          <t>886856687067</t>
        </is>
      </c>
      <c r="B36" s="7" t="inlineStr">
        <is>
          <t>大骨</t>
        </is>
      </c>
      <c r="C36" s="7" t="inlineStr">
        <is>
          <t>营多捞面牛系列大骨牛肉味方便面食品泡面拉面汤面宿舍宵夜旅行</t>
        </is>
      </c>
      <c r="D36" s="8" t="n">
        <v>141</v>
      </c>
      <c r="E36" s="8" t="n">
        <v>33</v>
      </c>
      <c r="F36" s="8" t="n">
        <v>7</v>
      </c>
      <c r="G36" s="8" t="n">
        <v>22</v>
      </c>
      <c r="H36" s="8" t="n">
        <v>33</v>
      </c>
      <c r="I36" s="9" t="n">
        <v>-7</v>
      </c>
      <c r="J36" s="9" t="n">
        <v>-4</v>
      </c>
      <c r="K36" s="7" t="inlineStr">
        <is>
          <t>本期改善/持平</t>
        </is>
      </c>
    </row>
    <row r="37">
      <c r="A37" s="7" t="inlineStr">
        <is>
          <t>1058280415678</t>
        </is>
      </c>
      <c r="B37" s="7" t="inlineStr">
        <is>
          <t>巴东牛肉</t>
        </is>
      </c>
      <c r="C37" s="7" t="inlineStr">
        <is>
          <t>【新口味】印尼进口营多捞面巴东炖牛肉味泡面方便面宿舍速食宵夜</t>
        </is>
      </c>
      <c r="D37" s="8" t="n">
        <v>231</v>
      </c>
      <c r="E37" s="8" t="n">
        <v>74</v>
      </c>
      <c r="F37" s="8" t="n">
        <v>36</v>
      </c>
      <c r="G37" s="8" t="n">
        <v>23</v>
      </c>
      <c r="H37" s="8" t="n">
        <v>74</v>
      </c>
      <c r="I37" s="9" t="n">
        <v>-36</v>
      </c>
      <c r="J37" s="9" t="n">
        <v>-15</v>
      </c>
      <c r="K37" s="7" t="inlineStr">
        <is>
          <t>本期改善/持平</t>
        </is>
      </c>
    </row>
    <row r="38">
      <c r="A38" s="7" t="inlineStr">
        <is>
          <t>971242260371</t>
        </is>
      </c>
      <c r="B38" s="7" t="inlineStr">
        <is>
          <t>韩式袋面</t>
        </is>
      </c>
      <c r="C38" s="7" t="inlineStr">
        <is>
          <t>新品营多捞面韩式辣蘑菇汤面泡面方便面速食干拌面宿舍宵夜旅行</t>
        </is>
      </c>
      <c r="D38" s="9" t="n">
        <v>-42</v>
      </c>
      <c r="E38" s="9" t="n">
        <v>-5</v>
      </c>
      <c r="F38" s="9" t="n">
        <v>-45</v>
      </c>
      <c r="G38" s="8" t="n">
        <v>39</v>
      </c>
      <c r="H38" s="9" t="n">
        <v>-5</v>
      </c>
      <c r="I38" s="8" t="n">
        <v>45</v>
      </c>
      <c r="J38" s="9" t="n">
        <v>-1</v>
      </c>
      <c r="K38" s="7" t="inlineStr">
        <is>
          <t>本期改善/持平</t>
        </is>
      </c>
    </row>
    <row r="39">
      <c r="A39" s="7" t="inlineStr">
        <is>
          <t>648681860568</t>
        </is>
      </c>
      <c r="B39" s="7" t="inlineStr">
        <is>
          <t>巴东牛肉</t>
        </is>
      </c>
      <c r="C39" s="7" t="inlineStr">
        <is>
          <t>营多进口新口味巴东炖牛肉味捞面印尼料理方便面泡面捞面夜宵速食</t>
        </is>
      </c>
      <c r="D39" s="9" t="n">
        <v>-362</v>
      </c>
      <c r="E39" s="9" t="n">
        <v>-51</v>
      </c>
      <c r="F39" s="9" t="n">
        <v>-117</v>
      </c>
      <c r="G39" s="8" t="n">
        <v>60</v>
      </c>
      <c r="H39" s="9" t="n">
        <v>-51</v>
      </c>
      <c r="I39" s="8" t="n">
        <v>117</v>
      </c>
      <c r="J39" s="9" t="n">
        <v>-6</v>
      </c>
      <c r="K39" s="7" t="inlineStr">
        <is>
          <t>本期改善/持平</t>
        </is>
      </c>
    </row>
    <row r="40">
      <c r="A40" s="7" t="inlineStr">
        <is>
          <t>649735171438</t>
        </is>
      </c>
      <c r="B40" s="7" t="inlineStr">
        <is>
          <t>杯面主链接</t>
        </is>
      </c>
      <c r="C40" s="7" t="inlineStr">
        <is>
          <t>印尼进口indomie营多捞面杯面速食泡面干拌面盒桶装方便面火鸡面</t>
        </is>
      </c>
      <c r="D40" s="9" t="n">
        <v>-2411</v>
      </c>
      <c r="E40" s="9" t="n">
        <v>-278</v>
      </c>
      <c r="F40" s="9" t="n">
        <v>-408</v>
      </c>
      <c r="G40" s="8" t="n">
        <v>61</v>
      </c>
      <c r="H40" s="9" t="n">
        <v>-278</v>
      </c>
      <c r="I40" s="8" t="n">
        <v>408</v>
      </c>
      <c r="J40" s="9" t="n">
        <v>-69</v>
      </c>
      <c r="K40" s="7" t="inlineStr">
        <is>
          <t>本期改善/持平</t>
        </is>
      </c>
    </row>
    <row r="41">
      <c r="A41" s="7" t="inlineStr">
        <is>
          <t>649361890551</t>
        </is>
      </c>
      <c r="B41" s="7" t="inlineStr">
        <is>
          <t>袋面次链接</t>
        </is>
      </c>
      <c r="C41" s="7" t="inlineStr">
        <is>
          <t>营多捞面印尼进口Indomie网红夜宵早餐方便面火鸡面泡面拌面</t>
        </is>
      </c>
      <c r="D41" s="9" t="n">
        <v>-5030</v>
      </c>
      <c r="E41" s="9" t="n">
        <v>-536</v>
      </c>
      <c r="F41" s="9" t="n">
        <v>-965</v>
      </c>
      <c r="G41" s="8" t="n">
        <v>361</v>
      </c>
      <c r="H41" s="9" t="n">
        <v>-536</v>
      </c>
      <c r="I41" s="8" t="n">
        <v>965</v>
      </c>
      <c r="J41" s="9" t="n">
        <v>-68</v>
      </c>
      <c r="K41" s="7" t="inlineStr">
        <is>
          <t>本期改善/持平</t>
        </is>
      </c>
    </row>
  </sheetData>
  <autoFilter ref="A3: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4"/>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50" customWidth="1" min="3" max="3"/>
    <col width="10" customWidth="1" min="4" max="4"/>
    <col width="12" customWidth="1" min="5" max="5"/>
    <col width="12" customWidth="1" min="6" max="6"/>
    <col width="12" customWidth="1" min="7" max="7"/>
    <col width="10" customWidth="1" min="8" max="8"/>
    <col width="10" customWidth="1" min="9" max="9"/>
    <col width="10" customWidth="1" min="10" max="10"/>
    <col width="26" customWidth="1" min="11" max="11"/>
  </cols>
  <sheetData>
    <row r="1">
      <c r="A1" s="20" t="inlineStr">
        <is>
          <t>阶段二：7.13-7.19 → 7.20-7.26</t>
        </is>
      </c>
    </row>
    <row r="3">
      <c r="A3" s="4" t="inlineStr">
        <is>
          <t>商品ID</t>
        </is>
      </c>
      <c r="B3" s="4" t="inlineStr">
        <is>
          <t>定位</t>
        </is>
      </c>
      <c r="C3" s="4" t="inlineStr">
        <is>
          <t>商品名称</t>
        </is>
      </c>
      <c r="D3" s="4" t="inlineStr">
        <is>
          <t>成交变化</t>
        </is>
      </c>
      <c r="E3" s="4" t="inlineStr">
        <is>
          <t>推广前净利变化</t>
        </is>
      </c>
      <c r="F3" s="4" t="inlineStr">
        <is>
          <t>推广花费变化</t>
        </is>
      </c>
      <c r="G3" s="4" t="inlineStr">
        <is>
          <t>推广后净利变化</t>
        </is>
      </c>
      <c r="H3" s="4" t="inlineStr">
        <is>
          <t>推广前影响</t>
        </is>
      </c>
      <c r="I3" s="4" t="inlineStr">
        <is>
          <t>推广费影响</t>
        </is>
      </c>
      <c r="J3" s="4" t="inlineStr">
        <is>
          <t>其他影响</t>
        </is>
      </c>
      <c r="K3" s="4" t="inlineStr">
        <is>
          <t>主因判断</t>
        </is>
      </c>
    </row>
    <row r="4">
      <c r="A4" s="7" t="inlineStr">
        <is>
          <t>649361890551</t>
        </is>
      </c>
      <c r="B4" s="7" t="inlineStr">
        <is>
          <t>袋面次链接</t>
        </is>
      </c>
      <c r="C4" s="7" t="inlineStr">
        <is>
          <t>营多捞面印尼进口Indomie网红夜宵早餐方便面火鸡面泡面拌面</t>
        </is>
      </c>
      <c r="D4" s="8" t="n">
        <v>1346</v>
      </c>
      <c r="E4" s="8" t="n">
        <v>195</v>
      </c>
      <c r="F4" s="8" t="n">
        <v>529</v>
      </c>
      <c r="G4" s="9" t="n">
        <v>-259</v>
      </c>
      <c r="H4" s="8" t="n">
        <v>195</v>
      </c>
      <c r="I4" s="9" t="n">
        <v>-529</v>
      </c>
      <c r="J4" s="8" t="n">
        <v>75</v>
      </c>
      <c r="K4" s="7" t="inlineStr">
        <is>
          <t>主要是推广费上升</t>
        </is>
      </c>
    </row>
    <row r="5">
      <c r="A5" s="7" t="inlineStr">
        <is>
          <t>648600900806</t>
        </is>
      </c>
      <c r="B5" s="7" t="inlineStr">
        <is>
          <t>30包</t>
        </is>
      </c>
      <c r="C5" s="7" t="inlineStr">
        <is>
          <t>进口营多捞面一整箱30包网红速食方便面宿舍速食泡面干拌面拉面</t>
        </is>
      </c>
      <c r="D5" s="9" t="n">
        <v>-115</v>
      </c>
      <c r="E5" s="8" t="n">
        <v>30</v>
      </c>
      <c r="F5" s="8" t="n">
        <v>312</v>
      </c>
      <c r="G5" s="9" t="n">
        <v>-251</v>
      </c>
      <c r="H5" s="8" t="n">
        <v>30</v>
      </c>
      <c r="I5" s="9" t="n">
        <v>-312</v>
      </c>
      <c r="J5" s="8" t="n">
        <v>31</v>
      </c>
      <c r="K5" s="7" t="inlineStr">
        <is>
          <t>主要是推广费上升</t>
        </is>
      </c>
    </row>
    <row r="6">
      <c r="A6" s="7" t="inlineStr">
        <is>
          <t>649014937782</t>
        </is>
      </c>
      <c r="B6" s="7" t="inlineStr">
        <is>
          <t>原味大包</t>
        </is>
      </c>
      <c r="C6" s="7" t="inlineStr">
        <is>
          <t>indomie印尼进口营多原味大大包129g捞面方便面速食食品宵夜小吃</t>
        </is>
      </c>
      <c r="D6" s="9" t="n">
        <v>-939</v>
      </c>
      <c r="E6" s="9" t="n">
        <v>-150</v>
      </c>
      <c r="F6" s="9" t="n">
        <v>-23</v>
      </c>
      <c r="G6" s="9" t="n">
        <v>-114</v>
      </c>
      <c r="H6" s="9" t="n">
        <v>-150</v>
      </c>
      <c r="I6" s="8" t="n">
        <v>23</v>
      </c>
      <c r="J6" s="8" t="n">
        <v>13</v>
      </c>
      <c r="K6" s="7" t="inlineStr">
        <is>
          <t>主要是推广前利润下降</t>
        </is>
      </c>
    </row>
    <row r="7">
      <c r="A7" s="7" t="inlineStr">
        <is>
          <t>735014804839</t>
        </is>
      </c>
      <c r="B7" s="7" t="inlineStr">
        <is>
          <t>24/30包</t>
        </is>
      </c>
      <c r="C7" s="7" t="inlineStr">
        <is>
          <t>进口营多捞面多口味Indomie网红方便面干拌面泡面30包整箱批发面</t>
        </is>
      </c>
      <c r="D7" s="9" t="n">
        <v>-820</v>
      </c>
      <c r="E7" s="9" t="n">
        <v>-161</v>
      </c>
      <c r="F7" s="9" t="n">
        <v>-53</v>
      </c>
      <c r="G7" s="9" t="n">
        <v>-102</v>
      </c>
      <c r="H7" s="9" t="n">
        <v>-161</v>
      </c>
      <c r="I7" s="8" t="n">
        <v>53</v>
      </c>
      <c r="J7" s="8" t="n">
        <v>6</v>
      </c>
      <c r="K7" s="7" t="inlineStr">
        <is>
          <t>主要是推广前利润下降</t>
        </is>
      </c>
    </row>
    <row r="8">
      <c r="A8" s="7" t="inlineStr">
        <is>
          <t>1013887677295</t>
        </is>
      </c>
      <c r="B8" s="7" t="inlineStr">
        <is>
          <t>原味大包</t>
        </is>
      </c>
      <c r="C8" s="7" t="inlineStr">
        <is>
          <t>indomie印尼进口营多原味大大包129g捞面方便面速食食品宵夜小吃</t>
        </is>
      </c>
      <c r="D8" s="9" t="n">
        <v>-216</v>
      </c>
      <c r="E8" s="8" t="n">
        <v>10</v>
      </c>
      <c r="F8" s="8" t="n">
        <v>74</v>
      </c>
      <c r="G8" s="9" t="n">
        <v>-50</v>
      </c>
      <c r="H8" s="8" t="n">
        <v>10</v>
      </c>
      <c r="I8" s="9" t="n">
        <v>-74</v>
      </c>
      <c r="J8" s="8" t="n">
        <v>14</v>
      </c>
      <c r="K8" s="7" t="inlineStr">
        <is>
          <t>主要是推广费上升</t>
        </is>
      </c>
    </row>
    <row r="9">
      <c r="A9" s="7" t="inlineStr">
        <is>
          <t>648598580775</t>
        </is>
      </c>
      <c r="B9" s="7" t="inlineStr">
        <is>
          <t>原味大包</t>
        </is>
      </c>
      <c r="C9" s="7" t="inlineStr">
        <is>
          <t>印尼进口大大包营多原味捞面5包干拌面速食超大包方便面速食宵夜</t>
        </is>
      </c>
      <c r="D9" s="9" t="n">
        <v>-487</v>
      </c>
      <c r="E9" s="9" t="n">
        <v>-87</v>
      </c>
      <c r="F9" s="9" t="n">
        <v>-34</v>
      </c>
      <c r="G9" s="9" t="n">
        <v>-43</v>
      </c>
      <c r="H9" s="9" t="n">
        <v>-87</v>
      </c>
      <c r="I9" s="8" t="n">
        <v>34</v>
      </c>
      <c r="J9" s="8" t="n">
        <v>10</v>
      </c>
      <c r="K9" s="7" t="inlineStr">
        <is>
          <t>主要是推广前利润下降</t>
        </is>
      </c>
    </row>
    <row r="10">
      <c r="A10" s="7" t="inlineStr">
        <is>
          <t>649735171438</t>
        </is>
      </c>
      <c r="B10" s="7" t="inlineStr">
        <is>
          <t>杯面主链接</t>
        </is>
      </c>
      <c r="C10" s="7" t="inlineStr">
        <is>
          <t>印尼进口indomie营多捞面杯面速食泡面干拌面盒桶装方便面火鸡面</t>
        </is>
      </c>
      <c r="D10" s="9" t="n">
        <v>-466</v>
      </c>
      <c r="E10" s="9" t="n">
        <v>-97</v>
      </c>
      <c r="F10" s="9" t="n">
        <v>-24</v>
      </c>
      <c r="G10" s="9" t="n">
        <v>-22</v>
      </c>
      <c r="H10" s="9" t="n">
        <v>-97</v>
      </c>
      <c r="I10" s="8" t="n">
        <v>24</v>
      </c>
      <c r="J10" s="8" t="n">
        <v>51</v>
      </c>
      <c r="K10" s="7" t="inlineStr">
        <is>
          <t>主要是推广前利润下降</t>
        </is>
      </c>
    </row>
    <row r="11">
      <c r="A11" s="7" t="inlineStr">
        <is>
          <t>886856687067</t>
        </is>
      </c>
      <c r="B11" s="7" t="inlineStr">
        <is>
          <t>大骨</t>
        </is>
      </c>
      <c r="C11" s="7" t="inlineStr">
        <is>
          <t>营多捞面牛系列大骨牛肉味方便面食品泡面拉面汤面宿舍宵夜旅行</t>
        </is>
      </c>
      <c r="D11" s="9" t="n">
        <v>-50</v>
      </c>
      <c r="E11" s="9" t="n">
        <v>-22</v>
      </c>
      <c r="F11" s="8" t="n">
        <v>1</v>
      </c>
      <c r="G11" s="9" t="n">
        <v>-21</v>
      </c>
      <c r="H11" s="9" t="n">
        <v>-22</v>
      </c>
      <c r="I11" s="9" t="n">
        <v>-1</v>
      </c>
      <c r="J11" s="8" t="n">
        <v>2</v>
      </c>
      <c r="K11" s="7" t="inlineStr">
        <is>
          <t>主要是推广前利润下降</t>
        </is>
      </c>
    </row>
    <row r="12">
      <c r="A12" s="7" t="inlineStr">
        <is>
          <t>648681860568</t>
        </is>
      </c>
      <c r="B12" s="7" t="inlineStr">
        <is>
          <t>杯面次链接</t>
        </is>
      </c>
      <c r="C12" s="7" t="inlineStr">
        <is>
          <t>营多捞面杯装方便面泡面速食干拌面原味整箱批发印尼进口桶装拌面</t>
        </is>
      </c>
      <c r="D12" s="8" t="n">
        <v>313</v>
      </c>
      <c r="E12" s="8" t="n">
        <v>9</v>
      </c>
      <c r="F12" s="8" t="n">
        <v>15</v>
      </c>
      <c r="G12" s="9" t="n">
        <v>-10</v>
      </c>
      <c r="H12" s="8" t="n">
        <v>9</v>
      </c>
      <c r="I12" s="9" t="n">
        <v>-15</v>
      </c>
      <c r="J12" s="9" t="n">
        <v>-4</v>
      </c>
      <c r="K12" s="7" t="inlineStr">
        <is>
          <t>主要是推广费上升</t>
        </is>
      </c>
    </row>
    <row r="13">
      <c r="A13" s="7" t="inlineStr">
        <is>
          <t>929504658691</t>
        </is>
      </c>
      <c r="B13" s="7" t="inlineStr">
        <is>
          <t>巴东牛肉</t>
        </is>
      </c>
      <c r="C13" s="7" t="inlineStr">
        <is>
          <t>营多进口新口味巴东炖牛肉味捞面印尼料理方便面泡面捞面夜宵速食</t>
        </is>
      </c>
      <c r="D13" s="8" t="n">
        <v>1</v>
      </c>
      <c r="E13" s="9" t="n">
        <v>-30</v>
      </c>
      <c r="F13" s="9" t="n">
        <v>-23</v>
      </c>
      <c r="G13" s="9" t="n">
        <v>-7</v>
      </c>
      <c r="H13" s="9" t="n">
        <v>-30</v>
      </c>
      <c r="I13" s="8" t="n">
        <v>23</v>
      </c>
      <c r="J13" s="21" t="n">
        <v>0</v>
      </c>
      <c r="K13" s="7" t="inlineStr">
        <is>
          <t>主要是推广前利润下降</t>
        </is>
      </c>
    </row>
    <row r="14">
      <c r="A14" s="7" t="inlineStr">
        <is>
          <t>976467954327</t>
        </is>
      </c>
      <c r="B14" s="7" t="inlineStr">
        <is>
          <t>日韩杯面</t>
        </is>
      </c>
      <c r="C14" s="7" t="inlineStr">
        <is>
          <t>【天猫U选】indomie营多捞面辣蘑菇味日式辣味杯面</t>
        </is>
      </c>
      <c r="D14" s="8" t="n">
        <v>18</v>
      </c>
      <c r="E14" s="9" t="n">
        <v>-4</v>
      </c>
      <c r="F14" s="8" t="n">
        <v>2</v>
      </c>
      <c r="G14" s="9" t="n">
        <v>-6</v>
      </c>
      <c r="H14" s="9" t="n">
        <v>-4</v>
      </c>
      <c r="I14" s="9" t="n">
        <v>-2</v>
      </c>
      <c r="J14" s="21" t="n">
        <v>0</v>
      </c>
      <c r="K14" s="7" t="inlineStr">
        <is>
          <t>主要是推广前利润下降</t>
        </is>
      </c>
    </row>
    <row r="15">
      <c r="A15" s="7" t="inlineStr">
        <is>
          <t>937005385662</t>
        </is>
      </c>
      <c r="B15" s="7" t="inlineStr">
        <is>
          <t>日式袋面</t>
        </is>
      </c>
      <c r="C15" s="7" t="inlineStr">
        <is>
          <t>进口营多正品捞面日式鸡肉鸡汤辛辣味袋装泡面辣味速食方便面汤面</t>
        </is>
      </c>
      <c r="D15" s="8" t="n">
        <v>8</v>
      </c>
      <c r="E15" s="8" t="n">
        <v>2</v>
      </c>
      <c r="F15" s="8" t="n">
        <v>9</v>
      </c>
      <c r="G15" s="9" t="n">
        <v>-6</v>
      </c>
      <c r="H15" s="8" t="n">
        <v>2</v>
      </c>
      <c r="I15" s="9" t="n">
        <v>-9</v>
      </c>
      <c r="J15" s="8" t="n">
        <v>1</v>
      </c>
      <c r="K15" s="7" t="inlineStr">
        <is>
          <t>主要是推广费上升</t>
        </is>
      </c>
    </row>
    <row r="16">
      <c r="A16" s="7" t="inlineStr">
        <is>
          <t>976466902934</t>
        </is>
      </c>
      <c r="B16" s="7" t="inlineStr">
        <is>
          <t>【U选】日式原杯1+日式辣杯1</t>
        </is>
      </c>
      <c r="C16" s="7" t="inlineStr">
        <is>
          <t>【天猫U选】indomie营多捞面辣火鸡味日式鸡肉原味杯面</t>
        </is>
      </c>
      <c r="D16" s="8" t="n">
        <v>21</v>
      </c>
      <c r="E16" s="9" t="n">
        <v>-2</v>
      </c>
      <c r="F16" s="8" t="n">
        <v>2</v>
      </c>
      <c r="G16" s="9" t="n">
        <v>-5</v>
      </c>
      <c r="H16" s="9" t="n">
        <v>-2</v>
      </c>
      <c r="I16" s="9" t="n">
        <v>-2</v>
      </c>
      <c r="J16" s="9" t="n">
        <v>-1</v>
      </c>
      <c r="K16" s="7" t="inlineStr">
        <is>
          <t>推广前利润下降 + 推广费上升（双因）</t>
        </is>
      </c>
    </row>
    <row r="17">
      <c r="A17" s="7" t="inlineStr">
        <is>
          <t>898076297965</t>
        </is>
      </c>
      <c r="B17" s="7" t="inlineStr">
        <is>
          <t>番茄牛肉</t>
        </is>
      </c>
      <c r="C17" s="7" t="inlineStr">
        <is>
          <t>进口正品意面风味奶香番茄牛肉味意式拌面营多捞面早餐儿童宝妈餐</t>
        </is>
      </c>
      <c r="D17" s="8" t="n">
        <v>17</v>
      </c>
      <c r="E17" s="8" t="n">
        <v>3</v>
      </c>
      <c r="F17" s="8" t="n">
        <v>7</v>
      </c>
      <c r="G17" s="9" t="n">
        <v>-4</v>
      </c>
      <c r="H17" s="8" t="n">
        <v>3</v>
      </c>
      <c r="I17" s="9" t="n">
        <v>-7</v>
      </c>
      <c r="J17" s="21" t="n">
        <v>0</v>
      </c>
      <c r="K17" s="7" t="inlineStr">
        <is>
          <t>主要是推广费上升</t>
        </is>
      </c>
    </row>
    <row r="18">
      <c r="A18" s="7" t="inlineStr">
        <is>
          <t>1057479227624</t>
        </is>
      </c>
      <c r="B18" s="7" t="inlineStr">
        <is>
          <t>巴东牛肉</t>
        </is>
      </c>
      <c r="C18" s="7" t="inlineStr">
        <is>
          <t>【新口味】印尼进口营多捞面巴东炖牛肉味泡面方便面宿舍速食宵夜</t>
        </is>
      </c>
      <c r="D18" s="8" t="n">
        <v>875</v>
      </c>
      <c r="E18" s="8" t="n">
        <v>142</v>
      </c>
      <c r="F18" s="8" t="n">
        <v>146</v>
      </c>
      <c r="G18" s="9" t="n">
        <v>-4</v>
      </c>
      <c r="H18" s="8" t="n">
        <v>142</v>
      </c>
      <c r="I18" s="9" t="n">
        <v>-146</v>
      </c>
      <c r="J18" s="21" t="n">
        <v>0</v>
      </c>
      <c r="K18" s="7" t="inlineStr">
        <is>
          <t>主要是推广费上升</t>
        </is>
      </c>
    </row>
    <row r="19">
      <c r="A19" s="7" t="inlineStr">
        <is>
          <t>649369494424</t>
        </is>
      </c>
      <c r="B19" s="7" t="inlineStr">
        <is>
          <t>24包经典/牛系列</t>
        </is>
      </c>
      <c r="C19" s="7" t="inlineStr">
        <is>
          <t>营多捞面干拌面一整箱24袋装批发泡面混搭宿舍速食方便面火鸡面</t>
        </is>
      </c>
      <c r="D19" s="9" t="n">
        <v>-1745</v>
      </c>
      <c r="E19" s="9" t="n">
        <v>-310</v>
      </c>
      <c r="F19" s="9" t="n">
        <v>-304</v>
      </c>
      <c r="G19" s="9" t="n">
        <v>-2</v>
      </c>
      <c r="H19" s="9" t="n">
        <v>-310</v>
      </c>
      <c r="I19" s="8" t="n">
        <v>304</v>
      </c>
      <c r="J19" s="8" t="n">
        <v>4</v>
      </c>
      <c r="K19" s="7" t="inlineStr">
        <is>
          <t>主要是推广前利润下降</t>
        </is>
      </c>
    </row>
    <row r="20">
      <c r="A20" s="7" t="inlineStr">
        <is>
          <t>885645733215</t>
        </is>
      </c>
      <c r="B20" s="7" t="inlineStr">
        <is>
          <t>大骨牛肉</t>
        </is>
      </c>
      <c r="C20" s="7" t="inlineStr">
        <is>
          <t>进口营多大骨番茄牛肉味营多捞面意式泡面宿舍宿舍宵夜速食方便面</t>
        </is>
      </c>
      <c r="D20" s="8" t="n">
        <v>105</v>
      </c>
      <c r="E20" s="8" t="n">
        <v>14</v>
      </c>
      <c r="F20" s="8" t="n">
        <v>13</v>
      </c>
      <c r="G20" s="9" t="n">
        <v>-1</v>
      </c>
      <c r="H20" s="8" t="n">
        <v>14</v>
      </c>
      <c r="I20" s="9" t="n">
        <v>-13</v>
      </c>
      <c r="J20" s="9" t="n">
        <v>-2</v>
      </c>
      <c r="K20" s="7" t="inlineStr">
        <is>
          <t>主要是推广费上升</t>
        </is>
      </c>
    </row>
    <row r="21">
      <c r="A21" s="7" t="inlineStr">
        <is>
          <t>932687928859</t>
        </is>
      </c>
      <c r="B21" s="7" t="inlineStr">
        <is>
          <t>8包组合</t>
        </is>
      </c>
      <c r="C21" s="7" t="inlineStr">
        <is>
          <t>营多捞面八口味袋装泡面拌面速食面干拌面方便面宿舍宵夜速食家用</t>
        </is>
      </c>
      <c r="D21" s="9" t="n">
        <v>-52</v>
      </c>
      <c r="E21" s="9" t="n">
        <v>-7</v>
      </c>
      <c r="F21" s="9" t="n">
        <v>-10</v>
      </c>
      <c r="G21" s="8" t="n">
        <v>3</v>
      </c>
      <c r="H21" s="9" t="n">
        <v>-7</v>
      </c>
      <c r="I21" s="8" t="n">
        <v>10</v>
      </c>
      <c r="J21" s="21" t="n">
        <v>0</v>
      </c>
      <c r="K21" s="7" t="inlineStr">
        <is>
          <t>本期改善/持平</t>
        </is>
      </c>
    </row>
    <row r="22">
      <c r="A22" s="7" t="inlineStr">
        <is>
          <t>971242260371</t>
        </is>
      </c>
      <c r="B22" s="7" t="inlineStr">
        <is>
          <t>韩式袋面</t>
        </is>
      </c>
      <c r="C22" s="7" t="inlineStr">
        <is>
          <t>新品营多捞面韩式辣蘑菇汤面泡面方便面速食干拌面宿舍宵夜旅行</t>
        </is>
      </c>
      <c r="D22" s="8" t="n">
        <v>56</v>
      </c>
      <c r="E22" s="9" t="n">
        <v>-3</v>
      </c>
      <c r="F22" s="9" t="n">
        <v>-9</v>
      </c>
      <c r="G22" s="8" t="n">
        <v>4</v>
      </c>
      <c r="H22" s="9" t="n">
        <v>-3</v>
      </c>
      <c r="I22" s="8" t="n">
        <v>9</v>
      </c>
      <c r="J22" s="9" t="n">
        <v>-2</v>
      </c>
      <c r="K22" s="7" t="inlineStr">
        <is>
          <t>本期改善/持平</t>
        </is>
      </c>
    </row>
    <row r="23">
      <c r="A23" s="7" t="inlineStr">
        <is>
          <t>1060999732877</t>
        </is>
      </c>
      <c r="B23" s="7" t="inlineStr">
        <is>
          <t>原味大包</t>
        </is>
      </c>
      <c r="C23" s="7" t="inlineStr">
        <is>
          <t>indomie印尼进口营多原味大大包129g捞面方便面速食食品宵夜小吃</t>
        </is>
      </c>
      <c r="D23" s="9" t="n">
        <v>-24</v>
      </c>
      <c r="E23" s="8" t="n">
        <v>21</v>
      </c>
      <c r="F23" s="8" t="n">
        <v>28</v>
      </c>
      <c r="G23" s="8" t="n">
        <v>4</v>
      </c>
      <c r="H23" s="8" t="n">
        <v>21</v>
      </c>
      <c r="I23" s="9" t="n">
        <v>-28</v>
      </c>
      <c r="J23" s="8" t="n">
        <v>11</v>
      </c>
      <c r="K23" s="7" t="inlineStr">
        <is>
          <t>本期改善/持平</t>
        </is>
      </c>
    </row>
    <row r="24">
      <c r="A24" s="7" t="inlineStr">
        <is>
          <t>903183018417</t>
        </is>
      </c>
      <c r="B24" s="7" t="inlineStr">
        <is>
          <t>杯面混搭</t>
        </is>
      </c>
      <c r="C24" s="7" t="inlineStr">
        <is>
          <t>印尼进口营多捞面杯面原味甜辣蘑菇味整箱速食拌面拉面泡面方便面</t>
        </is>
      </c>
      <c r="D24" s="9" t="n">
        <v>-1</v>
      </c>
      <c r="E24" s="21" t="n">
        <v>0</v>
      </c>
      <c r="F24" s="9" t="n">
        <v>-7</v>
      </c>
      <c r="G24" s="8" t="n">
        <v>6</v>
      </c>
      <c r="H24" s="21" t="n">
        <v>0</v>
      </c>
      <c r="I24" s="8" t="n">
        <v>7</v>
      </c>
      <c r="J24" s="9" t="n">
        <v>-1</v>
      </c>
      <c r="K24" s="7" t="inlineStr">
        <is>
          <t>本期改善/持平</t>
        </is>
      </c>
    </row>
    <row r="25">
      <c r="A25" s="7" t="inlineStr">
        <is>
          <t>969433743398</t>
        </is>
      </c>
      <c r="B25" s="7" t="inlineStr">
        <is>
          <t>韩蘑菇</t>
        </is>
      </c>
      <c r="C25" s="7" t="inlineStr">
        <is>
          <t>新品营多捞面韩式辣蘑菇汤面泡面方便面速食干拌面宿舍宵夜旅行</t>
        </is>
      </c>
      <c r="D25" s="8" t="n">
        <v>57</v>
      </c>
      <c r="E25" s="8" t="n">
        <v>12</v>
      </c>
      <c r="F25" s="8" t="n">
        <v>3</v>
      </c>
      <c r="G25" s="8" t="n">
        <v>9</v>
      </c>
      <c r="H25" s="8" t="n">
        <v>12</v>
      </c>
      <c r="I25" s="9" t="n">
        <v>-3</v>
      </c>
      <c r="J25" s="21" t="n">
        <v>0</v>
      </c>
      <c r="K25" s="7" t="inlineStr">
        <is>
          <t>本期改善/持平</t>
        </is>
      </c>
    </row>
    <row r="26">
      <c r="A26" s="7" t="inlineStr">
        <is>
          <t>649731447266</t>
        </is>
      </c>
      <c r="B26" s="7" t="inlineStr">
        <is>
          <t>20包经典/牛系列</t>
        </is>
      </c>
      <c r="C26" s="7" t="inlineStr">
        <is>
          <t>营多印尼进口营多捞面方便面火鸡面干拌面20包宿舍速食泡面夜宵</t>
        </is>
      </c>
      <c r="D26" s="8" t="n">
        <v>51</v>
      </c>
      <c r="E26" s="8" t="n">
        <v>11</v>
      </c>
      <c r="F26" s="9" t="n">
        <v>-2</v>
      </c>
      <c r="G26" s="8" t="n">
        <v>13</v>
      </c>
      <c r="H26" s="8" t="n">
        <v>11</v>
      </c>
      <c r="I26" s="8" t="n">
        <v>2</v>
      </c>
      <c r="J26" s="21" t="n">
        <v>0</v>
      </c>
      <c r="K26" s="7" t="inlineStr">
        <is>
          <t>本期改善/持平</t>
        </is>
      </c>
    </row>
    <row r="27">
      <c r="A27" s="7" t="inlineStr">
        <is>
          <t>976479938842</t>
        </is>
      </c>
      <c r="B27" s="7" t="inlineStr">
        <is>
          <t>杯面混搭</t>
        </is>
      </c>
      <c r="C27" s="7" t="inlineStr">
        <is>
          <t>营多捞面韩式甜辣炸鸡辣蘑菇杯面方便面拌面泡面宿舍速食面</t>
        </is>
      </c>
      <c r="D27" s="9" t="n">
        <v>-28</v>
      </c>
      <c r="E27" s="8" t="n">
        <v>10</v>
      </c>
      <c r="F27" s="9" t="n">
        <v>-2</v>
      </c>
      <c r="G27" s="8" t="n">
        <v>13</v>
      </c>
      <c r="H27" s="8" t="n">
        <v>10</v>
      </c>
      <c r="I27" s="8" t="n">
        <v>2</v>
      </c>
      <c r="J27" s="8" t="n">
        <v>1</v>
      </c>
      <c r="K27" s="7" t="inlineStr">
        <is>
          <t>本期改善/持平</t>
        </is>
      </c>
    </row>
    <row r="28">
      <c r="A28" s="7" t="inlineStr">
        <is>
          <t>766165464414</t>
        </is>
      </c>
      <c r="B28" s="7" t="inlineStr">
        <is>
          <t>12包</t>
        </is>
      </c>
      <c r="C28" s="7" t="inlineStr">
        <is>
          <t>营多印尼进口营多捞面方便面火鸡面干拌面12包宿舍速食泡面夜宵</t>
        </is>
      </c>
      <c r="D28" s="9" t="n">
        <v>-47</v>
      </c>
      <c r="E28" s="8" t="n">
        <v>3</v>
      </c>
      <c r="F28" s="9" t="n">
        <v>-19</v>
      </c>
      <c r="G28" s="8" t="n">
        <v>23</v>
      </c>
      <c r="H28" s="8" t="n">
        <v>3</v>
      </c>
      <c r="I28" s="8" t="n">
        <v>19</v>
      </c>
      <c r="J28" s="8" t="n">
        <v>1</v>
      </c>
      <c r="K28" s="7" t="inlineStr">
        <is>
          <t>本期改善/持平</t>
        </is>
      </c>
    </row>
    <row r="29">
      <c r="A29" s="7" t="inlineStr">
        <is>
          <t>744317232690</t>
        </is>
      </c>
      <c r="B29" s="7" t="inlineStr">
        <is>
          <t>多规格</t>
        </is>
      </c>
      <c r="C29" s="7" t="inlineStr">
        <is>
          <t>营多捞面汤面清香牛肉味方便面泡面速食食品泡面拉面整箱旅行宿舍</t>
        </is>
      </c>
      <c r="D29" s="8" t="n">
        <v>266</v>
      </c>
      <c r="E29" s="8" t="n">
        <v>50</v>
      </c>
      <c r="F29" s="8" t="n">
        <v>25</v>
      </c>
      <c r="G29" s="8" t="n">
        <v>24</v>
      </c>
      <c r="H29" s="8" t="n">
        <v>50</v>
      </c>
      <c r="I29" s="9" t="n">
        <v>-25</v>
      </c>
      <c r="J29" s="9" t="n">
        <v>-1</v>
      </c>
      <c r="K29" s="7" t="inlineStr">
        <is>
          <t>本期改善/持平</t>
        </is>
      </c>
    </row>
    <row r="30">
      <c r="A30" s="7" t="inlineStr">
        <is>
          <t>648604228786</t>
        </is>
      </c>
      <c r="B30" s="7" t="inlineStr">
        <is>
          <t>杯面混搭</t>
        </is>
      </c>
      <c r="C30" s="7" t="inlineStr">
        <is>
          <t>INDOMIE营多日式杯面原味经典泡面整箱批发速食宿舍旅行宵夜宿舍</t>
        </is>
      </c>
      <c r="D30" s="8" t="n">
        <v>112</v>
      </c>
      <c r="E30" s="8" t="n">
        <v>17</v>
      </c>
      <c r="F30" s="9" t="n">
        <v>-9</v>
      </c>
      <c r="G30" s="8" t="n">
        <v>24</v>
      </c>
      <c r="H30" s="8" t="n">
        <v>17</v>
      </c>
      <c r="I30" s="8" t="n">
        <v>9</v>
      </c>
      <c r="J30" s="9" t="n">
        <v>-2</v>
      </c>
      <c r="K30" s="7" t="inlineStr">
        <is>
          <t>本期改善/持平</t>
        </is>
      </c>
    </row>
    <row r="31">
      <c r="A31" s="7" t="inlineStr">
        <is>
          <t>969423151512</t>
        </is>
      </c>
      <c r="B31" s="7" t="inlineStr">
        <is>
          <t>日韩混搭</t>
        </is>
      </c>
      <c r="C31" s="7" t="inlineStr">
        <is>
          <t>营多捞面甜辣炸鸡火鸡面辣蘑菇泡面方便面速食干拌面宿舍宵夜旅行</t>
        </is>
      </c>
      <c r="D31" s="8" t="n">
        <v>172</v>
      </c>
      <c r="E31" s="8" t="n">
        <v>46</v>
      </c>
      <c r="F31" s="8" t="n">
        <v>19</v>
      </c>
      <c r="G31" s="8" t="n">
        <v>25</v>
      </c>
      <c r="H31" s="8" t="n">
        <v>46</v>
      </c>
      <c r="I31" s="9" t="n">
        <v>-19</v>
      </c>
      <c r="J31" s="9" t="n">
        <v>-2</v>
      </c>
      <c r="K31" s="7" t="inlineStr">
        <is>
          <t>本期改善/持平</t>
        </is>
      </c>
    </row>
    <row r="32">
      <c r="A32" s="7" t="inlineStr">
        <is>
          <t>1059563993918</t>
        </is>
      </c>
      <c r="B32" s="7" t="inlineStr">
        <is>
          <t>巴东牛肉</t>
        </is>
      </c>
      <c r="C32" s="7" t="inlineStr">
        <is>
          <t>营多进口新口味巴东炖牛肉味捞面印尼料理方便面泡面捞面夜宵速食</t>
        </is>
      </c>
      <c r="D32" s="9" t="n">
        <v>-292</v>
      </c>
      <c r="E32" s="8" t="n">
        <v>27</v>
      </c>
      <c r="F32" s="9" t="n">
        <v>-50</v>
      </c>
      <c r="G32" s="8" t="n">
        <v>87</v>
      </c>
      <c r="H32" s="8" t="n">
        <v>27</v>
      </c>
      <c r="I32" s="8" t="n">
        <v>50</v>
      </c>
      <c r="J32" s="8" t="n">
        <v>10</v>
      </c>
      <c r="K32" s="7" t="inlineStr">
        <is>
          <t>本期改善/持平</t>
        </is>
      </c>
    </row>
    <row r="33">
      <c r="A33" s="7" t="inlineStr">
        <is>
          <t>1058280415678</t>
        </is>
      </c>
      <c r="B33" s="7" t="inlineStr">
        <is>
          <t>巴东牛肉</t>
        </is>
      </c>
      <c r="C33" s="7" t="inlineStr">
        <is>
          <t>【新口味】印尼进口营多捞面巴东炖牛肉味泡面方便面宿舍速食宵夜</t>
        </is>
      </c>
      <c r="D33" s="8" t="n">
        <v>1038</v>
      </c>
      <c r="E33" s="8" t="n">
        <v>242</v>
      </c>
      <c r="F33" s="8" t="n">
        <v>148</v>
      </c>
      <c r="G33" s="8" t="n">
        <v>92</v>
      </c>
      <c r="H33" s="8" t="n">
        <v>242</v>
      </c>
      <c r="I33" s="9" t="n">
        <v>-148</v>
      </c>
      <c r="J33" s="9" t="n">
        <v>-2</v>
      </c>
      <c r="K33" s="7" t="inlineStr">
        <is>
          <t>本期改善/持平</t>
        </is>
      </c>
    </row>
    <row r="34">
      <c r="A34" s="7" t="inlineStr">
        <is>
          <t>668566625747</t>
        </is>
      </c>
      <c r="B34" s="7" t="inlineStr">
        <is>
          <t>袋面主链接</t>
        </is>
      </c>
      <c r="C34" s="7" t="inlineStr">
        <is>
          <t>印尼营多捞面进口网红泡面袋装方便面速食食品拉面火鸡面拌面整箱</t>
        </is>
      </c>
      <c r="D34" s="9" t="n">
        <v>-1494</v>
      </c>
      <c r="E34" s="9" t="n">
        <v>-143</v>
      </c>
      <c r="F34" s="9" t="n">
        <v>-154</v>
      </c>
      <c r="G34" s="8" t="n">
        <v>126</v>
      </c>
      <c r="H34" s="9" t="n">
        <v>-143</v>
      </c>
      <c r="I34" s="8" t="n">
        <v>154</v>
      </c>
      <c r="J34" s="8" t="n">
        <v>115</v>
      </c>
      <c r="K34" s="7" t="inlineStr">
        <is>
          <t>本期改善/持平</t>
        </is>
      </c>
    </row>
  </sheetData>
  <autoFilter ref="A3:K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50" customWidth="1" min="3" max="3"/>
    <col width="10" customWidth="1" min="4" max="4"/>
    <col width="12" customWidth="1" min="5" max="5"/>
    <col width="12" customWidth="1" min="6" max="6"/>
    <col width="12" customWidth="1" min="7" max="7"/>
    <col width="10" customWidth="1" min="8" max="8"/>
    <col width="10" customWidth="1" min="9" max="9"/>
    <col width="10" customWidth="1" min="10" max="10"/>
    <col width="26" customWidth="1" min="11" max="11"/>
  </cols>
  <sheetData>
    <row r="1">
      <c r="A1" s="20" t="inlineStr">
        <is>
          <t>累计：7.6-7.12 → 7.20-7.26</t>
        </is>
      </c>
    </row>
    <row r="3">
      <c r="A3" s="4" t="inlineStr">
        <is>
          <t>商品ID</t>
        </is>
      </c>
      <c r="B3" s="4" t="inlineStr">
        <is>
          <t>定位</t>
        </is>
      </c>
      <c r="C3" s="4" t="inlineStr">
        <is>
          <t>商品名称</t>
        </is>
      </c>
      <c r="D3" s="4" t="inlineStr">
        <is>
          <t>成交变化</t>
        </is>
      </c>
      <c r="E3" s="4" t="inlineStr">
        <is>
          <t>推广前净利变化</t>
        </is>
      </c>
      <c r="F3" s="4" t="inlineStr">
        <is>
          <t>推广花费变化</t>
        </is>
      </c>
      <c r="G3" s="4" t="inlineStr">
        <is>
          <t>推广后净利变化</t>
        </is>
      </c>
      <c r="H3" s="4" t="inlineStr">
        <is>
          <t>推广前影响</t>
        </is>
      </c>
      <c r="I3" s="4" t="inlineStr">
        <is>
          <t>推广费影响</t>
        </is>
      </c>
      <c r="J3" s="4" t="inlineStr">
        <is>
          <t>其他影响</t>
        </is>
      </c>
      <c r="K3" s="4" t="inlineStr">
        <is>
          <t>主因判断</t>
        </is>
      </c>
    </row>
    <row r="4">
      <c r="A4" s="7" t="inlineStr">
        <is>
          <t>668566625747</t>
        </is>
      </c>
      <c r="B4" s="7" t="inlineStr">
        <is>
          <t>袋面主链接</t>
        </is>
      </c>
      <c r="C4" s="7" t="inlineStr">
        <is>
          <t>印尼营多捞面进口网红泡面袋装方便面速食食品拉面火鸡面拌面整箱</t>
        </is>
      </c>
      <c r="D4" s="9" t="n">
        <v>-4699</v>
      </c>
      <c r="E4" s="9" t="n">
        <v>-740</v>
      </c>
      <c r="F4" s="9" t="n">
        <v>-287</v>
      </c>
      <c r="G4" s="9" t="n">
        <v>-541</v>
      </c>
      <c r="H4" s="9" t="n">
        <v>-740</v>
      </c>
      <c r="I4" s="8" t="n">
        <v>287</v>
      </c>
      <c r="J4" s="9" t="n">
        <v>-88</v>
      </c>
      <c r="K4" s="7" t="inlineStr">
        <is>
          <t>主要是推广前利润下降</t>
        </is>
      </c>
    </row>
    <row r="5">
      <c r="A5" s="7" t="inlineStr">
        <is>
          <t>648600900806</t>
        </is>
      </c>
      <c r="B5" s="7" t="inlineStr">
        <is>
          <t>30包</t>
        </is>
      </c>
      <c r="C5" s="7" t="inlineStr">
        <is>
          <t>进口营多捞面一整箱30包网红速食方便面宿舍速食泡面干拌面拉面</t>
        </is>
      </c>
      <c r="D5" s="9" t="n">
        <v>-3321</v>
      </c>
      <c r="E5" s="9" t="n">
        <v>-557</v>
      </c>
      <c r="F5" s="9" t="n">
        <v>-47</v>
      </c>
      <c r="G5" s="9" t="n">
        <v>-494</v>
      </c>
      <c r="H5" s="9" t="n">
        <v>-557</v>
      </c>
      <c r="I5" s="8" t="n">
        <v>47</v>
      </c>
      <c r="J5" s="8" t="n">
        <v>16</v>
      </c>
      <c r="K5" s="7" t="inlineStr">
        <is>
          <t>主要是推广前利润下降</t>
        </is>
      </c>
    </row>
    <row r="6">
      <c r="A6" s="7" t="inlineStr">
        <is>
          <t>649369494424</t>
        </is>
      </c>
      <c r="B6" s="7" t="inlineStr">
        <is>
          <t>24包经典/牛系列</t>
        </is>
      </c>
      <c r="C6" s="7" t="inlineStr">
        <is>
          <t>营多捞面干拌面一整箱24袋装批发泡面混搭宿舍速食方便面火鸡面</t>
        </is>
      </c>
      <c r="D6" s="9" t="n">
        <v>-4335</v>
      </c>
      <c r="E6" s="9" t="n">
        <v>-796</v>
      </c>
      <c r="F6" s="9" t="n">
        <v>-591</v>
      </c>
      <c r="G6" s="9" t="n">
        <v>-212</v>
      </c>
      <c r="H6" s="9" t="n">
        <v>-796</v>
      </c>
      <c r="I6" s="8" t="n">
        <v>591</v>
      </c>
      <c r="J6" s="9" t="n">
        <v>-7</v>
      </c>
      <c r="K6" s="7" t="inlineStr">
        <is>
          <t>主要是推广前利润下降</t>
        </is>
      </c>
    </row>
    <row r="7">
      <c r="A7" s="7" t="inlineStr">
        <is>
          <t>649014937782</t>
        </is>
      </c>
      <c r="B7" s="7" t="inlineStr">
        <is>
          <t>原味大包</t>
        </is>
      </c>
      <c r="C7" s="7" t="inlineStr">
        <is>
          <t>indomie印尼进口营多原味大大包129g捞面方便面速食食品宵夜小吃</t>
        </is>
      </c>
      <c r="D7" s="9" t="n">
        <v>-1200</v>
      </c>
      <c r="E7" s="9" t="n">
        <v>-256</v>
      </c>
      <c r="F7" s="9" t="n">
        <v>-86</v>
      </c>
      <c r="G7" s="9" t="n">
        <v>-172</v>
      </c>
      <c r="H7" s="9" t="n">
        <v>-256</v>
      </c>
      <c r="I7" s="8" t="n">
        <v>86</v>
      </c>
      <c r="J7" s="9" t="n">
        <v>-2</v>
      </c>
      <c r="K7" s="7" t="inlineStr">
        <is>
          <t>主要是推广前利润下降</t>
        </is>
      </c>
    </row>
    <row r="8">
      <c r="A8" s="7" t="inlineStr">
        <is>
          <t>648598580775</t>
        </is>
      </c>
      <c r="B8" s="7" t="inlineStr">
        <is>
          <t>原味大包</t>
        </is>
      </c>
      <c r="C8" s="7" t="inlineStr">
        <is>
          <t>印尼进口大大包营多原味捞面5包干拌面速食超大包方便面速食宵夜</t>
        </is>
      </c>
      <c r="D8" s="9" t="n">
        <v>-1472</v>
      </c>
      <c r="E8" s="9" t="n">
        <v>-287</v>
      </c>
      <c r="F8" s="9" t="n">
        <v>-139</v>
      </c>
      <c r="G8" s="9" t="n">
        <v>-144</v>
      </c>
      <c r="H8" s="9" t="n">
        <v>-287</v>
      </c>
      <c r="I8" s="8" t="n">
        <v>139</v>
      </c>
      <c r="J8" s="8" t="n">
        <v>4</v>
      </c>
      <c r="K8" s="7" t="inlineStr">
        <is>
          <t>主要是推广前利润下降</t>
        </is>
      </c>
    </row>
    <row r="9">
      <c r="A9" s="7" t="inlineStr">
        <is>
          <t>735014804839</t>
        </is>
      </c>
      <c r="B9" s="7" t="inlineStr">
        <is>
          <t>24/30包</t>
        </is>
      </c>
      <c r="C9" s="7" t="inlineStr">
        <is>
          <t>进口营多捞面多口味Indomie网红方便面干拌面泡面30包整箱批发面</t>
        </is>
      </c>
      <c r="D9" s="9" t="n">
        <v>-1278</v>
      </c>
      <c r="E9" s="9" t="n">
        <v>-237</v>
      </c>
      <c r="F9" s="9" t="n">
        <v>-105</v>
      </c>
      <c r="G9" s="9" t="n">
        <v>-131</v>
      </c>
      <c r="H9" s="9" t="n">
        <v>-237</v>
      </c>
      <c r="I9" s="8" t="n">
        <v>105</v>
      </c>
      <c r="J9" s="8" t="n">
        <v>1</v>
      </c>
      <c r="K9" s="7" t="inlineStr">
        <is>
          <t>主要是推广前利润下降</t>
        </is>
      </c>
    </row>
    <row r="10">
      <c r="A10" s="7" t="inlineStr">
        <is>
          <t>766165464414</t>
        </is>
      </c>
      <c r="B10" s="7" t="inlineStr">
        <is>
          <t>12包</t>
        </is>
      </c>
      <c r="C10" s="7" t="inlineStr">
        <is>
          <t>营多印尼进口营多捞面方便面火鸡面干拌面12包宿舍速食泡面夜宵</t>
        </is>
      </c>
      <c r="D10" s="9" t="n">
        <v>-858</v>
      </c>
      <c r="E10" s="9" t="n">
        <v>-154</v>
      </c>
      <c r="F10" s="9" t="n">
        <v>-49</v>
      </c>
      <c r="G10" s="9" t="n">
        <v>-96</v>
      </c>
      <c r="H10" s="9" t="n">
        <v>-154</v>
      </c>
      <c r="I10" s="8" t="n">
        <v>49</v>
      </c>
      <c r="J10" s="8" t="n">
        <v>9</v>
      </c>
      <c r="K10" s="7" t="inlineStr">
        <is>
          <t>主要是推广前利润下降</t>
        </is>
      </c>
    </row>
    <row r="11">
      <c r="A11" s="7" t="inlineStr">
        <is>
          <t>1013887677295</t>
        </is>
      </c>
      <c r="B11" s="7" t="inlineStr">
        <is>
          <t>原味大包</t>
        </is>
      </c>
      <c r="C11" s="7" t="inlineStr">
        <is>
          <t>indomie印尼进口营多原味大大包129g捞面方便面速食食品宵夜小吃</t>
        </is>
      </c>
      <c r="D11" s="9" t="n">
        <v>-613</v>
      </c>
      <c r="E11" s="9" t="n">
        <v>-54</v>
      </c>
      <c r="F11" s="8" t="n">
        <v>54</v>
      </c>
      <c r="G11" s="9" t="n">
        <v>-96</v>
      </c>
      <c r="H11" s="9" t="n">
        <v>-54</v>
      </c>
      <c r="I11" s="9" t="n">
        <v>-54</v>
      </c>
      <c r="J11" s="8" t="n">
        <v>12</v>
      </c>
      <c r="K11" s="7" t="inlineStr">
        <is>
          <t>推广前利润下降 + 推广费上升（双因）</t>
        </is>
      </c>
    </row>
    <row r="12">
      <c r="A12" s="7" t="inlineStr">
        <is>
          <t>1057479227624</t>
        </is>
      </c>
      <c r="B12" s="7" t="inlineStr">
        <is>
          <t>巴东牛肉</t>
        </is>
      </c>
      <c r="C12" s="7" t="inlineStr">
        <is>
          <t>【新口味】印尼进口营多捞面巴东炖牛肉味泡面方便面宿舍速食宵夜</t>
        </is>
      </c>
      <c r="D12" s="8" t="n">
        <v>929</v>
      </c>
      <c r="E12" s="8" t="n">
        <v>136</v>
      </c>
      <c r="F12" s="8" t="n">
        <v>131</v>
      </c>
      <c r="G12" s="9" t="n">
        <v>-21</v>
      </c>
      <c r="H12" s="8" t="n">
        <v>136</v>
      </c>
      <c r="I12" s="9" t="n">
        <v>-131</v>
      </c>
      <c r="J12" s="9" t="n">
        <v>-26</v>
      </c>
      <c r="K12" s="7" t="inlineStr">
        <is>
          <t>主要是推广费上升</t>
        </is>
      </c>
    </row>
    <row r="13">
      <c r="A13" s="7" t="inlineStr">
        <is>
          <t>869217868453</t>
        </is>
      </c>
      <c r="B13" s="7" t="inlineStr">
        <is>
          <t>韩式杯面</t>
        </is>
      </c>
      <c r="C13" s="7" t="inlineStr">
        <is>
          <t>营多捞面韩式甜辣炸鸡辣蘑菇杯面方便面拌面泡面宿舍速食面</t>
        </is>
      </c>
      <c r="D13" s="9" t="n">
        <v>-79</v>
      </c>
      <c r="E13" s="9" t="n">
        <v>-14</v>
      </c>
      <c r="F13" s="8" t="n">
        <v>7</v>
      </c>
      <c r="G13" s="9" t="n">
        <v>-21</v>
      </c>
      <c r="H13" s="9" t="n">
        <v>-14</v>
      </c>
      <c r="I13" s="9" t="n">
        <v>-7</v>
      </c>
      <c r="J13" s="21" t="n">
        <v>0</v>
      </c>
      <c r="K13" s="7" t="inlineStr">
        <is>
          <t>主要是推广前利润下降</t>
        </is>
      </c>
    </row>
    <row r="14">
      <c r="A14" s="7" t="inlineStr">
        <is>
          <t>932687928859</t>
        </is>
      </c>
      <c r="B14" s="7" t="inlineStr">
        <is>
          <t>8包组合</t>
        </is>
      </c>
      <c r="C14" s="7" t="inlineStr">
        <is>
          <t>营多捞面八口味袋装泡面拌面速食面干拌面方便面宿舍宵夜速食家用</t>
        </is>
      </c>
      <c r="D14" s="9" t="n">
        <v>-81</v>
      </c>
      <c r="E14" s="9" t="n">
        <v>-12</v>
      </c>
      <c r="F14" s="8" t="n">
        <v>1</v>
      </c>
      <c r="G14" s="9" t="n">
        <v>-12</v>
      </c>
      <c r="H14" s="9" t="n">
        <v>-12</v>
      </c>
      <c r="I14" s="9" t="n">
        <v>-1</v>
      </c>
      <c r="J14" s="8" t="n">
        <v>1</v>
      </c>
      <c r="K14" s="7" t="inlineStr">
        <is>
          <t>主要是推广前利润下降</t>
        </is>
      </c>
    </row>
    <row r="15">
      <c r="A15" s="7" t="inlineStr">
        <is>
          <t>937005385662</t>
        </is>
      </c>
      <c r="B15" s="7" t="inlineStr">
        <is>
          <t>日式袋面</t>
        </is>
      </c>
      <c r="C15" s="7" t="inlineStr">
        <is>
          <t>进口营多正品捞面日式鸡肉鸡汤辛辣味袋装泡面辣味速食方便面汤面</t>
        </is>
      </c>
      <c r="D15" s="8" t="n">
        <v>77</v>
      </c>
      <c r="E15" s="8" t="n">
        <v>15</v>
      </c>
      <c r="F15" s="8" t="n">
        <v>25</v>
      </c>
      <c r="G15" s="9" t="n">
        <v>-10</v>
      </c>
      <c r="H15" s="8" t="n">
        <v>15</v>
      </c>
      <c r="I15" s="9" t="n">
        <v>-25</v>
      </c>
      <c r="J15" s="21" t="n">
        <v>0</v>
      </c>
      <c r="K15" s="7" t="inlineStr">
        <is>
          <t>主要是推广费上升</t>
        </is>
      </c>
    </row>
    <row r="16">
      <c r="A16" s="7" t="inlineStr">
        <is>
          <t>648604228786</t>
        </is>
      </c>
      <c r="B16" s="7" t="inlineStr">
        <is>
          <t>杯面混搭</t>
        </is>
      </c>
      <c r="C16" s="7" t="inlineStr">
        <is>
          <t>INDOMIE营多日式杯面原味经典泡面整箱批发速食宿舍旅行宵夜宿舍</t>
        </is>
      </c>
      <c r="D16" s="9" t="n">
        <v>-110</v>
      </c>
      <c r="E16" s="9" t="n">
        <v>-14</v>
      </c>
      <c r="F16" s="9" t="n">
        <v>-6</v>
      </c>
      <c r="G16" s="9" t="n">
        <v>-7</v>
      </c>
      <c r="H16" s="9" t="n">
        <v>-14</v>
      </c>
      <c r="I16" s="8" t="n">
        <v>6</v>
      </c>
      <c r="J16" s="8" t="n">
        <v>1</v>
      </c>
      <c r="K16" s="7" t="inlineStr">
        <is>
          <t>主要是推广前利润下降</t>
        </is>
      </c>
    </row>
    <row r="17">
      <c r="A17" s="7" t="inlineStr">
        <is>
          <t>976467954327</t>
        </is>
      </c>
      <c r="B17" s="7" t="inlineStr">
        <is>
          <t>日韩杯面</t>
        </is>
      </c>
      <c r="C17" s="7" t="inlineStr">
        <is>
          <t>【天猫U选】indomie营多捞面辣蘑菇味日式辣味杯面</t>
        </is>
      </c>
      <c r="D17" s="8" t="n">
        <v>19</v>
      </c>
      <c r="E17" s="9" t="n">
        <v>-3</v>
      </c>
      <c r="F17" s="8" t="n">
        <v>2</v>
      </c>
      <c r="G17" s="9" t="n">
        <v>-6</v>
      </c>
      <c r="H17" s="9" t="n">
        <v>-3</v>
      </c>
      <c r="I17" s="9" t="n">
        <v>-2</v>
      </c>
      <c r="J17" s="9" t="n">
        <v>-1</v>
      </c>
      <c r="K17" s="7" t="inlineStr">
        <is>
          <t>主要是推广前利润下降</t>
        </is>
      </c>
    </row>
    <row r="18">
      <c r="A18" s="7" t="inlineStr">
        <is>
          <t>976466902934</t>
        </is>
      </c>
      <c r="B18" s="7" t="inlineStr">
        <is>
          <t>【U选】日式原杯1+日式辣杯1</t>
        </is>
      </c>
      <c r="C18" s="7" t="inlineStr">
        <is>
          <t>【天猫U选】indomie营多捞面辣火鸡味日式鸡肉原味杯面</t>
        </is>
      </c>
      <c r="D18" s="8" t="n">
        <v>22</v>
      </c>
      <c r="E18" s="9" t="n">
        <v>-1</v>
      </c>
      <c r="F18" s="8" t="n">
        <v>2</v>
      </c>
      <c r="G18" s="9" t="n">
        <v>-4</v>
      </c>
      <c r="H18" s="9" t="n">
        <v>-1</v>
      </c>
      <c r="I18" s="9" t="n">
        <v>-2</v>
      </c>
      <c r="J18" s="9" t="n">
        <v>-1</v>
      </c>
      <c r="K18" s="7" t="inlineStr">
        <is>
          <t>主要是推广费上升</t>
        </is>
      </c>
    </row>
    <row r="19">
      <c r="A19" s="7" t="inlineStr">
        <is>
          <t>649731447266</t>
        </is>
      </c>
      <c r="B19" s="7" t="inlineStr">
        <is>
          <t>20包经典/牛系列</t>
        </is>
      </c>
      <c r="C19" s="7" t="inlineStr">
        <is>
          <t>营多印尼进口营多捞面方便面火鸡面干拌面20包宿舍速食泡面夜宵</t>
        </is>
      </c>
      <c r="D19" s="9" t="n">
        <v>-46</v>
      </c>
      <c r="E19" s="9" t="n">
        <v>-9</v>
      </c>
      <c r="F19" s="9" t="n">
        <v>-7</v>
      </c>
      <c r="G19" s="9" t="n">
        <v>-2</v>
      </c>
      <c r="H19" s="9" t="n">
        <v>-9</v>
      </c>
      <c r="I19" s="8" t="n">
        <v>7</v>
      </c>
      <c r="J19" s="21" t="n">
        <v>0</v>
      </c>
      <c r="K19" s="7" t="inlineStr">
        <is>
          <t>主要是推广前利润下降</t>
        </is>
      </c>
    </row>
    <row r="20">
      <c r="A20" s="7" t="inlineStr">
        <is>
          <t>885645733215</t>
        </is>
      </c>
      <c r="B20" s="7" t="inlineStr">
        <is>
          <t>大骨牛肉</t>
        </is>
      </c>
      <c r="C20" s="7" t="inlineStr">
        <is>
          <t>进口营多大骨番茄牛肉味营多捞面意式泡面宿舍宿舍宵夜速食方便面</t>
        </is>
      </c>
      <c r="D20" s="8" t="n">
        <v>122</v>
      </c>
      <c r="E20" s="8" t="n">
        <v>15</v>
      </c>
      <c r="F20" s="8" t="n">
        <v>14</v>
      </c>
      <c r="G20" s="9" t="n">
        <v>-2</v>
      </c>
      <c r="H20" s="8" t="n">
        <v>15</v>
      </c>
      <c r="I20" s="9" t="n">
        <v>-14</v>
      </c>
      <c r="J20" s="9" t="n">
        <v>-3</v>
      </c>
      <c r="K20" s="7" t="inlineStr">
        <is>
          <t>主要是推广费上升</t>
        </is>
      </c>
    </row>
    <row r="21">
      <c r="A21" s="7" t="inlineStr">
        <is>
          <t>898076297965</t>
        </is>
      </c>
      <c r="B21" s="7" t="inlineStr">
        <is>
          <t>番茄牛肉</t>
        </is>
      </c>
      <c r="C21" s="7" t="inlineStr">
        <is>
          <t>进口正品意面风味奶香番茄牛肉味意式拌面营多捞面早餐儿童宝妈餐</t>
        </is>
      </c>
      <c r="D21" s="9" t="n">
        <v>-40</v>
      </c>
      <c r="E21" s="9" t="n">
        <v>-4</v>
      </c>
      <c r="F21" s="9" t="n">
        <v>-4</v>
      </c>
      <c r="G21" s="9" t="n">
        <v>-1</v>
      </c>
      <c r="H21" s="9" t="n">
        <v>-4</v>
      </c>
      <c r="I21" s="8" t="n">
        <v>4</v>
      </c>
      <c r="J21" s="9" t="n">
        <v>-1</v>
      </c>
      <c r="K21" s="7" t="inlineStr">
        <is>
          <t>主要是推广前利润下降</t>
        </is>
      </c>
    </row>
    <row r="22">
      <c r="A22" s="7" t="inlineStr">
        <is>
          <t>1060999732877</t>
        </is>
      </c>
      <c r="B22" s="7" t="inlineStr">
        <is>
          <t>原味大包</t>
        </is>
      </c>
      <c r="C22" s="7" t="inlineStr">
        <is>
          <t>indomie印尼进口营多原味大大包129g捞面方便面速食食品宵夜小吃</t>
        </is>
      </c>
      <c r="D22" s="8" t="n">
        <v>58</v>
      </c>
      <c r="E22" s="8" t="n">
        <v>26</v>
      </c>
      <c r="F22" s="8" t="n">
        <v>22</v>
      </c>
      <c r="G22" s="21" t="n">
        <v>0</v>
      </c>
      <c r="H22" s="8" t="n">
        <v>26</v>
      </c>
      <c r="I22" s="9" t="n">
        <v>-22</v>
      </c>
      <c r="J22" s="9" t="n">
        <v>-4</v>
      </c>
      <c r="K22" s="7" t="inlineStr">
        <is>
          <t>本期改善/持平</t>
        </is>
      </c>
    </row>
    <row r="23">
      <c r="A23" s="7" t="inlineStr">
        <is>
          <t>886856687067</t>
        </is>
      </c>
      <c r="B23" s="7" t="inlineStr">
        <is>
          <t>大骨</t>
        </is>
      </c>
      <c r="C23" s="7" t="inlineStr">
        <is>
          <t>营多捞面牛系列大骨牛肉味方便面食品泡面拉面汤面宿舍宵夜旅行</t>
        </is>
      </c>
      <c r="D23" s="8" t="n">
        <v>91</v>
      </c>
      <c r="E23" s="8" t="n">
        <v>11</v>
      </c>
      <c r="F23" s="8" t="n">
        <v>8</v>
      </c>
      <c r="G23" s="8" t="n">
        <v>1</v>
      </c>
      <c r="H23" s="8" t="n">
        <v>11</v>
      </c>
      <c r="I23" s="9" t="n">
        <v>-8</v>
      </c>
      <c r="J23" s="9" t="n">
        <v>-2</v>
      </c>
      <c r="K23" s="7" t="inlineStr">
        <is>
          <t>本期改善/持平</t>
        </is>
      </c>
    </row>
    <row r="24">
      <c r="A24" s="7" t="inlineStr">
        <is>
          <t>969433743398</t>
        </is>
      </c>
      <c r="B24" s="7" t="inlineStr">
        <is>
          <t>韩蘑菇</t>
        </is>
      </c>
      <c r="C24" s="7" t="inlineStr">
        <is>
          <t>新品营多捞面韩式辣蘑菇汤面泡面方便面速食干拌面宿舍宵夜旅行</t>
        </is>
      </c>
      <c r="D24" s="8" t="n">
        <v>46</v>
      </c>
      <c r="E24" s="8" t="n">
        <v>8</v>
      </c>
      <c r="F24" s="8" t="n">
        <v>4</v>
      </c>
      <c r="G24" s="8" t="n">
        <v>4</v>
      </c>
      <c r="H24" s="8" t="n">
        <v>8</v>
      </c>
      <c r="I24" s="9" t="n">
        <v>-4</v>
      </c>
      <c r="J24" s="21" t="n">
        <v>0</v>
      </c>
      <c r="K24" s="7" t="inlineStr">
        <is>
          <t>本期改善/持平</t>
        </is>
      </c>
    </row>
    <row r="25">
      <c r="A25" s="7" t="inlineStr">
        <is>
          <t>744317232690</t>
        </is>
      </c>
      <c r="B25" s="7" t="inlineStr">
        <is>
          <t>多规格</t>
        </is>
      </c>
      <c r="C25" s="7" t="inlineStr">
        <is>
          <t>营多捞面汤面清香牛肉味方便面泡面速食食品泡面拉面整箱旅行宿舍</t>
        </is>
      </c>
      <c r="D25" s="8" t="n">
        <v>177</v>
      </c>
      <c r="E25" s="8" t="n">
        <v>21</v>
      </c>
      <c r="F25" s="8" t="n">
        <v>9</v>
      </c>
      <c r="G25" s="8" t="n">
        <v>6</v>
      </c>
      <c r="H25" s="8" t="n">
        <v>21</v>
      </c>
      <c r="I25" s="9" t="n">
        <v>-9</v>
      </c>
      <c r="J25" s="9" t="n">
        <v>-6</v>
      </c>
      <c r="K25" s="7" t="inlineStr">
        <is>
          <t>本期改善/持平</t>
        </is>
      </c>
    </row>
    <row r="26">
      <c r="A26" s="7" t="inlineStr">
        <is>
          <t>929504658691</t>
        </is>
      </c>
      <c r="B26" s="7" t="inlineStr">
        <is>
          <t>巴东牛肉</t>
        </is>
      </c>
      <c r="C26" s="7" t="inlineStr">
        <is>
          <t>营多进口新口味巴东炖牛肉味捞面印尼料理方便面泡面捞面夜宵速食</t>
        </is>
      </c>
      <c r="D26" s="9" t="n">
        <v>-104</v>
      </c>
      <c r="E26" s="9" t="n">
        <v>-20</v>
      </c>
      <c r="F26" s="9" t="n">
        <v>-30</v>
      </c>
      <c r="G26" s="8" t="n">
        <v>8</v>
      </c>
      <c r="H26" s="9" t="n">
        <v>-20</v>
      </c>
      <c r="I26" s="8" t="n">
        <v>30</v>
      </c>
      <c r="J26" s="9" t="n">
        <v>-2</v>
      </c>
      <c r="K26" s="7" t="inlineStr">
        <is>
          <t>本期改善/持平</t>
        </is>
      </c>
    </row>
    <row r="27">
      <c r="A27" s="7" t="inlineStr">
        <is>
          <t>903183018417</t>
        </is>
      </c>
      <c r="B27" s="7" t="inlineStr">
        <is>
          <t>杯面混搭</t>
        </is>
      </c>
      <c r="C27" s="7" t="inlineStr">
        <is>
          <t>印尼进口营多捞面杯面原味甜辣蘑菇味整箱速食拌面拉面泡面方便面</t>
        </is>
      </c>
      <c r="D27" s="8" t="n">
        <v>5</v>
      </c>
      <c r="E27" s="8" t="n">
        <v>4</v>
      </c>
      <c r="F27" s="9" t="n">
        <v>-10</v>
      </c>
      <c r="G27" s="8" t="n">
        <v>13</v>
      </c>
      <c r="H27" s="8" t="n">
        <v>4</v>
      </c>
      <c r="I27" s="8" t="n">
        <v>10</v>
      </c>
      <c r="J27" s="9" t="n">
        <v>-1</v>
      </c>
      <c r="K27" s="7" t="inlineStr">
        <is>
          <t>本期改善/持平</t>
        </is>
      </c>
    </row>
    <row r="28">
      <c r="A28" s="7" t="inlineStr">
        <is>
          <t>969423151512</t>
        </is>
      </c>
      <c r="B28" s="7" t="inlineStr">
        <is>
          <t>日韩混搭</t>
        </is>
      </c>
      <c r="C28" s="7" t="inlineStr">
        <is>
          <t>营多捞面甜辣炸鸡火鸡面辣蘑菇泡面方便面速食干拌面宿舍宵夜旅行</t>
        </is>
      </c>
      <c r="D28" s="8" t="n">
        <v>209</v>
      </c>
      <c r="E28" s="8" t="n">
        <v>50</v>
      </c>
      <c r="F28" s="8" t="n">
        <v>29</v>
      </c>
      <c r="G28" s="8" t="n">
        <v>15</v>
      </c>
      <c r="H28" s="8" t="n">
        <v>50</v>
      </c>
      <c r="I28" s="9" t="n">
        <v>-29</v>
      </c>
      <c r="J28" s="9" t="n">
        <v>-6</v>
      </c>
      <c r="K28" s="7" t="inlineStr">
        <is>
          <t>本期改善/持平</t>
        </is>
      </c>
    </row>
    <row r="29">
      <c r="A29" s="7" t="inlineStr">
        <is>
          <t>1059563993918</t>
        </is>
      </c>
      <c r="B29" s="7" t="inlineStr">
        <is>
          <t>巴东牛肉</t>
        </is>
      </c>
      <c r="C29" s="7" t="inlineStr">
        <is>
          <t>营多进口新口味巴东炖牛肉味捞面印尼料理方便面泡面捞面夜宵速食</t>
        </is>
      </c>
      <c r="D29" s="9" t="n">
        <v>-145</v>
      </c>
      <c r="E29" s="9" t="n">
        <v>-19</v>
      </c>
      <c r="F29" s="9" t="n">
        <v>-42</v>
      </c>
      <c r="G29" s="8" t="n">
        <v>22</v>
      </c>
      <c r="H29" s="9" t="n">
        <v>-19</v>
      </c>
      <c r="I29" s="8" t="n">
        <v>42</v>
      </c>
      <c r="J29" s="9" t="n">
        <v>-1</v>
      </c>
      <c r="K29" s="7" t="inlineStr">
        <is>
          <t>本期改善/持平</t>
        </is>
      </c>
    </row>
    <row r="30">
      <c r="A30" s="7" t="inlineStr">
        <is>
          <t>976479938842</t>
        </is>
      </c>
      <c r="B30" s="7" t="inlineStr">
        <is>
          <t>杯面混搭</t>
        </is>
      </c>
      <c r="C30" s="7" t="inlineStr">
        <is>
          <t>营多捞面韩式甜辣炸鸡辣蘑菇杯面方便面拌面泡面宿舍速食面</t>
        </is>
      </c>
      <c r="D30" s="9" t="n">
        <v>-67</v>
      </c>
      <c r="E30" s="8" t="n">
        <v>22</v>
      </c>
      <c r="F30" s="9" t="n">
        <v>-4</v>
      </c>
      <c r="G30" s="8" t="n">
        <v>28</v>
      </c>
      <c r="H30" s="8" t="n">
        <v>22</v>
      </c>
      <c r="I30" s="8" t="n">
        <v>4</v>
      </c>
      <c r="J30" s="8" t="n">
        <v>2</v>
      </c>
      <c r="K30" s="7" t="inlineStr">
        <is>
          <t>本期改善/持平</t>
        </is>
      </c>
    </row>
    <row r="31">
      <c r="A31" s="7" t="inlineStr">
        <is>
          <t>649735171438</t>
        </is>
      </c>
      <c r="B31" s="7" t="inlineStr">
        <is>
          <t>杯面主链接</t>
        </is>
      </c>
      <c r="C31" s="7" t="inlineStr">
        <is>
          <t>印尼进口indomie营多捞面杯面速食泡面干拌面盒桶装方便面火鸡面</t>
        </is>
      </c>
      <c r="D31" s="9" t="n">
        <v>-2877</v>
      </c>
      <c r="E31" s="9" t="n">
        <v>-375</v>
      </c>
      <c r="F31" s="9" t="n">
        <v>-432</v>
      </c>
      <c r="G31" s="8" t="n">
        <v>39</v>
      </c>
      <c r="H31" s="9" t="n">
        <v>-375</v>
      </c>
      <c r="I31" s="8" t="n">
        <v>432</v>
      </c>
      <c r="J31" s="9" t="n">
        <v>-18</v>
      </c>
      <c r="K31" s="7" t="inlineStr">
        <is>
          <t>本期改善/持平</t>
        </is>
      </c>
    </row>
    <row r="32">
      <c r="A32" s="7" t="inlineStr">
        <is>
          <t>971242260371</t>
        </is>
      </c>
      <c r="B32" s="7" t="inlineStr">
        <is>
          <t>韩式袋面</t>
        </is>
      </c>
      <c r="C32" s="7" t="inlineStr">
        <is>
          <t>新品营多捞面韩式辣蘑菇汤面泡面方便面速食干拌面宿舍宵夜旅行</t>
        </is>
      </c>
      <c r="D32" s="8" t="n">
        <v>14</v>
      </c>
      <c r="E32" s="9" t="n">
        <v>-8</v>
      </c>
      <c r="F32" s="9" t="n">
        <v>-54</v>
      </c>
      <c r="G32" s="8" t="n">
        <v>43</v>
      </c>
      <c r="H32" s="9" t="n">
        <v>-8</v>
      </c>
      <c r="I32" s="8" t="n">
        <v>54</v>
      </c>
      <c r="J32" s="9" t="n">
        <v>-3</v>
      </c>
      <c r="K32" s="7" t="inlineStr">
        <is>
          <t>本期改善/持平</t>
        </is>
      </c>
    </row>
    <row r="33">
      <c r="A33" s="7" t="inlineStr">
        <is>
          <t>648681860568</t>
        </is>
      </c>
      <c r="B33" s="7" t="inlineStr">
        <is>
          <t>杯面次链接</t>
        </is>
      </c>
      <c r="C33" s="7" t="inlineStr">
        <is>
          <t>营多捞面杯装方便面泡面速食干拌面原味整箱批发印尼进口桶装拌面</t>
        </is>
      </c>
      <c r="D33" s="9" t="n">
        <v>-49</v>
      </c>
      <c r="E33" s="9" t="n">
        <v>-42</v>
      </c>
      <c r="F33" s="9" t="n">
        <v>-102</v>
      </c>
      <c r="G33" s="8" t="n">
        <v>50</v>
      </c>
      <c r="H33" s="9" t="n">
        <v>-42</v>
      </c>
      <c r="I33" s="8" t="n">
        <v>102</v>
      </c>
      <c r="J33" s="9" t="n">
        <v>-10</v>
      </c>
      <c r="K33" s="7" t="inlineStr">
        <is>
          <t>本期改善/持平</t>
        </is>
      </c>
    </row>
    <row r="34">
      <c r="A34" s="7" t="inlineStr">
        <is>
          <t>649361890551</t>
        </is>
      </c>
      <c r="B34" s="7" t="inlineStr">
        <is>
          <t>袋面次链接</t>
        </is>
      </c>
      <c r="C34" s="7" t="inlineStr">
        <is>
          <t>营多捞面印尼进口Indomie网红夜宵早餐方便面火鸡面泡面拌面</t>
        </is>
      </c>
      <c r="D34" s="9" t="n">
        <v>-3684</v>
      </c>
      <c r="E34" s="9" t="n">
        <v>-341</v>
      </c>
      <c r="F34" s="9" t="n">
        <v>-436</v>
      </c>
      <c r="G34" s="8" t="n">
        <v>102</v>
      </c>
      <c r="H34" s="9" t="n">
        <v>-341</v>
      </c>
      <c r="I34" s="8" t="n">
        <v>436</v>
      </c>
      <c r="J34" s="8" t="n">
        <v>7</v>
      </c>
      <c r="K34" s="7" t="inlineStr">
        <is>
          <t>本期改善/持平</t>
        </is>
      </c>
    </row>
    <row r="35">
      <c r="A35" s="7" t="inlineStr">
        <is>
          <t>1058280415678</t>
        </is>
      </c>
      <c r="B35" s="7" t="inlineStr">
        <is>
          <t>巴东牛肉</t>
        </is>
      </c>
      <c r="C35" s="7" t="inlineStr">
        <is>
          <t>【新口味】印尼进口营多捞面巴东炖牛肉味泡面方便面宿舍速食宵夜</t>
        </is>
      </c>
      <c r="D35" s="8" t="n">
        <v>1269</v>
      </c>
      <c r="E35" s="8" t="n">
        <v>316</v>
      </c>
      <c r="F35" s="8" t="n">
        <v>184</v>
      </c>
      <c r="G35" s="8" t="n">
        <v>115</v>
      </c>
      <c r="H35" s="8" t="n">
        <v>316</v>
      </c>
      <c r="I35" s="9" t="n">
        <v>-184</v>
      </c>
      <c r="J35" s="9" t="n">
        <v>-17</v>
      </c>
      <c r="K35" s="7" t="inlineStr">
        <is>
          <t>本期改善/持平</t>
        </is>
      </c>
    </row>
  </sheetData>
  <autoFilter ref="A3:K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s="20" t="inlineStr">
        <is>
          <t>主亏ID多周轨迹</t>
        </is>
      </c>
    </row>
    <row r="3">
      <c r="A3" s="22" t="inlineStr">
        <is>
          <t>668566625747｜袋面主链接｜印尼营多捞面进口网红泡面袋装方便面速食食品拉面火鸡面拌面整箱</t>
        </is>
      </c>
    </row>
    <row r="4">
      <c r="A4" s="4" t="inlineStr">
        <is>
          <t>周次</t>
        </is>
      </c>
      <c r="B4" s="4" t="inlineStr">
        <is>
          <t>成交金额</t>
        </is>
      </c>
      <c r="C4" s="4" t="inlineStr">
        <is>
          <t>推广前净利润</t>
        </is>
      </c>
      <c r="D4" s="4" t="inlineStr">
        <is>
          <t>推广花费</t>
        </is>
      </c>
      <c r="E4" s="4" t="inlineStr">
        <is>
          <t>推广后净利润</t>
        </is>
      </c>
    </row>
    <row r="5">
      <c r="A5" s="7" t="inlineStr">
        <is>
          <t>5.11-5.17</t>
        </is>
      </c>
      <c r="B5" s="8" t="n">
        <v>31186</v>
      </c>
      <c r="C5" s="8" t="n">
        <v>4205</v>
      </c>
      <c r="D5" s="8" t="n">
        <v>5635</v>
      </c>
      <c r="E5" s="9" t="n">
        <v>-1370</v>
      </c>
    </row>
    <row r="6">
      <c r="A6" s="7" t="inlineStr">
        <is>
          <t>5.25-5.31</t>
        </is>
      </c>
      <c r="B6" s="8" t="n">
        <v>44845</v>
      </c>
      <c r="C6" s="8" t="n">
        <v>5986</v>
      </c>
      <c r="D6" s="8" t="n">
        <v>7910</v>
      </c>
      <c r="E6" s="9" t="n">
        <v>-2056</v>
      </c>
    </row>
    <row r="7">
      <c r="A7" s="7" t="inlineStr">
        <is>
          <t>6.15-6.21</t>
        </is>
      </c>
      <c r="B7" s="8" t="n">
        <v>30426</v>
      </c>
      <c r="C7" s="8" t="n">
        <v>4056</v>
      </c>
      <c r="D7" s="8" t="n">
        <v>4650</v>
      </c>
      <c r="E7" s="9" t="n">
        <v>-950</v>
      </c>
    </row>
    <row r="8">
      <c r="A8" s="7" t="inlineStr">
        <is>
          <t>6.22-6.28</t>
        </is>
      </c>
      <c r="B8" s="8" t="n">
        <v>25765</v>
      </c>
      <c r="C8" s="8" t="n">
        <v>3382</v>
      </c>
      <c r="D8" s="8" t="n">
        <v>4403</v>
      </c>
      <c r="E8" s="9" t="n">
        <v>-1396</v>
      </c>
    </row>
    <row r="9">
      <c r="A9" s="7" t="inlineStr">
        <is>
          <t>6.29-7.5</t>
        </is>
      </c>
      <c r="B9" s="8" t="n">
        <v>26236</v>
      </c>
      <c r="C9" s="8" t="n">
        <v>3647</v>
      </c>
      <c r="D9" s="8" t="n">
        <v>4371</v>
      </c>
      <c r="E9" s="9" t="n">
        <v>-1032</v>
      </c>
    </row>
    <row r="10">
      <c r="A10" s="14" t="inlineStr">
        <is>
          <t>7.6-7.12</t>
        </is>
      </c>
      <c r="B10" s="15" t="n">
        <v>40189</v>
      </c>
      <c r="C10" s="15" t="n">
        <v>5395</v>
      </c>
      <c r="D10" s="15" t="n">
        <v>5943</v>
      </c>
      <c r="E10" s="16" t="n">
        <v>-911</v>
      </c>
    </row>
    <row r="11">
      <c r="A11" s="14" t="inlineStr">
        <is>
          <t>7.13-7.19</t>
        </is>
      </c>
      <c r="B11" s="15" t="n">
        <v>36984</v>
      </c>
      <c r="C11" s="15" t="n">
        <v>4798</v>
      </c>
      <c r="D11" s="15" t="n">
        <v>5810</v>
      </c>
      <c r="E11" s="16" t="n">
        <v>-1578</v>
      </c>
    </row>
    <row r="12">
      <c r="A12" s="14" t="inlineStr">
        <is>
          <t>7.20-7.26</t>
        </is>
      </c>
      <c r="B12" s="15" t="n">
        <v>35490</v>
      </c>
      <c r="C12" s="15" t="n">
        <v>4655</v>
      </c>
      <c r="D12" s="15" t="n">
        <v>5656</v>
      </c>
      <c r="E12" s="16" t="n">
        <v>-1452</v>
      </c>
    </row>
    <row r="15">
      <c r="A15" s="22" t="inlineStr">
        <is>
          <t>649361890551｜袋面次链接｜营多捞面印尼进口Indomie网红夜宵早餐方便面火鸡面泡面拌面</t>
        </is>
      </c>
    </row>
    <row r="16">
      <c r="A16" s="4" t="inlineStr">
        <is>
          <t>周次</t>
        </is>
      </c>
      <c r="B16" s="4" t="inlineStr">
        <is>
          <t>成交金额</t>
        </is>
      </c>
      <c r="C16" s="4" t="inlineStr">
        <is>
          <t>推广前净利润</t>
        </is>
      </c>
      <c r="D16" s="4" t="inlineStr">
        <is>
          <t>推广花费</t>
        </is>
      </c>
      <c r="E16" s="4" t="inlineStr">
        <is>
          <t>推广后净利润</t>
        </is>
      </c>
    </row>
    <row r="17">
      <c r="A17" s="7" t="inlineStr">
        <is>
          <t>5.11-5.17</t>
        </is>
      </c>
      <c r="B17" s="8" t="n">
        <v>28857</v>
      </c>
      <c r="C17" s="8" t="n">
        <v>2533</v>
      </c>
      <c r="D17" s="8" t="n">
        <v>5704</v>
      </c>
      <c r="E17" s="9" t="n">
        <v>-3173</v>
      </c>
    </row>
    <row r="18">
      <c r="A18" s="7" t="inlineStr">
        <is>
          <t>5.25-5.31</t>
        </is>
      </c>
      <c r="B18" s="8" t="n">
        <v>21166</v>
      </c>
      <c r="C18" s="8" t="n">
        <v>1883</v>
      </c>
      <c r="D18" s="8" t="n">
        <v>4307</v>
      </c>
      <c r="E18" s="9" t="n">
        <v>-2546</v>
      </c>
    </row>
    <row r="19">
      <c r="A19" s="7" t="inlineStr">
        <is>
          <t>6.15-6.21</t>
        </is>
      </c>
      <c r="B19" s="8" t="n">
        <v>24398</v>
      </c>
      <c r="C19" s="8" t="n">
        <v>2294</v>
      </c>
      <c r="D19" s="8" t="n">
        <v>5214</v>
      </c>
      <c r="E19" s="9" t="n">
        <v>-3313</v>
      </c>
    </row>
    <row r="20">
      <c r="A20" s="7" t="inlineStr">
        <is>
          <t>6.22-6.28</t>
        </is>
      </c>
      <c r="B20" s="8" t="n">
        <v>16506</v>
      </c>
      <c r="C20" s="8" t="n">
        <v>1488</v>
      </c>
      <c r="D20" s="8" t="n">
        <v>3235</v>
      </c>
      <c r="E20" s="9" t="n">
        <v>-2104</v>
      </c>
    </row>
    <row r="21">
      <c r="A21" s="7" t="inlineStr">
        <is>
          <t>6.29-7.5</t>
        </is>
      </c>
      <c r="B21" s="8" t="n">
        <v>18111</v>
      </c>
      <c r="C21" s="8" t="n">
        <v>1782</v>
      </c>
      <c r="D21" s="8" t="n">
        <v>3150</v>
      </c>
      <c r="E21" s="9" t="n">
        <v>-1690</v>
      </c>
    </row>
    <row r="22">
      <c r="A22" s="14" t="inlineStr">
        <is>
          <t>7.6-7.12</t>
        </is>
      </c>
      <c r="B22" s="15" t="n">
        <v>19322</v>
      </c>
      <c r="C22" s="15" t="n">
        <v>1830</v>
      </c>
      <c r="D22" s="15" t="n">
        <v>3386</v>
      </c>
      <c r="E22" s="16" t="n">
        <v>-1808</v>
      </c>
    </row>
    <row r="23">
      <c r="A23" s="14" t="inlineStr">
        <is>
          <t>7.13-7.19</t>
        </is>
      </c>
      <c r="B23" s="15" t="n">
        <v>14292</v>
      </c>
      <c r="C23" s="15" t="n">
        <v>1294</v>
      </c>
      <c r="D23" s="15" t="n">
        <v>2421</v>
      </c>
      <c r="E23" s="16" t="n">
        <v>-1447</v>
      </c>
    </row>
    <row r="24">
      <c r="A24" s="14" t="inlineStr">
        <is>
          <t>7.20-7.26</t>
        </is>
      </c>
      <c r="B24" s="15" t="n">
        <v>15638</v>
      </c>
      <c r="C24" s="15" t="n">
        <v>1489</v>
      </c>
      <c r="D24" s="15" t="n">
        <v>2950</v>
      </c>
      <c r="E24" s="16" t="n">
        <v>-1706</v>
      </c>
    </row>
    <row r="27">
      <c r="A27" s="22" t="inlineStr">
        <is>
          <t>649735171438｜杯面主链接｜印尼进口indomie营多捞面杯面速食泡面干拌面盒桶装方便面火鸡面</t>
        </is>
      </c>
    </row>
    <row r="28">
      <c r="A28" s="4" t="inlineStr">
        <is>
          <t>周次</t>
        </is>
      </c>
      <c r="B28" s="4" t="inlineStr">
        <is>
          <t>成交金额</t>
        </is>
      </c>
      <c r="C28" s="4" t="inlineStr">
        <is>
          <t>推广前净利润</t>
        </is>
      </c>
      <c r="D28" s="4" t="inlineStr">
        <is>
          <t>推广花费</t>
        </is>
      </c>
      <c r="E28" s="4" t="inlineStr">
        <is>
          <t>推广后净利润</t>
        </is>
      </c>
    </row>
    <row r="29">
      <c r="A29" s="7" t="inlineStr">
        <is>
          <t>5.11-5.17</t>
        </is>
      </c>
      <c r="B29" s="8" t="n">
        <v>20500</v>
      </c>
      <c r="C29" s="8" t="n">
        <v>2324</v>
      </c>
      <c r="D29" s="8" t="n">
        <v>3512</v>
      </c>
      <c r="E29" s="9" t="n">
        <v>-1160</v>
      </c>
    </row>
    <row r="30">
      <c r="A30" s="7" t="inlineStr">
        <is>
          <t>5.25-5.31</t>
        </is>
      </c>
      <c r="B30" s="8" t="n">
        <v>20489</v>
      </c>
      <c r="C30" s="8" t="n">
        <v>2210</v>
      </c>
      <c r="D30" s="8" t="n">
        <v>3434</v>
      </c>
      <c r="E30" s="9" t="n">
        <v>-1292</v>
      </c>
    </row>
    <row r="31">
      <c r="A31" s="7" t="inlineStr">
        <is>
          <t>6.15-6.21</t>
        </is>
      </c>
      <c r="B31" s="8" t="n">
        <v>13688</v>
      </c>
      <c r="C31" s="8" t="n">
        <v>1555</v>
      </c>
      <c r="D31" s="8" t="n">
        <v>2964</v>
      </c>
      <c r="E31" s="9" t="n">
        <v>-1523</v>
      </c>
    </row>
    <row r="32">
      <c r="A32" s="7" t="inlineStr">
        <is>
          <t>6.22-6.28</t>
        </is>
      </c>
      <c r="B32" s="8" t="n">
        <v>14641</v>
      </c>
      <c r="C32" s="8" t="n">
        <v>1627</v>
      </c>
      <c r="D32" s="8" t="n">
        <v>2891</v>
      </c>
      <c r="E32" s="9" t="n">
        <v>-1456</v>
      </c>
    </row>
    <row r="33">
      <c r="A33" s="7" t="inlineStr">
        <is>
          <t>6.29-7.5</t>
        </is>
      </c>
      <c r="B33" s="8" t="n">
        <v>14324</v>
      </c>
      <c r="C33" s="8" t="n">
        <v>1645</v>
      </c>
      <c r="D33" s="8" t="n">
        <v>2648</v>
      </c>
      <c r="E33" s="9" t="n">
        <v>-1143</v>
      </c>
    </row>
    <row r="34">
      <c r="A34" s="14" t="inlineStr">
        <is>
          <t>7.6-7.12</t>
        </is>
      </c>
      <c r="B34" s="15" t="n">
        <v>16136</v>
      </c>
      <c r="C34" s="15" t="n">
        <v>1823</v>
      </c>
      <c r="D34" s="15" t="n">
        <v>2731</v>
      </c>
      <c r="E34" s="16" t="n">
        <v>-1024</v>
      </c>
    </row>
    <row r="35">
      <c r="A35" s="14" t="inlineStr">
        <is>
          <t>7.13-7.19</t>
        </is>
      </c>
      <c r="B35" s="15" t="n">
        <v>13725</v>
      </c>
      <c r="C35" s="15" t="n">
        <v>1545</v>
      </c>
      <c r="D35" s="15" t="n">
        <v>2323</v>
      </c>
      <c r="E35" s="16" t="n">
        <v>-963</v>
      </c>
    </row>
    <row r="36">
      <c r="A36" s="14" t="inlineStr">
        <is>
          <t>7.20-7.26</t>
        </is>
      </c>
      <c r="B36" s="15" t="n">
        <v>13259</v>
      </c>
      <c r="C36" s="15" t="n">
        <v>1448</v>
      </c>
      <c r="D36" s="15" t="n">
        <v>2299</v>
      </c>
      <c r="E36" s="16" t="n">
        <v>-985</v>
      </c>
    </row>
    <row r="39">
      <c r="A39" s="22" t="inlineStr">
        <is>
          <t>648600900806｜30包｜进口营多捞面一整箱30包网红速食方便面宿舍速食泡面干拌面拉面</t>
        </is>
      </c>
    </row>
    <row r="40">
      <c r="A40" s="4" t="inlineStr">
        <is>
          <t>周次</t>
        </is>
      </c>
      <c r="B40" s="4" t="inlineStr">
        <is>
          <t>成交金额</t>
        </is>
      </c>
      <c r="C40" s="4" t="inlineStr">
        <is>
          <t>推广前净利润</t>
        </is>
      </c>
      <c r="D40" s="4" t="inlineStr">
        <is>
          <t>推广花费</t>
        </is>
      </c>
      <c r="E40" s="4" t="inlineStr">
        <is>
          <t>推广后净利润</t>
        </is>
      </c>
    </row>
    <row r="41">
      <c r="A41" s="7" t="inlineStr">
        <is>
          <t>5.11-5.17</t>
        </is>
      </c>
      <c r="B41" s="8" t="n">
        <v>10600</v>
      </c>
      <c r="C41" s="8" t="n">
        <v>2022</v>
      </c>
      <c r="D41" s="8" t="n">
        <v>2103</v>
      </c>
      <c r="E41" s="8" t="n">
        <v>5</v>
      </c>
    </row>
    <row r="42">
      <c r="A42" s="7" t="inlineStr">
        <is>
          <t>5.25-5.31</t>
        </is>
      </c>
      <c r="B42" s="8" t="n">
        <v>10637</v>
      </c>
      <c r="C42" s="8" t="n">
        <v>2055</v>
      </c>
      <c r="D42" s="8" t="n">
        <v>2199</v>
      </c>
      <c r="E42" s="9" t="n">
        <v>-69</v>
      </c>
    </row>
    <row r="43">
      <c r="A43" s="7" t="inlineStr">
        <is>
          <t>6.15-6.21</t>
        </is>
      </c>
      <c r="B43" s="8" t="n">
        <v>9519</v>
      </c>
      <c r="C43" s="8" t="n">
        <v>1772</v>
      </c>
      <c r="D43" s="8" t="n">
        <v>1999</v>
      </c>
      <c r="E43" s="9" t="n">
        <v>-187</v>
      </c>
    </row>
    <row r="44">
      <c r="A44" s="7" t="inlineStr">
        <is>
          <t>6.22-6.28</t>
        </is>
      </c>
      <c r="B44" s="8" t="n">
        <v>8217</v>
      </c>
      <c r="C44" s="8" t="n">
        <v>1595</v>
      </c>
      <c r="D44" s="8" t="n">
        <v>1887</v>
      </c>
      <c r="E44" s="9" t="n">
        <v>-257</v>
      </c>
    </row>
    <row r="45">
      <c r="A45" s="7" t="inlineStr">
        <is>
          <t>6.29-7.5</t>
        </is>
      </c>
      <c r="B45" s="8" t="n">
        <v>6511</v>
      </c>
      <c r="C45" s="8" t="n">
        <v>1249</v>
      </c>
      <c r="D45" s="8" t="n">
        <v>1427</v>
      </c>
      <c r="E45" s="9" t="n">
        <v>-148</v>
      </c>
    </row>
    <row r="46">
      <c r="A46" s="14" t="inlineStr">
        <is>
          <t>7.6-7.12</t>
        </is>
      </c>
      <c r="B46" s="15" t="n">
        <v>10040</v>
      </c>
      <c r="C46" s="15" t="n">
        <v>1833</v>
      </c>
      <c r="D46" s="15" t="n">
        <v>1831</v>
      </c>
      <c r="E46" s="15" t="n">
        <v>41</v>
      </c>
    </row>
    <row r="47">
      <c r="A47" s="14" t="inlineStr">
        <is>
          <t>7.13-7.19</t>
        </is>
      </c>
      <c r="B47" s="15" t="n">
        <v>6834</v>
      </c>
      <c r="C47" s="15" t="n">
        <v>1246</v>
      </c>
      <c r="D47" s="15" t="n">
        <v>1472</v>
      </c>
      <c r="E47" s="16" t="n">
        <v>-202</v>
      </c>
    </row>
    <row r="48">
      <c r="A48" s="14" t="inlineStr">
        <is>
          <t>7.20-7.26</t>
        </is>
      </c>
      <c r="B48" s="15" t="n">
        <v>6719</v>
      </c>
      <c r="C48" s="15" t="n">
        <v>1276</v>
      </c>
      <c r="D48" s="15" t="n">
        <v>1784</v>
      </c>
      <c r="E48" s="16" t="n">
        <v>-453</v>
      </c>
    </row>
    <row r="51">
      <c r="A51" s="22" t="inlineStr">
        <is>
          <t>1057479227624｜巴东牛肉｜【新口味】印尼进口营多捞面巴东炖牛肉味泡面方便面宿舍速食宵夜</t>
        </is>
      </c>
    </row>
    <row r="52">
      <c r="A52" s="4" t="inlineStr">
        <is>
          <t>周次</t>
        </is>
      </c>
      <c r="B52" s="4" t="inlineStr">
        <is>
          <t>成交金额</t>
        </is>
      </c>
      <c r="C52" s="4" t="inlineStr">
        <is>
          <t>推广前净利润</t>
        </is>
      </c>
      <c r="D52" s="4" t="inlineStr">
        <is>
          <t>推广花费</t>
        </is>
      </c>
      <c r="E52" s="4" t="inlineStr">
        <is>
          <t>推广后净利润</t>
        </is>
      </c>
    </row>
    <row r="53">
      <c r="A53" s="7" t="inlineStr">
        <is>
          <t>6.22-6.28</t>
        </is>
      </c>
      <c r="B53" s="8" t="n">
        <v>831</v>
      </c>
      <c r="C53" s="8" t="n">
        <v>97</v>
      </c>
      <c r="D53" s="8" t="n">
        <v>270</v>
      </c>
      <c r="E53" s="9" t="n">
        <v>-185</v>
      </c>
    </row>
    <row r="54">
      <c r="A54" s="7" t="inlineStr">
        <is>
          <t>6.29-7.5</t>
        </is>
      </c>
      <c r="B54" s="8" t="n">
        <v>1951</v>
      </c>
      <c r="C54" s="8" t="n">
        <v>219</v>
      </c>
      <c r="D54" s="8" t="n">
        <v>670</v>
      </c>
      <c r="E54" s="9" t="n">
        <v>-469</v>
      </c>
    </row>
    <row r="55">
      <c r="A55" s="14" t="inlineStr">
        <is>
          <t>7.6-7.12</t>
        </is>
      </c>
      <c r="B55" s="15" t="n">
        <v>2371</v>
      </c>
      <c r="C55" s="15" t="n">
        <v>257</v>
      </c>
      <c r="D55" s="15" t="n">
        <v>907</v>
      </c>
      <c r="E55" s="16" t="n">
        <v>-657</v>
      </c>
    </row>
    <row r="56">
      <c r="A56" s="14" t="inlineStr">
        <is>
          <t>7.13-7.19</t>
        </is>
      </c>
      <c r="B56" s="15" t="n">
        <v>2425</v>
      </c>
      <c r="C56" s="15" t="n">
        <v>251</v>
      </c>
      <c r="D56" s="15" t="n">
        <v>892</v>
      </c>
      <c r="E56" s="16" t="n">
        <v>-674</v>
      </c>
    </row>
    <row r="57">
      <c r="A57" s="14" t="inlineStr">
        <is>
          <t>7.20-7.26</t>
        </is>
      </c>
      <c r="B57" s="15" t="n">
        <v>3300</v>
      </c>
      <c r="C57" s="15" t="n">
        <v>393</v>
      </c>
      <c r="D57" s="15" t="n">
        <v>1038</v>
      </c>
      <c r="E57" s="16" t="n">
        <v>-678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90" customWidth="1" min="2" max="2"/>
  </cols>
  <sheetData>
    <row r="1">
      <c r="A1" s="20" t="inlineStr">
        <is>
          <t>口径与阅读说明</t>
        </is>
      </c>
    </row>
    <row r="3">
      <c r="A3" s="4" t="inlineStr">
        <is>
          <t>项目</t>
        </is>
      </c>
      <c r="B3" s="4" t="inlineStr">
        <is>
          <t>说明</t>
        </is>
      </c>
    </row>
    <row r="4" ht="36" customHeight="1">
      <c r="A4" s="23" t="inlineStr">
        <is>
          <t>指标</t>
        </is>
      </c>
      <c r="B4" s="5" t="inlineStr">
        <is>
          <t>默认以净利润(推广后)衡量利润；并用净利润(推广前)、推广总花费拆解下降原因。</t>
        </is>
      </c>
    </row>
    <row r="5" ht="36" customHeight="1">
      <c r="A5" s="23" t="inlineStr">
        <is>
          <t>拆解公式</t>
        </is>
      </c>
      <c r="B5" s="5" t="inlineStr">
        <is>
          <t>推广后变化 ≈ 推广前变化 − 推广花费变化（存在少量其他费用/口径差）。</t>
        </is>
      </c>
    </row>
    <row r="6" ht="36" customHeight="1">
      <c r="A6" s="23" t="inlineStr">
        <is>
          <t>主因规则</t>
        </is>
      </c>
      <c r="B6" s="5" t="inlineStr">
        <is>
          <t>恶化周内：推广前下降贡献显著大于推广费上升 → 推广前利润下降；反之 → 推广费上升；接近则双因。</t>
        </is>
      </c>
    </row>
    <row r="7" ht="36" customHeight="1">
      <c r="A7" s="23" t="inlineStr">
        <is>
          <t>数据周</t>
        </is>
      </c>
      <c r="B7" s="5" t="inlineStr">
        <is>
          <t>已纳入单周7.20-7.26；旧文件7.20-8.2为两周合计，本报告主趋势不采用。</t>
        </is>
      </c>
    </row>
    <row r="8" ht="36" customHeight="1">
      <c r="A8" s="23" t="inlineStr">
        <is>
          <t>文件修正</t>
        </is>
      </c>
      <c r="B8" s="5" t="inlineStr">
        <is>
          <t>天猫ID周损益_7.6-7.12.csv 日期列曾误标为6.29-7.5，分析按文件名纠正。</t>
        </is>
      </c>
    </row>
    <row r="9" ht="36" customHeight="1">
      <c r="A9" s="23" t="inlineStr">
        <is>
          <t>缺失</t>
        </is>
      </c>
      <c r="B9" s="5" t="inlineStr">
        <is>
          <t>仍缺部分历史周（如5.18-5.24等），长周期仅作参考。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2026-08-12T04:42:59Z</dcterms:created>
  <dcterms:modified xsi:type="dcterms:W3CDTF">2026-08-12T04:43:00Z</dcterms:modified>
</cp:coreProperties>
</file>