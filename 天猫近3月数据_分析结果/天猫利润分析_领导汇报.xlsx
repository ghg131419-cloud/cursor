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领导一页纸" sheetId="1" state="visible" r:id="rId1"/>
    <sheet name="02-推广后利率变化" sheetId="2" state="visible" r:id="rId2"/>
    <sheet name="02-主亏ID与原因" sheetId="3" state="visible" r:id="rId3"/>
    <sheet name="03-近周阶段归因" sheetId="4" state="visible" r:id="rId4"/>
    <sheet name="04-规格搭配（推广前）" sheetId="5" state="visible" r:id="rId5"/>
    <sheet name="05-口径说明" sheetId="6" state="visible" r:id="rId6"/>
    <sheet name="06-全量ID每周净利润" sheetId="7" state="visible" r:id="rId7"/>
    <sheet name="06b-全量ID每周后利率" sheetId="8" state="visible" r:id="rId8"/>
    <sheet name="07-数据源1" sheetId="9" state="visible" r:id="rId9"/>
    <sheet name="08-周报其他费用" sheetId="10" state="visible" r:id="rId10"/>
  </sheets>
  <definedNames>
    <definedName name="_xlnm._FilterDatabase" localSheetId="6" hidden="1">'06-全量ID每周净利润'!$A$4:$M$56</definedName>
    <definedName name="_xlnm._FilterDatabase" localSheetId="7" hidden="1">'06b-全量ID每周后利率'!$A$4:$N$56</definedName>
    <definedName name="_xlnm._FilterDatabase" localSheetId="8" hidden="1">'07-数据源1'!$A$2:$AD$346</definedName>
  </definedNames>
  <calcPr calcId="124519" fullCalcOnLoad="1"/>
</workbook>
</file>

<file path=xl/styles.xml><?xml version="1.0" encoding="utf-8"?>
<styleSheet xmlns="http://schemas.openxmlformats.org/spreadsheetml/2006/main">
  <numFmts count="2">
    <numFmt numFmtId="164" formatCode="0.0%"/>
    <numFmt numFmtId="165" formatCode="0_);[Red]\(0\)"/>
  </numFmts>
  <fonts count="15">
    <font>
      <name val="Calibri"/>
      <family val="2"/>
      <color theme="1"/>
      <sz val="11"/>
      <scheme val="minor"/>
    </font>
    <font>
      <name val="微软雅黑"/>
      <b val="1"/>
      <color rgb="001F4E79"/>
      <sz val="16"/>
    </font>
    <font>
      <name val="微软雅黑"/>
      <color rgb="00666666"/>
      <sz val="9"/>
    </font>
    <font>
      <name val="微软雅黑"/>
      <b val="1"/>
      <color rgb="001F4E79"/>
      <sz val="12"/>
    </font>
    <font>
      <name val="微软雅黑"/>
      <b val="1"/>
      <sz val="10"/>
    </font>
    <font>
      <name val="微软雅黑"/>
      <b val="1"/>
      <color rgb="00FFFFFF"/>
      <sz val="10"/>
    </font>
    <font>
      <name val="微软雅黑"/>
      <sz val="10"/>
    </font>
    <font>
      <name val="Consolas"/>
      <sz val="10"/>
    </font>
    <font>
      <name val="Consolas"/>
      <color rgb="00C00000"/>
      <sz val="10"/>
    </font>
    <font>
      <name val="微软雅黑"/>
      <b val="1"/>
      <color rgb="001F4E79"/>
      <sz val="14"/>
    </font>
    <font>
      <name val="微软雅黑"/>
      <color rgb="00666666"/>
      <sz val="8"/>
    </font>
    <font>
      <name val="微软雅黑"/>
      <b val="1"/>
      <color rgb="00FFFFFF"/>
      <sz val="9"/>
    </font>
    <font>
      <name val="微软雅黑"/>
      <sz val="9"/>
    </font>
    <font>
      <name val="Consolas"/>
      <color rgb="00C00000"/>
      <sz val="9"/>
    </font>
    <font>
      <name val="Consolas"/>
      <sz val="9"/>
    </font>
  </fonts>
  <fills count="8">
    <fill>
      <patternFill/>
    </fill>
    <fill>
      <patternFill patternType="gray125"/>
    </fill>
    <fill>
      <patternFill patternType="solid">
        <fgColor rgb="00FFF2CC"/>
      </patternFill>
    </fill>
    <fill>
      <patternFill patternType="solid">
        <fgColor rgb="001F4E79"/>
      </patternFill>
    </fill>
    <fill>
      <patternFill patternType="solid">
        <fgColor rgb="00DDEBF7"/>
      </patternFill>
    </fill>
    <fill>
      <patternFill patternType="solid">
        <fgColor rgb="00E2EFDA"/>
      </patternFill>
    </fill>
    <fill>
      <patternFill patternType="solid">
        <fgColor rgb="00FCE4D6"/>
      </patternFill>
    </fill>
    <fill>
      <patternFill patternType="solid">
        <fgColor rgb="00F2F2F2"/>
      </patternFill>
    </fill>
  </fills>
  <borders count="6">
    <border>
      <left/>
      <right/>
      <top/>
      <bottom/>
      <diagonal/>
    </border>
    <border>
      <left style="thin">
        <color rgb="00D0D5DD"/>
      </left>
      <right style="thin">
        <color rgb="00D0D5DD"/>
      </right>
      <top style="thin">
        <color rgb="00D0D5DD"/>
      </top>
      <bottom style="thin">
        <color rgb="00D0D5DD"/>
      </bottom>
    </border>
    <border>
      <left/>
      <right/>
      <top style="thin">
        <color rgb="00D0D5DD"/>
      </top>
      <bottom/>
      <diagonal/>
    </border>
    <border>
      <left/>
      <right style="thin">
        <color rgb="00D0D5DD"/>
      </right>
      <top style="thin">
        <color rgb="00D0D5DD"/>
      </top>
      <bottom/>
      <diagonal/>
    </border>
    <border>
      <left/>
      <right/>
      <top style="thin">
        <color rgb="00D0D5DD"/>
      </top>
      <bottom style="thin">
        <color rgb="00D0D5DD"/>
      </bottom>
      <diagonal/>
    </border>
    <border>
      <left/>
      <right style="thin">
        <color rgb="00D0D5DD"/>
      </right>
      <top style="thin">
        <color rgb="00D0D5DD"/>
      </top>
      <bottom style="thin">
        <color rgb="00D0D5DD"/>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3" borderId="1" applyAlignment="1" pivotButton="0" quotePrefix="0" xfId="0">
      <alignment horizontal="center" vertical="center" wrapText="1"/>
    </xf>
    <xf numFmtId="0" fontId="4" fillId="0" borderId="1" applyAlignment="1" pivotButton="0" quotePrefix="0" xfId="0">
      <alignment vertical="center"/>
    </xf>
    <xf numFmtId="0" fontId="6" fillId="0" borderId="1" applyAlignment="1" pivotButton="0" quotePrefix="0" xfId="0">
      <alignment vertical="center" wrapText="1"/>
    </xf>
    <xf numFmtId="0" fontId="0" fillId="0" borderId="4" pivotButton="0" quotePrefix="0" xfId="0"/>
    <xf numFmtId="0" fontId="0" fillId="0" borderId="5" pivotButton="0" quotePrefix="0" xfId="0"/>
    <xf numFmtId="0" fontId="6" fillId="4" borderId="1" applyAlignment="1" pivotButton="0" quotePrefix="0" xfId="0">
      <alignment vertical="center" wrapText="1"/>
    </xf>
    <xf numFmtId="0" fontId="6" fillId="0" borderId="1" applyAlignment="1" pivotButton="0" quotePrefix="0" xfId="0">
      <alignment vertical="center"/>
    </xf>
    <xf numFmtId="3" fontId="7" fillId="0" borderId="1" pivotButton="0" quotePrefix="0" xfId="0"/>
    <xf numFmtId="3" fontId="7" fillId="2" borderId="1" pivotButton="0" quotePrefix="0" xfId="0"/>
    <xf numFmtId="3" fontId="8" fillId="0" borderId="1" pivotButton="0" quotePrefix="0" xfId="0"/>
    <xf numFmtId="0" fontId="6" fillId="5" borderId="1" applyAlignment="1" pivotButton="0" quotePrefix="0" xfId="0">
      <alignment vertical="center"/>
    </xf>
    <xf numFmtId="0" fontId="6" fillId="6" borderId="1" applyAlignment="1" pivotButton="0" quotePrefix="0" xfId="0">
      <alignment vertical="center"/>
    </xf>
    <xf numFmtId="0" fontId="6" fillId="2" borderId="1" applyAlignment="1" pivotButton="0" quotePrefix="0" xfId="0">
      <alignment vertical="center"/>
    </xf>
    <xf numFmtId="164" fontId="7" fillId="0" borderId="1" pivotButton="0" quotePrefix="0" xfId="0"/>
    <xf numFmtId="0" fontId="6" fillId="2" borderId="1" applyAlignment="1" pivotButton="0" quotePrefix="0" xfId="0">
      <alignment vertical="center" wrapText="1"/>
    </xf>
    <xf numFmtId="0" fontId="6" fillId="6" borderId="1" applyAlignment="1" pivotButton="0" quotePrefix="0" xfId="0">
      <alignment vertical="center" wrapText="1"/>
    </xf>
    <xf numFmtId="0" fontId="6" fillId="7" borderId="1" applyAlignment="1" pivotButton="0" quotePrefix="0" xfId="0">
      <alignment vertical="center" wrapText="1"/>
    </xf>
    <xf numFmtId="0" fontId="4" fillId="2" borderId="0" pivotButton="0" quotePrefix="0" xfId="0"/>
    <xf numFmtId="0" fontId="6" fillId="0" borderId="0" pivotButton="0" quotePrefix="0" xfId="0"/>
    <xf numFmtId="0" fontId="9" fillId="0" borderId="0" pivotButton="0" quotePrefix="0" xfId="0"/>
    <xf numFmtId="0" fontId="10" fillId="0" borderId="0" pivotButton="0" quotePrefix="0" xfId="0"/>
    <xf numFmtId="0" fontId="11" fillId="3" borderId="1" applyAlignment="1" pivotButton="0" quotePrefix="0" xfId="0">
      <alignment horizontal="center" vertical="center" wrapText="1"/>
    </xf>
    <xf numFmtId="0" fontId="12" fillId="0" borderId="1" pivotButton="0" quotePrefix="0" xfId="0"/>
    <xf numFmtId="4" fontId="13" fillId="0" borderId="1" pivotButton="0" quotePrefix="0" xfId="0"/>
    <xf numFmtId="4" fontId="14" fillId="2" borderId="1" pivotButton="0" quotePrefix="0" xfId="0"/>
    <xf numFmtId="4" fontId="13" fillId="2" borderId="1" pivotButton="0" quotePrefix="0" xfId="0"/>
    <xf numFmtId="4" fontId="14" fillId="0" borderId="1" pivotButton="0" quotePrefix="0" xfId="0"/>
    <xf numFmtId="0" fontId="9" fillId="0" borderId="1" pivotButton="0" quotePrefix="0" xfId="0"/>
    <xf numFmtId="165" fontId="11" fillId="3" borderId="1" applyAlignment="1" pivotButton="0" quotePrefix="0" xfId="0">
      <alignment horizontal="center" vertical="center" wrapText="1"/>
    </xf>
    <xf numFmtId="165" fontId="14" fillId="0" borderId="1" pivotButton="0" quotePrefix="0" xfId="0"/>
    <xf numFmtId="4" fontId="12" fillId="0" borderId="1" pivotButton="0" quotePrefix="0" xfId="0"/>
    <xf numFmtId="0" fontId="14" fillId="0" borderId="1" pivotButton="0" quotePrefix="0" xfId="0"/>
    <xf numFmtId="10" fontId="14" fillId="0" borderId="1" pivotButton="0" quotePrefix="0" xfId="0"/>
    <xf numFmtId="2" fontId="12" fillId="0" borderId="1" pivotButton="0" quotePrefix="0" xfId="0"/>
    <xf numFmtId="10" fontId="12" fillId="0" borderId="1" pivotButton="0" quotePrefix="0" xfId="0"/>
    <xf numFmtId="0" fontId="11" fillId="3" borderId="1" pivotButton="0" quotePrefix="0" xfId="0"/>
    <xf numFmtId="0" fontId="6" fillId="0" borderId="1" applyAlignment="1" pivotButton="0" quotePrefix="0" xfId="0">
      <alignment wrapText="1"/>
    </xf>
    <xf numFmtId="0" fontId="12" fillId="0" borderId="1" applyAlignment="1" pivotButton="0" quotePrefix="0" xfId="0">
      <alignment vertical="center"/>
    </xf>
    <xf numFmtId="3" fontId="14" fillId="0" borderId="1" pivotButton="0" quotePrefix="0" xfId="0"/>
    <xf numFmtId="3" fontId="14" fillId="2" borderId="1" pivotButton="0" quotePrefix="0" xfId="0"/>
    <xf numFmtId="3" fontId="13" fillId="0" borderId="1" pivotButton="0" quotePrefix="0" xfId="0"/>
    <xf numFmtId="10" fontId="13" fillId="0" borderId="1" applyAlignment="1" pivotButton="0" quotePrefix="0" xfId="0">
      <alignment vertical="center"/>
    </xf>
    <xf numFmtId="10" fontId="13" fillId="0" borderId="1" pivotButton="0" quotePrefix="0" xfId="0"/>
    <xf numFmtId="2" fontId="14" fillId="0" borderId="1" applyAlignment="1" pivotButton="0" quotePrefix="0" xfId="0">
      <alignment vertical="center"/>
    </xf>
    <xf numFmtId="0" fontId="12" fillId="5" borderId="1" applyAlignment="1" pivotButton="0" quotePrefix="0" xfId="0">
      <alignment vertical="center"/>
    </xf>
    <xf numFmtId="2" fontId="13" fillId="0" borderId="1" applyAlignment="1" pivotButton="0" quotePrefix="0" xfId="0">
      <alignment vertical="center"/>
    </xf>
    <xf numFmtId="0" fontId="12" fillId="2" borderId="1" applyAlignment="1" pivotButton="0" quotePrefix="0" xfId="0">
      <alignment vertical="center"/>
    </xf>
    <xf numFmtId="0" fontId="12" fillId="2" borderId="1" applyAlignment="1" pivotButton="0" quotePrefix="0" xfId="0">
      <alignment vertical="center" wrapText="1"/>
    </xf>
    <xf numFmtId="0" fontId="12" fillId="0" borderId="1" applyAlignment="1" pivotButton="0" quotePrefix="0" xfId="0">
      <alignment vertical="center" wrapText="1"/>
    </xf>
    <xf numFmtId="2" fontId="14" fillId="0" borderId="1" pivotButton="0" quotePrefix="0" xfId="0"/>
    <xf numFmtId="2" fontId="13" fillId="0" borderId="1" pivotButton="0" quotePrefix="0" xfId="0"/>
    <xf numFmtId="0" fontId="4" fillId="0" borderId="0" pivotButton="0" quotePrefix="0" xfId="0"/>
    <xf numFmtId="2" fontId="13" fillId="2" borderId="1" pivotButton="0" quotePrefix="0" xfId="0"/>
    <xf numFmtId="0" fontId="12" fillId="6" borderId="1" applyAlignment="1" pivotButton="0" quotePrefix="0" xfId="0">
      <alignment vertical="center"/>
    </xf>
    <xf numFmtId="0" fontId="12" fillId="0" borderId="0" pivotButton="0" quotePrefix="0" xfId="0"/>
    <xf numFmtId="2" fontId="14" fillId="2" borderId="1" pivotButton="0" quotePrefix="0" xfId="0"/>
    <xf numFmtId="0" fontId="11" fillId="3"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t>推广后利润周趋势</a:t>
            </a:r>
          </a:p>
        </rich>
      </tx>
    </title>
    <plotArea>
      <lineChart>
        <grouping val="standard"/>
        <ser>
          <idx val="0"/>
          <order val="0"/>
          <tx>
            <strRef>
              <f>'01-领导一页纸'!F24</f>
            </strRef>
          </tx>
          <spPr>
            <a:ln>
              <a:prstDash val="solid"/>
            </a:ln>
          </spPr>
          <marker>
            <symbol val="none"/>
            <spPr>
              <a:ln>
                <a:prstDash val="solid"/>
              </a:ln>
            </spPr>
          </marker>
          <cat>
            <numRef>
              <f>'01-领导一页纸'!$A$25:$A$33</f>
            </numRef>
          </cat>
          <val>
            <numRef>
              <f>'01-领导一页纸'!$F$25:$F$33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推广后利率周趋势</a:t>
            </a:r>
          </a:p>
        </rich>
      </tx>
    </title>
    <plotArea>
      <lineChart>
        <grouping val="standard"/>
        <ser>
          <idx val="0"/>
          <order val="0"/>
          <tx>
            <strRef>
              <f>'02-推广后利率变化'!H11</f>
            </strRef>
          </tx>
          <spPr>
            <a:ln>
              <a:prstDash val="solid"/>
            </a:ln>
          </spPr>
          <marker>
            <symbol val="none"/>
            <spPr>
              <a:ln>
                <a:prstDash val="solid"/>
              </a:ln>
            </spPr>
          </marker>
          <cat>
            <numRef>
              <f>'02-推广后利率变化'!$A$12:$A$20</f>
            </numRef>
          </cat>
          <val>
            <numRef>
              <f>'02-推广后利率变化'!$H$12:$H$20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35</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I33"/>
  <sheetViews>
    <sheetView workbookViewId="0">
      <pane ySplit="24" topLeftCell="A2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8" customWidth="1" min="8" max="8"/>
  </cols>
  <sheetData>
    <row r="1">
      <c r="A1" s="1" t="inlineStr">
        <is>
          <t>天猫旗舰店利润分析 · 领导汇报</t>
        </is>
      </c>
    </row>
    <row r="2">
      <c r="A2" s="2" t="inlineStr">
        <is>
          <t>口径：ID周损益｜其他费用已按周报校准｜推广后=推广前-(推广花费+其他费用)/1.06｜周次：5.11–7.27</t>
        </is>
      </c>
    </row>
    <row r="4">
      <c r="A4" s="3" t="inlineStr">
        <is>
          <t>一、一句话结论</t>
        </is>
      </c>
    </row>
    <row r="5" ht="48" customHeight="1">
      <c r="A5" s="4" t="inlineStr">
        <is>
          <t>亏在大链接：袋面主链/次链 + 杯面主链贡献大部分亏损。不是整体降价，而是“量/规格结构掉 → 推广前掉”，以及局部“加投 → 费率吃利润”。大大包不是主因。</t>
        </is>
      </c>
    </row>
    <row r="7">
      <c r="A7" s="3" t="inlineStr">
        <is>
          <t>二、核心结论</t>
        </is>
      </c>
    </row>
    <row r="8" ht="26" customHeight="1">
      <c r="A8" s="5" t="inlineStr">
        <is>
          <t>序号</t>
        </is>
      </c>
      <c r="B8" s="5" t="inlineStr">
        <is>
          <t>结论</t>
        </is>
      </c>
    </row>
    <row r="9" ht="28" customHeight="1">
      <c r="A9" s="6" t="inlineStr">
        <is>
          <t>结论1</t>
        </is>
      </c>
      <c r="B9" s="7" t="inlineStr">
        <is>
          <t>近三个月ID口径持续亏损；最好一周是7.6-7.12（推广后约-4109），之后再度走弱。</t>
        </is>
      </c>
      <c r="C9" s="8" t="n"/>
      <c r="D9" s="8" t="n"/>
      <c r="E9" s="8" t="n"/>
      <c r="F9" s="8" t="n"/>
      <c r="G9" s="8" t="n"/>
      <c r="H9" s="9" t="n"/>
    </row>
    <row r="10" ht="28" customHeight="1">
      <c r="A10" s="6" t="inlineStr">
        <is>
          <t>结论2</t>
        </is>
      </c>
      <c r="B10" s="7" t="inlineStr">
        <is>
          <t>主亏ID：649361890551（袋面次）、668566625747（袋面主）、649735171438（杯面主）。三只链接贡献大部分亏损。</t>
        </is>
      </c>
      <c r="C10" s="8" t="n"/>
      <c r="D10" s="8" t="n"/>
      <c r="E10" s="8" t="n"/>
      <c r="F10" s="8" t="n"/>
      <c r="G10" s="8" t="n"/>
      <c r="H10" s="9" t="n"/>
    </row>
    <row r="11" ht="28" customHeight="1">
      <c r="A11" s="6" t="inlineStr">
        <is>
          <t>结论3</t>
        </is>
      </c>
      <c r="B11" s="41" t="inlineStr">
        <is>
          <t>原因要分段（看推广后利率）：7.6→7.13 主因推广前利率随量/结构下滑；7.13→7.20 主因推广费率上升（次链/30包加投）。</t>
        </is>
      </c>
      <c r="C11" s="8" t="n"/>
      <c r="D11" s="8" t="n"/>
      <c r="E11" s="8" t="n"/>
      <c r="F11" s="8" t="n"/>
      <c r="G11" s="8" t="n"/>
      <c r="H11" s="9" t="n"/>
    </row>
    <row r="12" ht="28" customHeight="1">
      <c r="A12" s="6" t="inlineStr">
        <is>
          <t>结论4</t>
        </is>
      </c>
      <c r="B12" s="7" t="inlineStr">
        <is>
          <t>价格不是主因：主链推广前利率大体稳定（主链~13%、次链~9%、杯面~11%），更像量与规格结构问题。</t>
        </is>
      </c>
      <c r="C12" s="8" t="n"/>
      <c r="D12" s="8" t="n"/>
      <c r="E12" s="8" t="n"/>
      <c r="F12" s="8" t="n"/>
      <c r="G12" s="8" t="n"/>
      <c r="H12" s="9" t="n"/>
    </row>
    <row r="13" ht="28" customHeight="1">
      <c r="A13" s="6" t="inlineStr">
        <is>
          <t>结论5</t>
        </is>
      </c>
      <c r="B13" s="7" t="inlineStr">
        <is>
          <t>巴东链接费率32%–38%，属于推广费过高型亏损，应减投/停投验证。</t>
        </is>
      </c>
      <c r="C13" s="8" t="n"/>
      <c r="D13" s="8" t="n"/>
      <c r="E13" s="8" t="n"/>
      <c r="F13" s="8" t="n"/>
      <c r="G13" s="8" t="n"/>
      <c r="H13" s="9" t="n"/>
    </row>
    <row r="14" ht="28" customHeight="1">
      <c r="A14" s="6" t="inlineStr">
        <is>
          <t>结论6</t>
        </is>
      </c>
      <c r="B14" s="7" t="inlineStr">
        <is>
          <t>大大包能补推广前，但加投后推广后常被侵蚀，不是本轮主亏源，严控加投即可。</t>
        </is>
      </c>
      <c r="C14" s="8" t="n"/>
      <c r="D14" s="8" t="n"/>
      <c r="E14" s="8" t="n"/>
      <c r="F14" s="8" t="n"/>
      <c r="G14" s="8" t="n"/>
      <c r="H14" s="9" t="n"/>
    </row>
    <row r="16">
      <c r="A16" s="3" t="inlineStr">
        <is>
          <t>三、请拍板（行动）</t>
        </is>
      </c>
    </row>
    <row r="17" ht="24" customHeight="1">
      <c r="A17" s="10" t="inlineStr">
        <is>
          <t>① 立刻复盘袋面主链接5747：成交与推广前为何掉——下钻到规格搭配（10包爆款/混搭）。</t>
        </is>
      </c>
      <c r="B17" s="8" t="n"/>
      <c r="C17" s="8" t="n"/>
      <c r="D17" s="8" t="n"/>
      <c r="E17" s="8" t="n"/>
      <c r="F17" s="8" t="n"/>
      <c r="G17" s="8" t="n"/>
      <c r="H17" s="9" t="n"/>
    </row>
    <row r="18" ht="24" customHeight="1">
      <c r="A18" s="10" t="inlineStr">
        <is>
          <t>② 压降袋面次链接0551、30包等低效花费，先把费率打下来（针对加投周）。</t>
        </is>
      </c>
      <c r="B18" s="8" t="n"/>
      <c r="C18" s="8" t="n"/>
      <c r="D18" s="8" t="n"/>
      <c r="E18" s="8" t="n"/>
      <c r="F18" s="8" t="n"/>
      <c r="G18" s="8" t="n"/>
      <c r="H18" s="9" t="n"/>
    </row>
    <row r="19" ht="24" customHeight="1">
      <c r="A19" s="10" t="inlineStr">
        <is>
          <t>③ 巴东链接减投/停投一周看结果（费率过高型）。</t>
        </is>
      </c>
      <c r="B19" s="8" t="n"/>
      <c r="C19" s="8" t="n"/>
      <c r="D19" s="8" t="n"/>
      <c r="E19" s="8" t="n"/>
      <c r="F19" s="8" t="n"/>
      <c r="G19" s="8" t="n"/>
      <c r="H19" s="9" t="n"/>
    </row>
    <row r="20" ht="24" customHeight="1">
      <c r="A20" s="10" t="inlineStr">
        <is>
          <t>④ 24/15/30包原味与头部混搭：用「链接×规格搭配」盯周利润，混搭上下架先评估冲击。</t>
        </is>
      </c>
      <c r="B20" s="8" t="n"/>
      <c r="C20" s="8" t="n"/>
      <c r="D20" s="8" t="n"/>
      <c r="E20" s="8" t="n"/>
      <c r="F20" s="8" t="n"/>
      <c r="G20" s="8" t="n"/>
      <c r="H20" s="9" t="n"/>
    </row>
    <row r="21" ht="24" customHeight="1">
      <c r="A21" s="10" t="inlineStr">
        <is>
          <t>⑤ 大大包保留自然量，严控加投侵蚀。</t>
        </is>
      </c>
      <c r="B21" s="8" t="n"/>
      <c r="C21" s="8" t="n"/>
      <c r="D21" s="8" t="n"/>
      <c r="E21" s="8" t="n"/>
      <c r="F21" s="8" t="n"/>
      <c r="G21" s="8" t="n"/>
      <c r="H21" s="9" t="n"/>
    </row>
    <row r="23">
      <c r="A23" s="3" t="inlineStr">
        <is>
          <t>四、周趋势速览（含推广后利率）</t>
        </is>
      </c>
    </row>
    <row r="24" ht="26" customHeight="1">
      <c r="A24" s="26" t="inlineStr">
        <is>
          <t>周次</t>
        </is>
      </c>
      <c r="B24" s="26" t="inlineStr">
        <is>
          <t>成交金额</t>
        </is>
      </c>
      <c r="C24" s="26" t="inlineStr">
        <is>
          <t>推广前利润</t>
        </is>
      </c>
      <c r="D24" s="26" t="inlineStr">
        <is>
          <t>推广花费</t>
        </is>
      </c>
      <c r="E24" s="26" t="inlineStr">
        <is>
          <t>其他费用</t>
        </is>
      </c>
      <c r="F24" s="26" t="inlineStr">
        <is>
          <t>推广后利润</t>
        </is>
      </c>
      <c r="G24" s="26" t="inlineStr">
        <is>
          <t>推广后利率</t>
        </is>
      </c>
      <c r="H24" s="26" t="inlineStr">
        <is>
          <t>利率环比(pp)</t>
        </is>
      </c>
      <c r="I24" s="26" t="inlineStr">
        <is>
          <t>主因(利率)</t>
        </is>
      </c>
    </row>
    <row r="25">
      <c r="A25" s="42" t="inlineStr">
        <is>
          <t>5.11-5.17</t>
        </is>
      </c>
      <c r="B25" s="43" t="n">
        <v>118254</v>
      </c>
      <c r="C25" s="43" t="n">
        <v>15585</v>
      </c>
      <c r="D25" s="43" t="n">
        <v>22200</v>
      </c>
      <c r="E25" s="44" t="n">
        <v>1911</v>
      </c>
      <c r="F25" s="45" t="n">
        <v>-7161</v>
      </c>
      <c r="G25" s="46" t="n">
        <v>-0.06842813955143394</v>
      </c>
      <c r="H25" s="42" t="n"/>
      <c r="I25" s="42" t="inlineStr"/>
    </row>
    <row r="26">
      <c r="A26" s="42" t="inlineStr">
        <is>
          <t>5.25-5.31</t>
        </is>
      </c>
      <c r="B26" s="43" t="n">
        <v>123377</v>
      </c>
      <c r="C26" s="43" t="n">
        <v>16531</v>
      </c>
      <c r="D26" s="43" t="n">
        <v>22867</v>
      </c>
      <c r="E26" s="44" t="n">
        <v>1911</v>
      </c>
      <c r="F26" s="45" t="n">
        <v>-6845</v>
      </c>
      <c r="G26" s="47" t="n">
        <v>-0.06269098181676941</v>
      </c>
      <c r="H26" s="48" t="n">
        <v>0.5737157734664531</v>
      </c>
      <c r="I26" s="49" t="inlineStr">
        <is>
          <t>利率改善</t>
        </is>
      </c>
    </row>
    <row r="27">
      <c r="A27" s="42" t="inlineStr">
        <is>
          <t>6.15-6.21</t>
        </is>
      </c>
      <c r="B27" s="43" t="n">
        <v>102108</v>
      </c>
      <c r="C27" s="43" t="n">
        <v>13774</v>
      </c>
      <c r="D27" s="43" t="n">
        <v>19490</v>
      </c>
      <c r="E27" s="44" t="n">
        <v>3605</v>
      </c>
      <c r="F27" s="45" t="n">
        <v>-8013</v>
      </c>
      <c r="G27" s="47" t="n">
        <v>-0.08867717036192986</v>
      </c>
      <c r="H27" s="50" t="n">
        <v>-2.598618854516045</v>
      </c>
      <c r="I27" s="51" t="inlineStr">
        <is>
          <t>推广费率上升</t>
        </is>
      </c>
    </row>
    <row r="28">
      <c r="A28" s="42" t="inlineStr">
        <is>
          <t>6.22-6.28</t>
        </is>
      </c>
      <c r="B28" s="43" t="n">
        <v>86704</v>
      </c>
      <c r="C28" s="43" t="n">
        <v>11722</v>
      </c>
      <c r="D28" s="43" t="n">
        <v>17051</v>
      </c>
      <c r="E28" s="44" t="n">
        <v>3605</v>
      </c>
      <c r="F28" s="45" t="n">
        <v>-7765</v>
      </c>
      <c r="G28" s="47" t="n">
        <v>-0.1012041995287894</v>
      </c>
      <c r="H28" s="50" t="n">
        <v>-1.252702916685956</v>
      </c>
      <c r="I28" s="51" t="inlineStr">
        <is>
          <t>推广费率上升</t>
        </is>
      </c>
    </row>
    <row r="29">
      <c r="A29" s="42" t="inlineStr">
        <is>
          <t>6.29-7.5</t>
        </is>
      </c>
      <c r="B29" s="43" t="n">
        <v>93257</v>
      </c>
      <c r="C29" s="43" t="n">
        <v>12985</v>
      </c>
      <c r="D29" s="43" t="n">
        <v>17357</v>
      </c>
      <c r="E29" s="44" t="n">
        <v>1951</v>
      </c>
      <c r="F29" s="45" t="n">
        <v>-5229</v>
      </c>
      <c r="G29" s="47" t="n">
        <v>-0.06336444645010539</v>
      </c>
      <c r="H29" s="48" t="n">
        <v>3.783975307868404</v>
      </c>
      <c r="I29" s="49" t="inlineStr">
        <is>
          <t>利率改善</t>
        </is>
      </c>
    </row>
    <row r="30">
      <c r="A30" s="42" t="inlineStr">
        <is>
          <t>7.6-7.12</t>
        </is>
      </c>
      <c r="B30" s="43" t="n">
        <v>120624</v>
      </c>
      <c r="C30" s="43" t="n">
        <v>16854</v>
      </c>
      <c r="D30" s="43" t="n">
        <v>20167</v>
      </c>
      <c r="E30" s="44" t="n">
        <v>2054</v>
      </c>
      <c r="F30" s="45" t="n">
        <v>-4109</v>
      </c>
      <c r="G30" s="47" t="n">
        <v>-0.03849325990755385</v>
      </c>
      <c r="H30" s="48" t="n">
        <v>2.487118654255154</v>
      </c>
      <c r="I30" s="49" t="inlineStr">
        <is>
          <t>利率改善</t>
        </is>
      </c>
    </row>
    <row r="31">
      <c r="A31" s="42" t="inlineStr">
        <is>
          <t>7.13-7.19</t>
        </is>
      </c>
      <c r="B31" s="43" t="n">
        <v>100698</v>
      </c>
      <c r="C31" s="43" t="n">
        <v>13663</v>
      </c>
      <c r="D31" s="43" t="n">
        <v>17570</v>
      </c>
      <c r="E31" s="44" t="n">
        <v>2405</v>
      </c>
      <c r="F31" s="45" t="n">
        <v>-5181</v>
      </c>
      <c r="G31" s="47" t="n">
        <v>-0.0581442482159776</v>
      </c>
      <c r="H31" s="50" t="n">
        <v>-1.965098830842375</v>
      </c>
      <c r="I31" s="51" t="inlineStr">
        <is>
          <t>推广费率上升</t>
        </is>
      </c>
    </row>
    <row r="32">
      <c r="A32" s="42" t="inlineStr">
        <is>
          <t>7.20-7.26</t>
        </is>
      </c>
      <c r="B32" s="43" t="n">
        <v>98448</v>
      </c>
      <c r="C32" s="43" t="n">
        <v>13513</v>
      </c>
      <c r="D32" s="43" t="n">
        <v>18177</v>
      </c>
      <c r="E32" s="44" t="n">
        <v>2097</v>
      </c>
      <c r="F32" s="45" t="n">
        <v>-5614</v>
      </c>
      <c r="G32" s="47" t="n">
        <v>-0.06443338215295813</v>
      </c>
      <c r="H32" s="50" t="n">
        <v>-0.628913393698053</v>
      </c>
      <c r="I32" s="51" t="inlineStr">
        <is>
          <t>推广费率上升</t>
        </is>
      </c>
    </row>
    <row r="33">
      <c r="A33" s="42" t="inlineStr">
        <is>
          <t>7.27-8.2</t>
        </is>
      </c>
      <c r="B33" s="43" t="n">
        <v>107468</v>
      </c>
      <c r="C33" s="43" t="n">
        <v>15014</v>
      </c>
      <c r="D33" s="43" t="n">
        <v>19204</v>
      </c>
      <c r="E33" s="44" t="n">
        <v>2127</v>
      </c>
      <c r="F33" s="45" t="n">
        <v>-5110</v>
      </c>
      <c r="G33" s="47" t="n">
        <v>-0.05372983428884518</v>
      </c>
      <c r="H33" s="48" t="n">
        <v>1.070354786411295</v>
      </c>
      <c r="I33" s="49" t="inlineStr">
        <is>
          <t>利率改善</t>
        </is>
      </c>
    </row>
  </sheetData>
  <mergeCells count="14">
    <mergeCell ref="A18:H18"/>
    <mergeCell ref="A1:H1"/>
    <mergeCell ref="B14:H14"/>
    <mergeCell ref="A21:H21"/>
    <mergeCell ref="B9:H9"/>
    <mergeCell ref="B13:H13"/>
    <mergeCell ref="A20:H20"/>
    <mergeCell ref="A2:H2"/>
    <mergeCell ref="B12:H12"/>
    <mergeCell ref="A19:H19"/>
    <mergeCell ref="B10:H10"/>
    <mergeCell ref="A5:H5"/>
    <mergeCell ref="B11:H11"/>
    <mergeCell ref="A17:H1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89"/>
  <sheetViews>
    <sheetView workbookViewId="0">
      <pane ySplit="11" topLeftCell="A12" activePane="bottomLeft" state="frozen"/>
      <selection pane="bottomLeft" activeCell="A1" sqref="A1"/>
    </sheetView>
  </sheetViews>
  <sheetFormatPr baseColWidth="8" defaultRowHeight="15"/>
  <cols>
    <col width="12" customWidth="1" min="1" max="1"/>
    <col width="16" customWidth="1" min="2" max="2"/>
    <col width="12" customWidth="1" min="3" max="3"/>
    <col width="12" customWidth="1" min="4" max="4"/>
    <col width="12" customWidth="1" min="5" max="5"/>
    <col width="14" customWidth="1" min="6" max="6"/>
    <col width="14" customWidth="1" min="7" max="7"/>
    <col width="12" customWidth="1" min="8" max="8"/>
    <col width="14" customWidth="1" min="9" max="9"/>
    <col width="14" customWidth="1" min="10" max="10"/>
  </cols>
  <sheetData>
    <row r="1">
      <c r="A1" s="24" t="inlineStr">
        <is>
          <t>从推广后利率看变化（去税口径）</t>
        </is>
      </c>
    </row>
    <row r="2">
      <c r="A2" s="25" t="inlineStr">
        <is>
          <t>推广后利率=推广后利润/去税金额；变化单位为百分点(pp)。利率主因：推广前利率下降 vs 推广费率上升。</t>
        </is>
      </c>
    </row>
    <row r="4">
      <c r="A4" s="3" t="inlineStr">
        <is>
          <t>一、利率结论</t>
        </is>
      </c>
    </row>
    <row r="5" ht="24" customHeight="1">
      <c r="A5" s="52" t="inlineStr">
        <is>
          <t>全期推广后利率均为负；最好周 7.6-7.12（-3.85%），最差周 6.22-6.28（-10.12%）。</t>
        </is>
      </c>
      <c r="B5" s="8" t="n"/>
      <c r="C5" s="8" t="n"/>
      <c r="D5" s="8" t="n"/>
      <c r="E5" s="8" t="n"/>
      <c r="F5" s="8" t="n"/>
      <c r="G5" s="8" t="n"/>
      <c r="H5" s="8" t="n"/>
      <c r="I5" s="8" t="n"/>
      <c r="J5" s="9" t="n"/>
    </row>
    <row r="6" ht="24" customHeight="1">
      <c r="A6" s="53" t="inlineStr">
        <is>
          <t>7.6→7.13：推广后利率继续走弱，主因是推广前利率随量/结构下滑（不是费率突然飙升）。</t>
        </is>
      </c>
      <c r="B6" s="8" t="n"/>
      <c r="C6" s="8" t="n"/>
      <c r="D6" s="8" t="n"/>
      <c r="E6" s="8" t="n"/>
      <c r="F6" s="8" t="n"/>
      <c r="G6" s="8" t="n"/>
      <c r="H6" s="8" t="n"/>
      <c r="I6" s="8" t="n"/>
      <c r="J6" s="9" t="n"/>
    </row>
    <row r="7" ht="24" customHeight="1">
      <c r="A7" s="53" t="inlineStr">
        <is>
          <t>7.13→7.20：推广后利率再降，主因是推广费率上升（次链/30包加投）。</t>
        </is>
      </c>
      <c r="B7" s="8" t="n"/>
      <c r="C7" s="8" t="n"/>
      <c r="D7" s="8" t="n"/>
      <c r="E7" s="8" t="n"/>
      <c r="F7" s="8" t="n"/>
      <c r="G7" s="8" t="n"/>
      <c r="H7" s="8" t="n"/>
      <c r="I7" s="8" t="n"/>
      <c r="J7" s="9" t="n"/>
    </row>
    <row r="8" ht="24" customHeight="1">
      <c r="A8" s="53" t="inlineStr">
        <is>
          <t>看利率比只看绝对利润额，更能区分“盘子变小”和“单位赚钱能力变差”。</t>
        </is>
      </c>
      <c r="B8" s="8" t="n"/>
      <c r="C8" s="8" t="n"/>
      <c r="D8" s="8" t="n"/>
      <c r="E8" s="8" t="n"/>
      <c r="F8" s="8" t="n"/>
      <c r="G8" s="8" t="n"/>
      <c r="H8" s="8" t="n"/>
      <c r="I8" s="8" t="n"/>
      <c r="J8" s="9" t="n"/>
    </row>
    <row r="10">
      <c r="A10" s="3" t="inlineStr">
        <is>
          <t>二、周度推广后利率</t>
        </is>
      </c>
    </row>
    <row r="11" ht="28" customHeight="1">
      <c r="A11" s="26" t="inlineStr">
        <is>
          <t>周次</t>
        </is>
      </c>
      <c r="B11" s="26" t="inlineStr">
        <is>
          <t>成交金额</t>
        </is>
      </c>
      <c r="C11" s="26" t="inlineStr">
        <is>
          <t>推广前利润</t>
        </is>
      </c>
      <c r="D11" s="26" t="inlineStr">
        <is>
          <t>推广花费</t>
        </is>
      </c>
      <c r="E11" s="26" t="inlineStr">
        <is>
          <t>推广后利润</t>
        </is>
      </c>
      <c r="F11" s="26" t="inlineStr">
        <is>
          <t>推广前利率</t>
        </is>
      </c>
      <c r="G11" s="26" t="inlineStr">
        <is>
          <t>推广费率</t>
        </is>
      </c>
      <c r="H11" s="26" t="inlineStr">
        <is>
          <t>推广后利率</t>
        </is>
      </c>
      <c r="I11" s="26" t="inlineStr">
        <is>
          <t>后利率环比(pp)</t>
        </is>
      </c>
      <c r="J11" s="26" t="inlineStr">
        <is>
          <t>利率主因</t>
        </is>
      </c>
    </row>
    <row r="12">
      <c r="A12" s="42" t="inlineStr">
        <is>
          <t>5.11-5.17</t>
        </is>
      </c>
      <c r="B12" s="43" t="n">
        <v>118254</v>
      </c>
      <c r="C12" s="43" t="n">
        <v>15585</v>
      </c>
      <c r="D12" s="43" t="n">
        <v>22200</v>
      </c>
      <c r="E12" s="45" t="n">
        <v>-7161</v>
      </c>
      <c r="F12" s="37" t="n">
        <v>0.1489260843071093</v>
      </c>
      <c r="G12" s="37" t="n">
        <v>0.187729716766371</v>
      </c>
      <c r="H12" s="47" t="n">
        <v>-0.06842813955143394</v>
      </c>
      <c r="I12" s="42" t="n"/>
      <c r="J12" s="42" t="inlineStr"/>
    </row>
    <row r="13">
      <c r="A13" s="42" t="inlineStr">
        <is>
          <t>5.25-5.31</t>
        </is>
      </c>
      <c r="B13" s="43" t="n">
        <v>123377</v>
      </c>
      <c r="C13" s="43" t="n">
        <v>16531</v>
      </c>
      <c r="D13" s="43" t="n">
        <v>22867</v>
      </c>
      <c r="E13" s="45" t="n">
        <v>-6845</v>
      </c>
      <c r="F13" s="37" t="n">
        <v>0.151404342078056</v>
      </c>
      <c r="G13" s="37" t="n">
        <v>0.1853436547628399</v>
      </c>
      <c r="H13" s="47" t="n">
        <v>-0.06269098181676941</v>
      </c>
      <c r="I13" s="54" t="n">
        <v>0.5737157734664531</v>
      </c>
      <c r="J13" s="49" t="inlineStr">
        <is>
          <t>利率改善</t>
        </is>
      </c>
    </row>
    <row r="14">
      <c r="A14" s="42" t="inlineStr">
        <is>
          <t>6.15-6.21</t>
        </is>
      </c>
      <c r="B14" s="43" t="n">
        <v>102108</v>
      </c>
      <c r="C14" s="43" t="n">
        <v>13774</v>
      </c>
      <c r="D14" s="43" t="n">
        <v>19490</v>
      </c>
      <c r="E14" s="45" t="n">
        <v>-8013</v>
      </c>
      <c r="F14" s="37" t="n">
        <v>0.1524385518118944</v>
      </c>
      <c r="G14" s="37" t="n">
        <v>0.1908735019376091</v>
      </c>
      <c r="H14" s="47" t="n">
        <v>-0.08867717036192986</v>
      </c>
      <c r="I14" s="55" t="n">
        <v>-2.598618854516045</v>
      </c>
      <c r="J14" s="51" t="inlineStr">
        <is>
          <t>推广费率上升</t>
        </is>
      </c>
    </row>
    <row r="15">
      <c r="A15" s="42" t="inlineStr">
        <is>
          <t>6.22-6.28</t>
        </is>
      </c>
      <c r="B15" s="43" t="n">
        <v>86704</v>
      </c>
      <c r="C15" s="43" t="n">
        <v>11722</v>
      </c>
      <c r="D15" s="43" t="n">
        <v>17051</v>
      </c>
      <c r="E15" s="45" t="n">
        <v>-7765</v>
      </c>
      <c r="F15" s="37" t="n">
        <v>0.1527645549163719</v>
      </c>
      <c r="G15" s="37" t="n">
        <v>0.1966581157491693</v>
      </c>
      <c r="H15" s="47" t="n">
        <v>-0.1012041995287894</v>
      </c>
      <c r="I15" s="55" t="n">
        <v>-1.252702916685956</v>
      </c>
      <c r="J15" s="51" t="inlineStr">
        <is>
          <t>推广费率上升</t>
        </is>
      </c>
    </row>
    <row r="16">
      <c r="A16" s="42" t="inlineStr">
        <is>
          <t>6.29-7.5</t>
        </is>
      </c>
      <c r="B16" s="43" t="n">
        <v>93257</v>
      </c>
      <c r="C16" s="43" t="n">
        <v>12985</v>
      </c>
      <c r="D16" s="43" t="n">
        <v>17357</v>
      </c>
      <c r="E16" s="45" t="n">
        <v>-5229</v>
      </c>
      <c r="F16" s="37" t="n">
        <v>0.1573428821643038</v>
      </c>
      <c r="G16" s="37" t="n">
        <v>0.186114543058043</v>
      </c>
      <c r="H16" s="47" t="n">
        <v>-0.06336444645010539</v>
      </c>
      <c r="I16" s="54" t="n">
        <v>3.783975307868404</v>
      </c>
      <c r="J16" s="49" t="inlineStr">
        <is>
          <t>利率改善</t>
        </is>
      </c>
    </row>
    <row r="17">
      <c r="A17" s="42" t="inlineStr">
        <is>
          <t>7.6-7.12</t>
        </is>
      </c>
      <c r="B17" s="43" t="n">
        <v>120624</v>
      </c>
      <c r="C17" s="43" t="n">
        <v>16854</v>
      </c>
      <c r="D17" s="43" t="n">
        <v>20167</v>
      </c>
      <c r="E17" s="45" t="n">
        <v>-4109</v>
      </c>
      <c r="F17" s="37" t="n">
        <v>0.1578872062237625</v>
      </c>
      <c r="G17" s="37" t="n">
        <v>0.1671872010755382</v>
      </c>
      <c r="H17" s="47" t="n">
        <v>-0.03849325990755385</v>
      </c>
      <c r="I17" s="54" t="n">
        <v>2.487118654255154</v>
      </c>
      <c r="J17" s="49" t="inlineStr">
        <is>
          <t>利率改善</t>
        </is>
      </c>
    </row>
    <row r="18">
      <c r="A18" s="42" t="inlineStr">
        <is>
          <t>7.13-7.19</t>
        </is>
      </c>
      <c r="B18" s="43" t="n">
        <v>100698</v>
      </c>
      <c r="C18" s="43" t="n">
        <v>13663</v>
      </c>
      <c r="D18" s="43" t="n">
        <v>17570</v>
      </c>
      <c r="E18" s="45" t="n">
        <v>-5181</v>
      </c>
      <c r="F18" s="37" t="n">
        <v>0.1533258881032721</v>
      </c>
      <c r="G18" s="37" t="n">
        <v>0.1744869288902661</v>
      </c>
      <c r="H18" s="47" t="n">
        <v>-0.0581442482159776</v>
      </c>
      <c r="I18" s="55" t="n">
        <v>-1.965098830842375</v>
      </c>
      <c r="J18" s="51" t="inlineStr">
        <is>
          <t>推广费率上升</t>
        </is>
      </c>
    </row>
    <row r="19">
      <c r="A19" s="42" t="inlineStr">
        <is>
          <t>7.20-7.26</t>
        </is>
      </c>
      <c r="B19" s="43" t="n">
        <v>98448</v>
      </c>
      <c r="C19" s="43" t="n">
        <v>13513</v>
      </c>
      <c r="D19" s="43" t="n">
        <v>18177</v>
      </c>
      <c r="E19" s="45" t="n">
        <v>-5614</v>
      </c>
      <c r="F19" s="37" t="n">
        <v>0.1551070506585943</v>
      </c>
      <c r="G19" s="37" t="n">
        <v>0.1846400520070178</v>
      </c>
      <c r="H19" s="47" t="n">
        <v>-0.06443338215295813</v>
      </c>
      <c r="I19" s="55" t="n">
        <v>-0.628913393698053</v>
      </c>
      <c r="J19" s="51" t="inlineStr">
        <is>
          <t>推广费率上升</t>
        </is>
      </c>
    </row>
    <row r="20">
      <c r="A20" s="42" t="inlineStr">
        <is>
          <t>7.27-8.2</t>
        </is>
      </c>
      <c r="B20" s="43" t="n">
        <v>107468</v>
      </c>
      <c r="C20" s="43" t="n">
        <v>15014</v>
      </c>
      <c r="D20" s="43" t="n">
        <v>19204</v>
      </c>
      <c r="E20" s="45" t="n">
        <v>-5110</v>
      </c>
      <c r="F20" s="37" t="n">
        <v>0.1578692004645855</v>
      </c>
      <c r="G20" s="37" t="n">
        <v>0.178699129254325</v>
      </c>
      <c r="H20" s="47" t="n">
        <v>-0.05372983428884518</v>
      </c>
      <c r="I20" s="54" t="n">
        <v>1.070354786411295</v>
      </c>
      <c r="J20" s="49" t="inlineStr">
        <is>
          <t>利率改善</t>
        </is>
      </c>
    </row>
    <row r="33">
      <c r="A33" s="3" t="inlineStr">
        <is>
          <t>三、利率恶化ID（成交≥500）</t>
        </is>
      </c>
    </row>
    <row r="34">
      <c r="A34" s="56" t="inlineStr">
        <is>
          <t>7.6-7.12 → 7.13-7.19 推广后利率恶化TOP</t>
        </is>
      </c>
    </row>
    <row r="35" ht="28" customHeight="1">
      <c r="A35" s="61" t="inlineStr">
        <is>
          <t>排名</t>
        </is>
      </c>
      <c r="B35" s="61" t="inlineStr">
        <is>
          <t>商品ID</t>
        </is>
      </c>
      <c r="C35" s="61" t="inlineStr">
        <is>
          <t>定位</t>
        </is>
      </c>
      <c r="D35" s="61" t="inlineStr">
        <is>
          <t>前周利率</t>
        </is>
      </c>
      <c r="E35" s="61" t="inlineStr">
        <is>
          <t>后周利率</t>
        </is>
      </c>
      <c r="F35" s="61" t="inlineStr">
        <is>
          <t>利率变化(pp)</t>
        </is>
      </c>
      <c r="G35" s="61" t="inlineStr">
        <is>
          <t>前利率变化(pp)</t>
        </is>
      </c>
      <c r="H35" s="61" t="inlineStr">
        <is>
          <t>费率变化(pp)</t>
        </is>
      </c>
      <c r="I35" s="61" t="inlineStr">
        <is>
          <t>原因</t>
        </is>
      </c>
    </row>
    <row r="36">
      <c r="A36" s="42" t="n">
        <v>1</v>
      </c>
      <c r="B36" s="42" t="inlineStr">
        <is>
          <t>1059563993918</t>
        </is>
      </c>
      <c r="C36" s="42" t="inlineStr">
        <is>
          <t>原味大包</t>
        </is>
      </c>
      <c r="D36" s="47" t="n">
        <v>-0.1439089011267891</v>
      </c>
      <c r="E36" s="47" t="n">
        <v>-0.240581019068933</v>
      </c>
      <c r="F36" s="57" t="n">
        <v>-9.667211794214387</v>
      </c>
      <c r="G36" s="55" t="n">
        <v>-12.89550620759385</v>
      </c>
      <c r="H36" s="55" t="n">
        <v>-4.530836941444971</v>
      </c>
      <c r="I36" s="58" t="inlineStr">
        <is>
          <t>推广前利率下降</t>
        </is>
      </c>
    </row>
    <row r="37">
      <c r="A37" s="42" t="n">
        <v>2</v>
      </c>
      <c r="B37" s="42" t="inlineStr">
        <is>
          <t>766165464414</t>
        </is>
      </c>
      <c r="C37" s="42" t="inlineStr">
        <is>
          <t>12包</t>
        </is>
      </c>
      <c r="D37" s="37" t="n">
        <v>0.1129319305842243</v>
      </c>
      <c r="E37" s="37" t="n">
        <v>0.02294536484640225</v>
      </c>
      <c r="F37" s="57" t="n">
        <v>-8.998656573782204</v>
      </c>
      <c r="G37" s="55" t="n">
        <v>-5.308775377079514</v>
      </c>
      <c r="H37" s="54" t="n">
        <v>2.813813258549341</v>
      </c>
      <c r="I37" s="58" t="inlineStr">
        <is>
          <t>推广前利率下降</t>
        </is>
      </c>
    </row>
    <row r="38">
      <c r="A38" s="42" t="n">
        <v>3</v>
      </c>
      <c r="B38" s="42" t="inlineStr">
        <is>
          <t>1013887677295</t>
        </is>
      </c>
      <c r="C38" s="42" t="inlineStr">
        <is>
          <t>混搭5杯</t>
        </is>
      </c>
      <c r="D38" s="47" t="n">
        <v>-0.08700835869348855</v>
      </c>
      <c r="E38" s="47" t="n">
        <v>-0.155779141629914</v>
      </c>
      <c r="F38" s="57" t="n">
        <v>-6.877078293642544</v>
      </c>
      <c r="G38" s="55" t="n">
        <v>-1.776171672102336</v>
      </c>
      <c r="H38" s="54" t="n">
        <v>4.117649574802437</v>
      </c>
      <c r="I38" s="51" t="inlineStr">
        <is>
          <t>推广费率上升</t>
        </is>
      </c>
    </row>
    <row r="39">
      <c r="A39" s="42" t="n">
        <v>4</v>
      </c>
      <c r="B39" s="42" t="inlineStr">
        <is>
          <t>744317232690</t>
        </is>
      </c>
      <c r="C39" s="42" t="inlineStr">
        <is>
          <t>多规格</t>
        </is>
      </c>
      <c r="D39" s="37" t="n">
        <v>0.0158180650474342</v>
      </c>
      <c r="E39" s="47" t="n">
        <v>-0.02496143692474282</v>
      </c>
      <c r="F39" s="57" t="n">
        <v>-4.077950197217702</v>
      </c>
      <c r="G39" s="55" t="n">
        <v>-3.923840840142787</v>
      </c>
      <c r="H39" s="55" t="n">
        <v>-1.016733324171709</v>
      </c>
      <c r="I39" s="58" t="inlineStr">
        <is>
          <t>推广前利率下降</t>
        </is>
      </c>
    </row>
    <row r="40">
      <c r="A40" s="42" t="n">
        <v>5</v>
      </c>
      <c r="B40" s="42" t="inlineStr">
        <is>
          <t>648600900806</t>
        </is>
      </c>
      <c r="C40" s="42" t="inlineStr">
        <is>
          <t>30包</t>
        </is>
      </c>
      <c r="D40" s="37" t="n">
        <v>0.004651697839297434</v>
      </c>
      <c r="E40" s="47" t="n">
        <v>-0.03343882234929348</v>
      </c>
      <c r="F40" s="57" t="n">
        <v>-3.809052018859092</v>
      </c>
      <c r="G40" s="55" t="n">
        <v>-0.02764712272561032</v>
      </c>
      <c r="H40" s="54" t="n">
        <v>3.296376008164454</v>
      </c>
      <c r="I40" s="51" t="inlineStr">
        <is>
          <t>推广费率上升</t>
        </is>
      </c>
    </row>
    <row r="41">
      <c r="A41" s="42" t="n">
        <v>6</v>
      </c>
      <c r="B41" s="42" t="inlineStr">
        <is>
          <t>648598580775</t>
        </is>
      </c>
      <c r="C41" s="42" t="inlineStr">
        <is>
          <t>原味大包</t>
        </is>
      </c>
      <c r="D41" s="37" t="n">
        <v>0.02017479683727668</v>
      </c>
      <c r="E41" s="47" t="n">
        <v>-0.01606370011603404</v>
      </c>
      <c r="F41" s="57" t="n">
        <v>-3.623849695331072</v>
      </c>
      <c r="G41" s="55" t="n">
        <v>-0.9725483975998761</v>
      </c>
      <c r="H41" s="54" t="n">
        <v>2.007770370316786</v>
      </c>
      <c r="I41" s="51" t="inlineStr">
        <is>
          <t>推广费率上升</t>
        </is>
      </c>
    </row>
    <row r="42">
      <c r="A42" s="42" t="n">
        <v>7</v>
      </c>
      <c r="B42" s="42" t="inlineStr">
        <is>
          <t>668566625747</t>
        </is>
      </c>
      <c r="C42" s="42" t="inlineStr">
        <is>
          <t>袋面主链接</t>
        </is>
      </c>
      <c r="D42" s="47" t="n">
        <v>-0.02562644800869243</v>
      </c>
      <c r="E42" s="47" t="n">
        <v>-0.04820767862403652</v>
      </c>
      <c r="F42" s="57" t="n">
        <v>-2.258123061534409</v>
      </c>
      <c r="G42" s="55" t="n">
        <v>-0.5108359350044861</v>
      </c>
      <c r="H42" s="54" t="n">
        <v>0.9215804804733108</v>
      </c>
      <c r="I42" s="51" t="inlineStr">
        <is>
          <t>推广费率上升</t>
        </is>
      </c>
    </row>
    <row r="43">
      <c r="A43" s="42" t="n">
        <v>8</v>
      </c>
      <c r="B43" s="42" t="inlineStr">
        <is>
          <t>649014937782</t>
        </is>
      </c>
      <c r="C43" s="42" t="inlineStr">
        <is>
          <t>24包</t>
        </is>
      </c>
      <c r="D43" s="47" t="n">
        <v>-0.001195647847131685</v>
      </c>
      <c r="E43" s="47" t="n">
        <v>-0.01608904277502523</v>
      </c>
      <c r="F43" s="57" t="n">
        <v>-1.489339492789354</v>
      </c>
      <c r="G43" s="55" t="n">
        <v>-1.405340558390913</v>
      </c>
      <c r="H43" s="55" t="n">
        <v>-0.2441573956604159</v>
      </c>
      <c r="I43" s="58" t="inlineStr">
        <is>
          <t>推广前利率下降</t>
        </is>
      </c>
    </row>
    <row r="44"/>
    <row r="45"/>
    <row r="46">
      <c r="A46" s="56" t="inlineStr">
        <is>
          <t>7.13-7.19 → 7.20-7.26 推广后利率恶化TOP</t>
        </is>
      </c>
    </row>
    <row r="47" ht="28" customHeight="1">
      <c r="A47" s="61" t="inlineStr">
        <is>
          <t>排名</t>
        </is>
      </c>
      <c r="B47" s="61" t="inlineStr">
        <is>
          <t>商品ID</t>
        </is>
      </c>
      <c r="C47" s="61" t="inlineStr">
        <is>
          <t>定位</t>
        </is>
      </c>
      <c r="D47" s="61" t="inlineStr">
        <is>
          <t>前周利率</t>
        </is>
      </c>
      <c r="E47" s="61" t="inlineStr">
        <is>
          <t>后周利率</t>
        </is>
      </c>
      <c r="F47" s="61" t="inlineStr">
        <is>
          <t>利率变化(pp)</t>
        </is>
      </c>
      <c r="G47" s="61" t="inlineStr">
        <is>
          <t>前利率变化(pp)</t>
        </is>
      </c>
      <c r="H47" s="61" t="inlineStr">
        <is>
          <t>费率变化(pp)</t>
        </is>
      </c>
      <c r="I47" s="61" t="inlineStr">
        <is>
          <t>原因</t>
        </is>
      </c>
    </row>
    <row r="48">
      <c r="A48" s="42" t="n">
        <v>1</v>
      </c>
      <c r="B48" s="42" t="inlineStr">
        <is>
          <t>1013887677295</t>
        </is>
      </c>
      <c r="C48" s="42" t="inlineStr">
        <is>
          <t>原味大包</t>
        </is>
      </c>
      <c r="D48" s="47" t="n">
        <v>-0.155779141629914</v>
      </c>
      <c r="E48" s="47" t="n">
        <v>-0.2412133549273392</v>
      </c>
      <c r="F48" s="57" t="n">
        <v>-8.543421329742523</v>
      </c>
      <c r="G48" s="54" t="n">
        <v>3.389461933117388</v>
      </c>
      <c r="H48" s="54" t="n">
        <v>11.79747336863927</v>
      </c>
      <c r="I48" s="51" t="inlineStr">
        <is>
          <t>推广费率上升</t>
        </is>
      </c>
    </row>
    <row r="49">
      <c r="A49" s="42" t="n">
        <v>2</v>
      </c>
      <c r="B49" s="42" t="inlineStr">
        <is>
          <t>735014804839</t>
        </is>
      </c>
      <c r="C49" s="42" t="inlineStr">
        <is>
          <t>24/30包</t>
        </is>
      </c>
      <c r="D49" s="37" t="n">
        <v>0.04788331251076935</v>
      </c>
      <c r="E49" s="47" t="n">
        <v>-0.02474723208431365</v>
      </c>
      <c r="F49" s="57" t="n">
        <v>-7.2630544595083</v>
      </c>
      <c r="G49" s="54" t="n">
        <v>0.3608727360772973</v>
      </c>
      <c r="H49" s="54" t="n">
        <v>7.270850190404602</v>
      </c>
      <c r="I49" s="51" t="inlineStr">
        <is>
          <t>推广费率上升</t>
        </is>
      </c>
    </row>
    <row r="50">
      <c r="A50" s="42" t="n">
        <v>3</v>
      </c>
      <c r="B50" s="42" t="inlineStr">
        <is>
          <t>648600900806</t>
        </is>
      </c>
      <c r="C50" s="42" t="inlineStr">
        <is>
          <t>30包</t>
        </is>
      </c>
      <c r="D50" s="47" t="n">
        <v>-0.03343882234929348</v>
      </c>
      <c r="E50" s="47" t="n">
        <v>-0.07705357690498937</v>
      </c>
      <c r="F50" s="57" t="n">
        <v>-4.361475455569589</v>
      </c>
      <c r="G50" s="54" t="n">
        <v>0.8601052598651321</v>
      </c>
      <c r="H50" s="54" t="n">
        <v>5.017566882339469</v>
      </c>
      <c r="I50" s="51" t="inlineStr">
        <is>
          <t>推广费率上升</t>
        </is>
      </c>
    </row>
    <row r="51">
      <c r="A51" s="42" t="n">
        <v>4</v>
      </c>
      <c r="B51" s="42" t="inlineStr">
        <is>
          <t>649014937782</t>
        </is>
      </c>
      <c r="C51" s="42" t="inlineStr">
        <is>
          <t>原味大包</t>
        </is>
      </c>
      <c r="D51" s="47" t="n">
        <v>-0.01608904277502523</v>
      </c>
      <c r="E51" s="47" t="n">
        <v>-0.05737977034412227</v>
      </c>
      <c r="F51" s="57" t="n">
        <v>-4.129072756909705</v>
      </c>
      <c r="G51" s="54" t="n">
        <v>0.7423445772254345</v>
      </c>
      <c r="H51" s="54" t="n">
        <v>4.728619207095686</v>
      </c>
      <c r="I51" s="51" t="inlineStr">
        <is>
          <t>推广费率上升</t>
        </is>
      </c>
    </row>
    <row r="52">
      <c r="A52" s="42" t="n">
        <v>5</v>
      </c>
      <c r="B52" s="42" t="inlineStr">
        <is>
          <t>648598580775</t>
        </is>
      </c>
      <c r="C52" s="42" t="inlineStr">
        <is>
          <t>原味大包</t>
        </is>
      </c>
      <c r="D52" s="47" t="n">
        <v>-0.01606370011603404</v>
      </c>
      <c r="E52" s="47" t="n">
        <v>-0.04329721663149533</v>
      </c>
      <c r="F52" s="57" t="n">
        <v>-2.723351651546129</v>
      </c>
      <c r="G52" s="55" t="n">
        <v>-0.1980292345094808</v>
      </c>
      <c r="H52" s="54" t="n">
        <v>2.602277021626578</v>
      </c>
      <c r="I52" s="51" t="inlineStr">
        <is>
          <t>推广费率上升</t>
        </is>
      </c>
    </row>
    <row r="53">
      <c r="A53" s="42" t="n">
        <v>6</v>
      </c>
      <c r="B53" s="42" t="inlineStr">
        <is>
          <t>929504658691</t>
        </is>
      </c>
      <c r="C53" s="42" t="inlineStr">
        <is>
          <t>巴东牛肉</t>
        </is>
      </c>
      <c r="D53" s="47" t="n">
        <v>-0.08452206363901109</v>
      </c>
      <c r="E53" s="47" t="n">
        <v>-0.09804489560380623</v>
      </c>
      <c r="F53" s="57" t="n">
        <v>-1.352283196479515</v>
      </c>
      <c r="G53" s="55" t="n">
        <v>-5.226479942143911</v>
      </c>
      <c r="H53" s="55" t="n">
        <v>-3.65680162686493</v>
      </c>
      <c r="I53" s="58" t="inlineStr">
        <is>
          <t>推广前利率下降</t>
        </is>
      </c>
    </row>
    <row r="54">
      <c r="A54" s="42" t="n">
        <v>7</v>
      </c>
      <c r="B54" s="42" t="inlineStr">
        <is>
          <t>649361890551</t>
        </is>
      </c>
      <c r="C54" s="42" t="inlineStr">
        <is>
          <t>袋面次链接</t>
        </is>
      </c>
      <c r="D54" s="47" t="n">
        <v>-0.1144269475234252</v>
      </c>
      <c r="E54" s="47" t="n">
        <v>-0.1237914008246476</v>
      </c>
      <c r="F54" s="57" t="n">
        <v>-0.9364453301222389</v>
      </c>
      <c r="G54" s="54" t="n">
        <v>0.5268246301027721</v>
      </c>
      <c r="H54" s="54" t="n">
        <v>1.922812385227718</v>
      </c>
      <c r="I54" s="51" t="inlineStr">
        <is>
          <t>推广费率上升</t>
        </is>
      </c>
    </row>
    <row r="55">
      <c r="A55" s="42" t="n">
        <v>8</v>
      </c>
      <c r="B55" s="42" t="inlineStr">
        <is>
          <t>649735171438</t>
        </is>
      </c>
      <c r="C55" s="42" t="inlineStr">
        <is>
          <t>杯面主链接</t>
        </is>
      </c>
      <c r="D55" s="47" t="n">
        <v>-0.07926454209456806</v>
      </c>
      <c r="E55" s="47" t="n">
        <v>-0.08469679779072363</v>
      </c>
      <c r="F55" s="57" t="n">
        <v>-0.5432255696155575</v>
      </c>
      <c r="G55" s="55" t="n">
        <v>-0.3828713230439471</v>
      </c>
      <c r="H55" s="54" t="n">
        <v>0.4193783018812902</v>
      </c>
      <c r="I55" s="51" t="inlineStr">
        <is>
          <t>推广费率上升</t>
        </is>
      </c>
    </row>
    <row r="56"/>
    <row r="57"/>
    <row r="58">
      <c r="A58" s="25" t="inlineStr">
        <is>
          <t>注：绝对利润额上，7.6→7.13 更像「推广前利润下降」（成交掉）；利率口径下同期「推广费率」抬升更明显。两套口径都要看：额看规模，利率看单位赚钱能力。</t>
        </is>
      </c>
    </row>
    <row r="59"/>
    <row r="60"/>
    <row r="61"/>
    <row r="62"/>
    <row r="63"/>
    <row r="64"/>
    <row r="65"/>
    <row r="66"/>
    <row r="67"/>
    <row r="68"/>
    <row r="69"/>
    <row r="70"/>
    <row r="71"/>
    <row r="72"/>
    <row r="73"/>
    <row r="74"/>
    <row r="75"/>
    <row r="76"/>
    <row r="77"/>
    <row r="78"/>
    <row r="79"/>
    <row r="80"/>
    <row r="81"/>
    <row r="82"/>
    <row r="83"/>
    <row r="84"/>
    <row r="85"/>
    <row r="86"/>
    <row r="87"/>
    <row r="88"/>
    <row r="89"/>
  </sheetData>
  <mergeCells count="7">
    <mergeCell ref="A1:J1"/>
    <mergeCell ref="A5:J5"/>
    <mergeCell ref="A8:J8"/>
    <mergeCell ref="A6:J6"/>
    <mergeCell ref="A7:J7"/>
    <mergeCell ref="A58:I58"/>
    <mergeCell ref="A2:J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6" customWidth="1" min="1" max="1"/>
    <col width="16" customWidth="1" min="2" max="2"/>
    <col width="12" customWidth="1" min="3" max="3"/>
    <col width="36" customWidth="1" min="4" max="4"/>
    <col width="12" customWidth="1" min="5" max="5"/>
    <col width="12" customWidth="1" min="6" max="6"/>
    <col width="12" customWidth="1" min="7" max="7"/>
    <col width="12" customWidth="1" min="8" max="8"/>
    <col width="8" customWidth="1" min="9" max="9"/>
    <col width="22" customWidth="1" min="10" max="10"/>
  </cols>
  <sheetData>
    <row r="1">
      <c r="A1" s="1" t="inlineStr">
        <is>
          <t>主亏ID清单与亏损类型</t>
        </is>
      </c>
    </row>
    <row r="2">
      <c r="A2" s="2" t="inlineStr">
        <is>
          <t>类型：费率过高｜加投放大｜推广前/规格结构为主。价格整体不是主因（推广前利率大体稳定）。</t>
        </is>
      </c>
    </row>
    <row r="4" ht="26" customHeight="1">
      <c r="A4" s="5" t="inlineStr">
        <is>
          <t>排名</t>
        </is>
      </c>
      <c r="B4" s="5" t="inlineStr">
        <is>
          <t>商品ID</t>
        </is>
      </c>
      <c r="C4" s="5" t="inlineStr">
        <is>
          <t>定位</t>
        </is>
      </c>
      <c r="D4" s="5" t="inlineStr">
        <is>
          <t>商品名称</t>
        </is>
      </c>
      <c r="E4" s="5" t="inlineStr">
        <is>
          <t>成交金额</t>
        </is>
      </c>
      <c r="F4" s="5" t="inlineStr">
        <is>
          <t>推广前利润</t>
        </is>
      </c>
      <c r="G4" s="5" t="inlineStr">
        <is>
          <t>推广花费</t>
        </is>
      </c>
      <c r="H4" s="5" t="inlineStr">
        <is>
          <t>推广后利润</t>
        </is>
      </c>
      <c r="I4" s="5" t="inlineStr">
        <is>
          <t>费率</t>
        </is>
      </c>
      <c r="J4" s="5" t="inlineStr">
        <is>
          <t>亏损类型判定</t>
        </is>
      </c>
    </row>
    <row r="5">
      <c r="A5" s="11" t="n">
        <v>1</v>
      </c>
      <c r="B5" s="11" t="inlineStr">
        <is>
          <t>649361890551</t>
        </is>
      </c>
      <c r="C5" s="11" t="inlineStr">
        <is>
          <t>袋面次链接</t>
        </is>
      </c>
      <c r="D5" s="7" t="inlineStr">
        <is>
          <t>营多捞面印尼进口Indomie网红夜宵早餐方便面火鸡面泡面拌面</t>
        </is>
      </c>
      <c r="E5" s="12" t="n">
        <v>174114</v>
      </c>
      <c r="F5" s="12" t="n">
        <v>16163</v>
      </c>
      <c r="G5" s="12" t="n">
        <v>33475</v>
      </c>
      <c r="H5" s="14" t="n">
        <v>-20782</v>
      </c>
      <c r="I5" s="18" t="n">
        <v>0.192260467802441</v>
      </c>
      <c r="J5" s="19" t="inlineStr">
        <is>
          <t>费率偏高+加投放大</t>
        </is>
      </c>
    </row>
    <row r="6">
      <c r="A6" s="11" t="n">
        <v>2</v>
      </c>
      <c r="B6" s="11" t="inlineStr">
        <is>
          <t>668566625747</t>
        </is>
      </c>
      <c r="C6" s="11" t="inlineStr">
        <is>
          <t>袋面主链接</t>
        </is>
      </c>
      <c r="D6" s="7" t="inlineStr">
        <is>
          <t>印尼营多捞面进口网红泡面袋装方便面速食食品拉面火鸡面拌面整箱</t>
        </is>
      </c>
      <c r="E6" s="12" t="n">
        <v>309481</v>
      </c>
      <c r="F6" s="12" t="n">
        <v>41286</v>
      </c>
      <c r="G6" s="12" t="n">
        <v>49702</v>
      </c>
      <c r="H6" s="14" t="n">
        <v>-12600</v>
      </c>
      <c r="I6" s="18" t="n">
        <v>0.1605984573996143</v>
      </c>
      <c r="J6" s="10" t="inlineStr">
        <is>
          <t>推广前/规格结构为主</t>
        </is>
      </c>
    </row>
    <row r="7">
      <c r="A7" s="11" t="n">
        <v>3</v>
      </c>
      <c r="B7" s="11" t="inlineStr">
        <is>
          <t>649735171438</t>
        </is>
      </c>
      <c r="C7" s="11" t="inlineStr">
        <is>
          <t>杯面主链接</t>
        </is>
      </c>
      <c r="D7" s="7" t="inlineStr">
        <is>
          <t>印尼进口indomie营多捞面杯面速食泡面干拌面盒桶装方便面火鸡面</t>
        </is>
      </c>
      <c r="E7" s="12" t="n">
        <v>142117</v>
      </c>
      <c r="F7" s="12" t="n">
        <v>16049</v>
      </c>
      <c r="G7" s="12" t="n">
        <v>25299</v>
      </c>
      <c r="H7" s="14" t="n">
        <v>-11006</v>
      </c>
      <c r="I7" s="18" t="n">
        <v>0.178012751198805</v>
      </c>
      <c r="J7" s="10" t="inlineStr">
        <is>
          <t>量/结构导致推广后亏损（看规格）</t>
        </is>
      </c>
    </row>
    <row r="8">
      <c r="A8" s="11" t="n">
        <v>4</v>
      </c>
      <c r="B8" s="11" t="inlineStr">
        <is>
          <t>1057479227624</t>
        </is>
      </c>
      <c r="C8" s="11" t="inlineStr">
        <is>
          <t>巴东牛肉</t>
        </is>
      </c>
      <c r="D8" s="7" t="inlineStr">
        <is>
          <t>【新口味】印尼进口营多捞面巴东炖牛肉味泡面方便面宿舍速食宵夜</t>
        </is>
      </c>
      <c r="E8" s="12" t="n">
        <v>12784</v>
      </c>
      <c r="F8" s="12" t="n">
        <v>1419</v>
      </c>
      <c r="G8" s="12" t="n">
        <v>4391</v>
      </c>
      <c r="H8" s="14" t="n">
        <v>-3090</v>
      </c>
      <c r="I8" s="18" t="n">
        <v>0.3434746486971045</v>
      </c>
      <c r="J8" s="20" t="inlineStr">
        <is>
          <t>推广费费率过高</t>
        </is>
      </c>
    </row>
    <row r="9">
      <c r="A9" s="11" t="n">
        <v>5</v>
      </c>
      <c r="B9" s="11" t="inlineStr">
        <is>
          <t>648600900806</t>
        </is>
      </c>
      <c r="C9" s="11" t="inlineStr">
        <is>
          <t>30包</t>
        </is>
      </c>
      <c r="D9" s="7" t="inlineStr">
        <is>
          <t>进口营多捞面一整箱30包网红速食方便面宿舍速食泡面干拌面拉面</t>
        </is>
      </c>
      <c r="E9" s="12" t="n">
        <v>69436</v>
      </c>
      <c r="F9" s="12" t="n">
        <v>13147</v>
      </c>
      <c r="G9" s="12" t="n">
        <v>15354</v>
      </c>
      <c r="H9" s="14" t="n">
        <v>-1947</v>
      </c>
      <c r="I9" s="18" t="n">
        <v>0.2211235687964377</v>
      </c>
      <c r="J9" s="10" t="inlineStr">
        <is>
          <t>推广前/规格结构为主</t>
        </is>
      </c>
    </row>
    <row r="10">
      <c r="A10" s="11" t="n">
        <v>6</v>
      </c>
      <c r="B10" s="11" t="inlineStr">
        <is>
          <t>649014937782</t>
        </is>
      </c>
      <c r="C10" s="11" t="inlineStr">
        <is>
          <t>24包</t>
        </is>
      </c>
      <c r="D10" s="7" t="inlineStr">
        <is>
          <t>印尼营多捞面干拌面一整箱24袋装批发泡面宿舍速食方便面火鸡面</t>
        </is>
      </c>
      <c r="E10" s="12" t="n">
        <v>39866</v>
      </c>
      <c r="F10" s="12" t="n">
        <v>7732</v>
      </c>
      <c r="G10" s="12" t="n">
        <v>8830</v>
      </c>
      <c r="H10" s="14" t="n">
        <v>-1002</v>
      </c>
      <c r="I10" s="18" t="n">
        <v>0.2214847277490483</v>
      </c>
      <c r="J10" s="10" t="inlineStr">
        <is>
          <t>推广前/规格结构为主</t>
        </is>
      </c>
    </row>
    <row r="11">
      <c r="A11" s="11" t="n">
        <v>7</v>
      </c>
      <c r="B11" s="11" t="inlineStr">
        <is>
          <t>1013887677295</t>
        </is>
      </c>
      <c r="C11" s="11" t="inlineStr">
        <is>
          <t>混搭5杯</t>
        </is>
      </c>
      <c r="D11" s="7" t="inlineStr">
        <is>
          <t>进口营多原味杯面日式杯面韩式杯面泡面方便面汤面宿舍速食夜宵</t>
        </is>
      </c>
      <c r="E11" s="12" t="n">
        <v>7751</v>
      </c>
      <c r="F11" s="12" t="n">
        <v>848</v>
      </c>
      <c r="G11" s="12" t="n">
        <v>1695</v>
      </c>
      <c r="H11" s="14" t="n">
        <v>-929</v>
      </c>
      <c r="I11" s="18" t="n">
        <v>0.2187320970403543</v>
      </c>
      <c r="J11" s="19" t="inlineStr">
        <is>
          <t>费率偏高+规模放大</t>
        </is>
      </c>
    </row>
    <row r="12">
      <c r="A12" s="11" t="n">
        <v>8</v>
      </c>
      <c r="B12" s="11" t="inlineStr">
        <is>
          <t>929504658691</t>
        </is>
      </c>
      <c r="C12" s="11" t="inlineStr">
        <is>
          <t>日式袋面</t>
        </is>
      </c>
      <c r="D12" s="7" t="inlineStr">
        <is>
          <t>营多捞面日式鸡肉汤面原味辛辣味袋装泡面方便面速食宿舍夜宵食品</t>
        </is>
      </c>
      <c r="E12" s="12" t="n">
        <v>4671</v>
      </c>
      <c r="F12" s="12" t="n">
        <v>720</v>
      </c>
      <c r="G12" s="12" t="n">
        <v>1498</v>
      </c>
      <c r="H12" s="14" t="n">
        <v>-815</v>
      </c>
      <c r="I12" s="18" t="n">
        <v>0.3207375833279815</v>
      </c>
      <c r="J12" s="20" t="inlineStr">
        <is>
          <t>推广费费率过高</t>
        </is>
      </c>
    </row>
    <row r="13">
      <c r="A13" s="11" t="n">
        <v>9</v>
      </c>
      <c r="B13" s="11" t="inlineStr">
        <is>
          <t>648681860568</t>
        </is>
      </c>
      <c r="C13" s="11" t="inlineStr">
        <is>
          <t>杯面次链接</t>
        </is>
      </c>
      <c r="D13" s="7" t="inlineStr">
        <is>
          <t>营多捞面杯装方便面泡面速食干拌面原味整箱批发印尼进口桶装拌面</t>
        </is>
      </c>
      <c r="E13" s="12" t="n">
        <v>9116</v>
      </c>
      <c r="F13" s="12" t="n">
        <v>914</v>
      </c>
      <c r="G13" s="12" t="n">
        <v>1597</v>
      </c>
      <c r="H13" s="14" t="n">
        <v>-803</v>
      </c>
      <c r="I13" s="18" t="n">
        <v>0.1751533913049202</v>
      </c>
      <c r="J13" s="10" t="inlineStr">
        <is>
          <t>量/结构导致推广后亏损（看规格）</t>
        </is>
      </c>
    </row>
    <row r="14">
      <c r="A14" s="11" t="n">
        <v>10</v>
      </c>
      <c r="B14" s="11" t="inlineStr">
        <is>
          <t>648598580775</t>
        </is>
      </c>
      <c r="C14" s="11" t="inlineStr">
        <is>
          <t>15包</t>
        </is>
      </c>
      <c r="D14" s="7" t="inlineStr">
        <is>
          <t>进口营多捞面15包Indomie方便面干拌面夜宵方便速食五连包85g*5</t>
        </is>
      </c>
      <c r="E14" s="12" t="n">
        <v>23498</v>
      </c>
      <c r="F14" s="12" t="n">
        <v>4179</v>
      </c>
      <c r="G14" s="12" t="n">
        <v>4459</v>
      </c>
      <c r="H14" s="14" t="n">
        <v>-393</v>
      </c>
      <c r="I14" s="18" t="n">
        <v>0.1897440354799078</v>
      </c>
      <c r="J14" s="10" t="inlineStr">
        <is>
          <t>推广前/规格结构为主</t>
        </is>
      </c>
    </row>
    <row r="17">
      <c r="A17" s="2" t="inlineStr">
        <is>
          <t>说明：主链5747推广前利率稳定在~13%，亏损主因不是降价，而是销量/规格搭配变动后推广前绝对额下降，再叠加推广花费。</t>
        </is>
      </c>
    </row>
  </sheetData>
  <mergeCells count="3">
    <mergeCell ref="A17:J17"/>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8" customWidth="1" min="1" max="1"/>
    <col width="16" customWidth="1" min="2" max="2"/>
    <col width="14" customWidth="1" min="3" max="3"/>
    <col width="12" customWidth="1" min="4" max="4"/>
    <col width="12" customWidth="1" min="5" max="5"/>
    <col width="12" customWidth="1" min="6" max="6"/>
    <col width="12" customWidth="1" min="7" max="7"/>
    <col width="16" customWidth="1" min="8" max="8"/>
  </cols>
  <sheetData>
    <row r="1">
      <c r="A1" s="1" t="inlineStr">
        <is>
          <t>近周阶段归因：推广前 vs 推广费</t>
        </is>
      </c>
    </row>
    <row r="3">
      <c r="A3" s="3" t="inlineStr">
        <is>
          <t>阶段总览</t>
        </is>
      </c>
    </row>
    <row r="4" ht="26" customHeight="1">
      <c r="A4" s="5" t="inlineStr">
        <is>
          <t>阶段</t>
        </is>
      </c>
      <c r="B4" s="5" t="inlineStr">
        <is>
          <t>周区间</t>
        </is>
      </c>
      <c r="C4" s="5" t="inlineStr">
        <is>
          <t>推广后变化</t>
        </is>
      </c>
      <c r="D4" s="5" t="inlineStr">
        <is>
          <t>推广前变化</t>
        </is>
      </c>
      <c r="E4" s="5" t="inlineStr">
        <is>
          <t>推广花费变化</t>
        </is>
      </c>
      <c r="F4" s="5" t="inlineStr">
        <is>
          <t>整段主因</t>
        </is>
      </c>
      <c r="G4" s="5" t="inlineStr">
        <is>
          <t>领导解读</t>
        </is>
      </c>
    </row>
    <row r="5" ht="36" customHeight="1">
      <c r="A5" s="6" t="inlineStr">
        <is>
          <t>阶段C</t>
        </is>
      </c>
      <c r="B5" s="11" t="inlineStr">
        <is>
          <t>7.6-7.12 → 7.13-7.19</t>
        </is>
      </c>
      <c r="C5" s="14" t="n">
        <v>-1072</v>
      </c>
      <c r="D5" s="14" t="n">
        <v>-3191</v>
      </c>
      <c r="E5" s="14" t="n">
        <v>-2596</v>
      </c>
      <c r="F5" s="16" t="inlineStr">
        <is>
          <t>主要是推广前利润下降</t>
        </is>
      </c>
      <c r="G5" s="7" t="inlineStr">
        <is>
          <t>量掉导致推广前掉，主链/30包/24包拖累；需规格搭配复盘</t>
        </is>
      </c>
    </row>
    <row r="6" ht="36" customHeight="1">
      <c r="A6" s="6" t="inlineStr">
        <is>
          <t>阶段D</t>
        </is>
      </c>
      <c r="B6" s="11" t="inlineStr">
        <is>
          <t>7.13-7.19 → 7.20-7.26</t>
        </is>
      </c>
      <c r="C6" s="14" t="n">
        <v>-432</v>
      </c>
      <c r="D6" s="14" t="n">
        <v>-150</v>
      </c>
      <c r="E6" s="12" t="n">
        <v>607</v>
      </c>
      <c r="F6" s="17" t="inlineStr">
        <is>
          <t>主要是推广费上升</t>
        </is>
      </c>
      <c r="G6" s="7" t="inlineStr">
        <is>
          <t>次链与30包加投，费率吃利润；先砍花费</t>
        </is>
      </c>
    </row>
    <row r="7" ht="36" customHeight="1">
      <c r="A7" s="6" t="inlineStr">
        <is>
          <t>阶段E</t>
        </is>
      </c>
      <c r="B7" s="11" t="inlineStr">
        <is>
          <t>7.20-7.26 → 7.27-8.2</t>
        </is>
      </c>
      <c r="C7" s="12" t="n">
        <v>504</v>
      </c>
      <c r="D7" s="12" t="n">
        <v>1501</v>
      </c>
      <c r="E7" s="12" t="n">
        <v>1027</v>
      </c>
      <c r="F7" s="15" t="inlineStr">
        <is>
          <t>本期改善</t>
        </is>
      </c>
      <c r="G7" s="7" t="inlineStr">
        <is>
          <t>整体小幅修复，局部仍有加投与规格走弱</t>
        </is>
      </c>
    </row>
    <row r="9">
      <c r="A9" s="3" t="inlineStr">
        <is>
          <t>阶段C 拖累TOP（7.6-7.12→7.13-7.19）｜整段主因：主要是推广前利润下降</t>
        </is>
      </c>
    </row>
    <row r="10" ht="26" customHeight="1">
      <c r="A10" s="5" t="inlineStr">
        <is>
          <t>排名</t>
        </is>
      </c>
      <c r="B10" s="5" t="inlineStr">
        <is>
          <t>商品ID</t>
        </is>
      </c>
      <c r="C10" s="5" t="inlineStr">
        <is>
          <t>定位</t>
        </is>
      </c>
      <c r="D10" s="5" t="inlineStr">
        <is>
          <t>d推广后</t>
        </is>
      </c>
      <c r="E10" s="5" t="inlineStr">
        <is>
          <t>d推广前</t>
        </is>
      </c>
      <c r="F10" s="5" t="inlineStr">
        <is>
          <t>d推广花费</t>
        </is>
      </c>
      <c r="G10" s="5" t="inlineStr">
        <is>
          <t>d成交</t>
        </is>
      </c>
      <c r="H10" s="5" t="inlineStr">
        <is>
          <t>原因</t>
        </is>
      </c>
    </row>
    <row r="11">
      <c r="A11" s="11" t="n">
        <v>1</v>
      </c>
      <c r="B11" s="11" t="inlineStr">
        <is>
          <t>668566625747</t>
        </is>
      </c>
      <c r="C11" s="11" t="inlineStr">
        <is>
          <t>袋面主链接</t>
        </is>
      </c>
      <c r="D11" s="14" t="n">
        <v>-666</v>
      </c>
      <c r="E11" s="14" t="n">
        <v>-597</v>
      </c>
      <c r="F11" s="14" t="n">
        <v>-133</v>
      </c>
      <c r="G11" s="14" t="n">
        <v>-3204</v>
      </c>
      <c r="H11" s="16" t="inlineStr">
        <is>
          <t>推广前利润下降</t>
        </is>
      </c>
    </row>
    <row r="12">
      <c r="A12" s="11" t="n">
        <v>2</v>
      </c>
      <c r="B12" s="11" t="inlineStr">
        <is>
          <t>648600900806</t>
        </is>
      </c>
      <c r="C12" s="11" t="inlineStr">
        <is>
          <t>30包</t>
        </is>
      </c>
      <c r="D12" s="14" t="n">
        <v>-244</v>
      </c>
      <c r="E12" s="14" t="n">
        <v>-587</v>
      </c>
      <c r="F12" s="14" t="n">
        <v>-359</v>
      </c>
      <c r="G12" s="14" t="n">
        <v>-3205</v>
      </c>
      <c r="H12" s="16" t="inlineStr">
        <is>
          <t>推广前利润下降</t>
        </is>
      </c>
    </row>
    <row r="13">
      <c r="A13" s="11" t="n">
        <v>3</v>
      </c>
      <c r="B13" s="11" t="inlineStr">
        <is>
          <t>649369494424</t>
        </is>
      </c>
      <c r="C13" s="11" t="inlineStr">
        <is>
          <t>24包经典/牛系列</t>
        </is>
      </c>
      <c r="D13" s="14" t="n">
        <v>-211</v>
      </c>
      <c r="E13" s="14" t="n">
        <v>-486</v>
      </c>
      <c r="F13" s="14" t="n">
        <v>-287</v>
      </c>
      <c r="G13" s="14" t="n">
        <v>-2590</v>
      </c>
      <c r="H13" s="16" t="inlineStr">
        <is>
          <t>推广前利润下降</t>
        </is>
      </c>
    </row>
    <row r="14">
      <c r="A14" s="11" t="n">
        <v>4</v>
      </c>
      <c r="B14" s="11" t="inlineStr">
        <is>
          <t>766165464414</t>
        </is>
      </c>
      <c r="C14" s="11" t="inlineStr">
        <is>
          <t>12包</t>
        </is>
      </c>
      <c r="D14" s="14" t="n">
        <v>-119</v>
      </c>
      <c r="E14" s="14" t="n">
        <v>-156</v>
      </c>
      <c r="F14" s="14" t="n">
        <v>-30</v>
      </c>
      <c r="G14" s="14" t="n">
        <v>-810</v>
      </c>
      <c r="H14" s="16" t="inlineStr">
        <is>
          <t>推广前利润下降</t>
        </is>
      </c>
    </row>
    <row r="15">
      <c r="A15" s="11" t="n">
        <v>5</v>
      </c>
      <c r="B15" s="11" t="inlineStr">
        <is>
          <t>648598580775</t>
        </is>
      </c>
      <c r="C15" s="11" t="inlineStr">
        <is>
          <t>原味大包</t>
        </is>
      </c>
      <c r="D15" s="14" t="n">
        <v>-100</v>
      </c>
      <c r="E15" s="14" t="n">
        <v>-200</v>
      </c>
      <c r="F15" s="14" t="n">
        <v>-106</v>
      </c>
      <c r="G15" s="14" t="n">
        <v>-985</v>
      </c>
      <c r="H15" s="16" t="inlineStr">
        <is>
          <t>推广前利润下降</t>
        </is>
      </c>
    </row>
    <row r="16">
      <c r="A16" s="11" t="n">
        <v>6</v>
      </c>
      <c r="B16" s="11" t="inlineStr">
        <is>
          <t>1059563993918</t>
        </is>
      </c>
      <c r="C16" s="11" t="inlineStr">
        <is>
          <t>原味大包</t>
        </is>
      </c>
      <c r="D16" s="14" t="n">
        <v>-65</v>
      </c>
      <c r="E16" s="14" t="n">
        <v>-46</v>
      </c>
      <c r="F16" s="12" t="n">
        <v>8</v>
      </c>
      <c r="G16" s="12" t="n">
        <v>147</v>
      </c>
      <c r="H16" s="16" t="inlineStr">
        <is>
          <t>推广前利润下降</t>
        </is>
      </c>
    </row>
    <row r="18">
      <c r="A18" s="3" t="inlineStr">
        <is>
          <t>阶段D 拖累TOP（7.13-7.19→7.20-7.26）｜整段主因：主要是推广费上升</t>
        </is>
      </c>
    </row>
    <row r="19" ht="26" customHeight="1">
      <c r="A19" s="5" t="inlineStr">
        <is>
          <t>排名</t>
        </is>
      </c>
      <c r="B19" s="5" t="inlineStr">
        <is>
          <t>商品ID</t>
        </is>
      </c>
      <c r="C19" s="5" t="inlineStr">
        <is>
          <t>定位</t>
        </is>
      </c>
      <c r="D19" s="5" t="inlineStr">
        <is>
          <t>d推广后</t>
        </is>
      </c>
      <c r="E19" s="5" t="inlineStr">
        <is>
          <t>d推广前</t>
        </is>
      </c>
      <c r="F19" s="5" t="inlineStr">
        <is>
          <t>d推广花费</t>
        </is>
      </c>
      <c r="G19" s="5" t="inlineStr">
        <is>
          <t>d成交</t>
        </is>
      </c>
      <c r="H19" s="5" t="inlineStr">
        <is>
          <t>原因</t>
        </is>
      </c>
    </row>
    <row r="20">
      <c r="A20" s="11" t="n">
        <v>1</v>
      </c>
      <c r="B20" s="11" t="inlineStr">
        <is>
          <t>649361890551</t>
        </is>
      </c>
      <c r="C20" s="11" t="inlineStr">
        <is>
          <t>袋面次链接</t>
        </is>
      </c>
      <c r="D20" s="14" t="n">
        <v>-266</v>
      </c>
      <c r="E20" s="12" t="n">
        <v>195</v>
      </c>
      <c r="F20" s="12" t="n">
        <v>529</v>
      </c>
      <c r="G20" s="12" t="n">
        <v>1346</v>
      </c>
      <c r="H20" s="17" t="inlineStr">
        <is>
          <t>推广费上升</t>
        </is>
      </c>
    </row>
    <row r="21">
      <c r="A21" s="11" t="n">
        <v>2</v>
      </c>
      <c r="B21" s="11" t="inlineStr">
        <is>
          <t>648600900806</t>
        </is>
      </c>
      <c r="C21" s="11" t="inlineStr">
        <is>
          <t>30包</t>
        </is>
      </c>
      <c r="D21" s="14" t="n">
        <v>-256</v>
      </c>
      <c r="E21" s="12" t="n">
        <v>30</v>
      </c>
      <c r="F21" s="12" t="n">
        <v>312</v>
      </c>
      <c r="G21" s="14" t="n">
        <v>-115</v>
      </c>
      <c r="H21" s="17" t="inlineStr">
        <is>
          <t>推广费上升</t>
        </is>
      </c>
    </row>
    <row r="22">
      <c r="A22" s="11" t="n">
        <v>3</v>
      </c>
      <c r="B22" s="11" t="inlineStr">
        <is>
          <t>649014937782</t>
        </is>
      </c>
      <c r="C22" s="11" t="inlineStr">
        <is>
          <t>原味大包</t>
        </is>
      </c>
      <c r="D22" s="14" t="n">
        <v>-113</v>
      </c>
      <c r="E22" s="14" t="n">
        <v>-151</v>
      </c>
      <c r="F22" s="14" t="n">
        <v>-23</v>
      </c>
      <c r="G22" s="14" t="n">
        <v>-939</v>
      </c>
      <c r="H22" s="16" t="inlineStr">
        <is>
          <t>推广前利润下降</t>
        </is>
      </c>
    </row>
    <row r="23">
      <c r="A23" s="11" t="n">
        <v>4</v>
      </c>
      <c r="B23" s="11" t="inlineStr">
        <is>
          <t>735014804839</t>
        </is>
      </c>
      <c r="C23" s="11" t="inlineStr">
        <is>
          <t>24/30包</t>
        </is>
      </c>
      <c r="D23" s="14" t="n">
        <v>-101</v>
      </c>
      <c r="E23" s="14" t="n">
        <v>-160</v>
      </c>
      <c r="F23" s="14" t="n">
        <v>-54</v>
      </c>
      <c r="G23" s="14" t="n">
        <v>-820</v>
      </c>
      <c r="H23" s="16" t="inlineStr">
        <is>
          <t>推广前利润下降</t>
        </is>
      </c>
    </row>
    <row r="24">
      <c r="A24" s="11" t="n">
        <v>5</v>
      </c>
      <c r="B24" s="11" t="inlineStr">
        <is>
          <t>1013887677295</t>
        </is>
      </c>
      <c r="C24" s="11" t="inlineStr">
        <is>
          <t>原味大包</t>
        </is>
      </c>
      <c r="D24" s="14" t="n">
        <v>-49</v>
      </c>
      <c r="E24" s="12" t="n">
        <v>10</v>
      </c>
      <c r="F24" s="12" t="n">
        <v>75</v>
      </c>
      <c r="G24" s="14" t="n">
        <v>-216</v>
      </c>
      <c r="H24" s="17" t="inlineStr">
        <is>
          <t>推广费上升</t>
        </is>
      </c>
    </row>
    <row r="25">
      <c r="A25" s="11" t="n">
        <v>6</v>
      </c>
      <c r="B25" s="11" t="inlineStr">
        <is>
          <t>648598580775</t>
        </is>
      </c>
      <c r="C25" s="11" t="inlineStr">
        <is>
          <t>原味大包</t>
        </is>
      </c>
      <c r="D25" s="14" t="n">
        <v>-43</v>
      </c>
      <c r="E25" s="14" t="n">
        <v>-87</v>
      </c>
      <c r="F25" s="14" t="n">
        <v>-33</v>
      </c>
      <c r="G25" s="14" t="n">
        <v>-487</v>
      </c>
      <c r="H25" s="16" t="inlineStr">
        <is>
          <t>推广前利润下降</t>
        </is>
      </c>
    </row>
    <row r="27">
      <c r="A27" s="3" t="inlineStr">
        <is>
          <t>阶段E 拖累TOP（7.20-7.26→7.27-8.2）｜整段主因：本期改善</t>
        </is>
      </c>
    </row>
    <row r="28" ht="26" customHeight="1">
      <c r="A28" s="5" t="inlineStr">
        <is>
          <t>排名</t>
        </is>
      </c>
      <c r="B28" s="5" t="inlineStr">
        <is>
          <t>商品ID</t>
        </is>
      </c>
      <c r="C28" s="5" t="inlineStr">
        <is>
          <t>定位</t>
        </is>
      </c>
      <c r="D28" s="5" t="inlineStr">
        <is>
          <t>d推广后</t>
        </is>
      </c>
      <c r="E28" s="5" t="inlineStr">
        <is>
          <t>d推广前</t>
        </is>
      </c>
      <c r="F28" s="5" t="inlineStr">
        <is>
          <t>d推广花费</t>
        </is>
      </c>
      <c r="G28" s="5" t="inlineStr">
        <is>
          <t>d成交</t>
        </is>
      </c>
      <c r="H28" s="5" t="inlineStr">
        <is>
          <t>原因</t>
        </is>
      </c>
    </row>
    <row r="29">
      <c r="A29" s="11" t="n">
        <v>1</v>
      </c>
      <c r="B29" s="11" t="inlineStr">
        <is>
          <t>648681860568</t>
        </is>
      </c>
      <c r="C29" s="11" t="inlineStr">
        <is>
          <t>杯面次链接</t>
        </is>
      </c>
      <c r="D29" s="14" t="n">
        <v>-170</v>
      </c>
      <c r="E29" s="14" t="n">
        <v>-60</v>
      </c>
      <c r="F29" s="12" t="n">
        <v>109</v>
      </c>
      <c r="G29" s="14" t="n">
        <v>-20</v>
      </c>
      <c r="H29" s="17" t="inlineStr">
        <is>
          <t>推广费上升</t>
        </is>
      </c>
    </row>
    <row r="30">
      <c r="A30" s="11" t="n">
        <v>2</v>
      </c>
      <c r="B30" s="11" t="inlineStr">
        <is>
          <t>649369494424</t>
        </is>
      </c>
      <c r="C30" s="11" t="inlineStr">
        <is>
          <t>24包经典/牛系列</t>
        </is>
      </c>
      <c r="D30" s="14" t="n">
        <v>-116</v>
      </c>
      <c r="E30" s="12" t="n">
        <v>8</v>
      </c>
      <c r="F30" s="12" t="n">
        <v>133</v>
      </c>
      <c r="G30" s="12" t="n">
        <v>138</v>
      </c>
      <c r="H30" s="17" t="inlineStr">
        <is>
          <t>推广费上升</t>
        </is>
      </c>
    </row>
    <row r="31">
      <c r="A31" s="11" t="n">
        <v>3</v>
      </c>
      <c r="B31" s="11" t="inlineStr">
        <is>
          <t>969423151512</t>
        </is>
      </c>
      <c r="C31" s="11" t="inlineStr">
        <is>
          <t>日韩混搭</t>
        </is>
      </c>
      <c r="D31" s="14" t="n">
        <v>-59</v>
      </c>
      <c r="E31" s="14" t="n">
        <v>-32</v>
      </c>
      <c r="F31" s="12" t="n">
        <v>31</v>
      </c>
      <c r="G31" s="14" t="n">
        <v>-27</v>
      </c>
      <c r="H31" s="16" t="inlineStr">
        <is>
          <t>推广前利润下降</t>
        </is>
      </c>
    </row>
    <row r="32">
      <c r="A32" s="11" t="n">
        <v>4</v>
      </c>
      <c r="B32" s="11" t="inlineStr">
        <is>
          <t>649014937782</t>
        </is>
      </c>
      <c r="C32" s="11" t="inlineStr">
        <is>
          <t>24包</t>
        </is>
      </c>
      <c r="D32" s="14" t="n">
        <v>-59</v>
      </c>
      <c r="E32" s="14" t="n">
        <v>-85</v>
      </c>
      <c r="F32" s="14" t="n">
        <v>-23</v>
      </c>
      <c r="G32" s="14" t="n">
        <v>-362</v>
      </c>
      <c r="H32" s="16" t="inlineStr">
        <is>
          <t>推广前利润下降</t>
        </is>
      </c>
    </row>
    <row r="33">
      <c r="A33" s="11" t="n">
        <v>5</v>
      </c>
      <c r="B33" s="11" t="inlineStr">
        <is>
          <t>744317232690</t>
        </is>
      </c>
      <c r="C33" s="11" t="inlineStr">
        <is>
          <t>多规格</t>
        </is>
      </c>
      <c r="D33" s="14" t="n">
        <v>-56</v>
      </c>
      <c r="E33" s="14" t="n">
        <v>-66</v>
      </c>
      <c r="F33" s="14" t="n">
        <v>-6</v>
      </c>
      <c r="G33" s="14" t="n">
        <v>-389</v>
      </c>
      <c r="H33" s="16" t="inlineStr">
        <is>
          <t>推广前利润下降</t>
        </is>
      </c>
    </row>
    <row r="34">
      <c r="A34" s="11" t="n">
        <v>6</v>
      </c>
      <c r="B34" s="11" t="inlineStr">
        <is>
          <t>937005385662</t>
        </is>
      </c>
      <c r="C34" s="11" t="inlineStr">
        <is>
          <t>日式袋面</t>
        </is>
      </c>
      <c r="D34" s="14" t="n">
        <v>-48</v>
      </c>
      <c r="E34" s="14" t="n">
        <v>-3</v>
      </c>
      <c r="F34" s="12" t="n">
        <v>47</v>
      </c>
      <c r="G34" s="12" t="n">
        <v>12</v>
      </c>
      <c r="H34" s="17" t="inlineStr">
        <is>
          <t>推广费上升</t>
        </is>
      </c>
    </row>
  </sheetData>
  <mergeCells count="4">
    <mergeCell ref="A9:H9"/>
    <mergeCell ref="A27:H27"/>
    <mergeCell ref="A18:H18"/>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0"/>
  <sheetViews>
    <sheetView workbookViewId="0">
      <pane ySplit="12" topLeftCell="A13" activePane="bottomLeft" state="frozen"/>
      <selection pane="bottomLeft" activeCell="A1" sqref="A1"/>
    </sheetView>
  </sheetViews>
  <sheetFormatPr baseColWidth="8" defaultRowHeight="15"/>
  <cols>
    <col width="16" customWidth="1" min="1" max="1"/>
    <col width="12" customWidth="1" min="2" max="2"/>
    <col width="8" customWidth="1" min="3" max="3"/>
    <col width="48" customWidth="1" min="4" max="4"/>
    <col width="10" customWidth="1" min="5" max="5"/>
    <col width="10" customWidth="1" min="6" max="6"/>
    <col width="10" customWidth="1" min="7" max="7"/>
    <col width="10" customWidth="1" min="8" max="8"/>
    <col width="10" customWidth="1" min="9" max="9"/>
    <col width="10" customWidth="1" min="10" max="10"/>
  </cols>
  <sheetData>
    <row r="1">
      <c r="A1" s="1" t="inlineStr">
        <is>
          <t>规格搭配分析（当主因=推广前利润下降时必看）</t>
        </is>
      </c>
    </row>
    <row r="2">
      <c r="A2" s="2" t="inlineStr">
        <is>
          <t>指标：推广前利润。利润起伏由头部件搭配驱动；袋面看10/15/24/30包，杯面看6杯。复盘用「链接×规格搭配」。</t>
        </is>
      </c>
    </row>
    <row r="4">
      <c r="A4" s="3" t="inlineStr">
        <is>
          <t>关系结论</t>
        </is>
      </c>
    </row>
    <row r="5" ht="26" customHeight="1">
      <c r="A5" s="21" t="inlineStr">
        <is>
          <t>1. 袋面推广前5→7约-1.0万，由少数大搭配主导，不是均匀下滑；5→6先大跌，6→7略回升。</t>
        </is>
      </c>
      <c r="B5" s="8" t="n"/>
      <c r="C5" s="8" t="n"/>
      <c r="D5" s="8" t="n"/>
      <c r="E5" s="8" t="n"/>
      <c r="F5" s="8" t="n"/>
      <c r="G5" s="8" t="n"/>
      <c r="H5" s="8" t="n"/>
      <c r="I5" s="8" t="n"/>
      <c r="J5" s="9" t="n"/>
    </row>
    <row r="6" ht="26" customHeight="1">
      <c r="A6" s="21" t="inlineStr">
        <is>
          <t>2. 规格数上：15包、24包、30包走弱明显；10包盘子最大。</t>
        </is>
      </c>
      <c r="B6" s="8" t="n"/>
      <c r="C6" s="8" t="n"/>
      <c r="D6" s="8" t="n"/>
      <c r="E6" s="8" t="n"/>
      <c r="F6" s="8" t="n"/>
      <c r="G6" s="8" t="n"/>
      <c r="H6" s="8" t="n"/>
      <c r="I6" s="8" t="n"/>
      <c r="J6" s="9" t="n"/>
    </row>
    <row r="7" ht="26" customHeight="1">
      <c r="A7" s="21" t="inlineStr">
        <is>
          <t>3. 5月部分大混搭7月归零，对袋面净下降冲击大——结构切换要评估。</t>
        </is>
      </c>
      <c r="B7" s="8" t="n"/>
      <c r="C7" s="8" t="n"/>
      <c r="D7" s="8" t="n"/>
      <c r="E7" s="8" t="n"/>
      <c r="F7" s="8" t="n"/>
      <c r="G7" s="8" t="n"/>
      <c r="H7" s="8" t="n"/>
      <c r="I7" s="8" t="n"/>
      <c r="J7" s="9" t="n"/>
    </row>
    <row r="8" ht="26" customHeight="1">
      <c r="A8" s="21" t="inlineStr">
        <is>
          <t>4. 纯原味箱规下滑显著；新混搭未能完全补上箱规缺口。</t>
        </is>
      </c>
      <c r="B8" s="8" t="n"/>
      <c r="C8" s="8" t="n"/>
      <c r="D8" s="8" t="n"/>
      <c r="E8" s="8" t="n"/>
      <c r="F8" s="8" t="n"/>
      <c r="G8" s="8" t="n"/>
      <c r="H8" s="8" t="n"/>
      <c r="I8" s="8" t="n"/>
      <c r="J8" s="9" t="n"/>
    </row>
    <row r="9" ht="26" customHeight="1">
      <c r="A9" s="21" t="inlineStr">
        <is>
          <t>5. 与ID叙事一致：5747/0551/30包/24包/15包的推广前波动，应对到具体搭配。</t>
        </is>
      </c>
      <c r="B9" s="8" t="n"/>
      <c r="C9" s="8" t="n"/>
      <c r="D9" s="8" t="n"/>
      <c r="E9" s="8" t="n"/>
      <c r="F9" s="8" t="n"/>
      <c r="G9" s="8" t="n"/>
      <c r="H9" s="8" t="n"/>
      <c r="I9" s="8" t="n"/>
      <c r="J9" s="9" t="n"/>
    </row>
    <row r="11">
      <c r="A11" s="3" t="inlineStr">
        <is>
          <t>袋面搭配：5→7推广前下跌TOP（含商品ID）</t>
        </is>
      </c>
    </row>
    <row r="12" ht="26" customHeight="1">
      <c r="A12" s="5" t="inlineStr">
        <is>
          <t>商品ID</t>
        </is>
      </c>
      <c r="B12" s="5" t="inlineStr">
        <is>
          <t>定位</t>
        </is>
      </c>
      <c r="C12" s="5" t="inlineStr">
        <is>
          <t>规格数</t>
        </is>
      </c>
      <c r="D12" s="5" t="inlineStr">
        <is>
          <t>商品规格搭配</t>
        </is>
      </c>
      <c r="E12" s="5" t="inlineStr">
        <is>
          <t>5月</t>
        </is>
      </c>
      <c r="F12" s="5" t="inlineStr">
        <is>
          <t>6月</t>
        </is>
      </c>
      <c r="G12" s="5" t="inlineStr">
        <is>
          <t>7月</t>
        </is>
      </c>
      <c r="H12" s="5" t="inlineStr">
        <is>
          <t>6月减5月</t>
        </is>
      </c>
      <c r="I12" s="5" t="inlineStr">
        <is>
          <t>7月减6月</t>
        </is>
      </c>
      <c r="J12" s="5" t="inlineStr">
        <is>
          <t>7月减5月</t>
        </is>
      </c>
    </row>
    <row r="13" ht="32" customHeight="1">
      <c r="A13" s="11" t="inlineStr">
        <is>
          <t>649014937782</t>
        </is>
      </c>
      <c r="B13" s="11" t="inlineStr">
        <is>
          <t>24包</t>
        </is>
      </c>
      <c r="C13" s="11" t="n">
        <v>24</v>
      </c>
      <c r="D13" s="7" t="inlineStr">
        <is>
          <t>原味*24</t>
        </is>
      </c>
      <c r="E13" s="12" t="n">
        <v>3235</v>
      </c>
      <c r="F13" s="12" t="n">
        <v>1873</v>
      </c>
      <c r="G13" s="12" t="n">
        <v>1553</v>
      </c>
      <c r="H13" s="14" t="n">
        <v>-1363</v>
      </c>
      <c r="I13" s="14" t="n">
        <v>-320</v>
      </c>
      <c r="J13" s="14" t="n">
        <v>-1682</v>
      </c>
    </row>
    <row r="14" ht="32" customHeight="1">
      <c r="A14" s="11" t="inlineStr">
        <is>
          <t>668566625747</t>
        </is>
      </c>
      <c r="B14" s="11" t="inlineStr">
        <is>
          <t>袋面主链接</t>
        </is>
      </c>
      <c r="C14" s="11" t="n">
        <v>10</v>
      </c>
      <c r="D14" s="7" t="inlineStr">
        <is>
          <t>原味*2+香辣*1+香牛*1+大骨*1+茄牛*1+日式原*1+日式辣*1+韩式辣火鸡*1+韩式辣蘑菇*1</t>
        </is>
      </c>
      <c r="E14" s="12" t="n">
        <v>1623</v>
      </c>
      <c r="F14" s="12" t="n"/>
      <c r="G14" s="12" t="n"/>
      <c r="H14" s="14" t="n">
        <v>-1623</v>
      </c>
      <c r="I14" s="12" t="n">
        <v>0</v>
      </c>
      <c r="J14" s="14" t="n">
        <v>-1623</v>
      </c>
    </row>
    <row r="15" ht="32" customHeight="1">
      <c r="A15" s="11" t="inlineStr">
        <is>
          <t>648598580775</t>
        </is>
      </c>
      <c r="B15" s="11" t="inlineStr">
        <is>
          <t>15包</t>
        </is>
      </c>
      <c r="C15" s="11" t="n">
        <v>15</v>
      </c>
      <c r="D15" s="7" t="inlineStr">
        <is>
          <t>原味*15</t>
        </is>
      </c>
      <c r="E15" s="12" t="n">
        <v>2210</v>
      </c>
      <c r="F15" s="12" t="n">
        <v>1067</v>
      </c>
      <c r="G15" s="12" t="n">
        <v>764</v>
      </c>
      <c r="H15" s="14" t="n">
        <v>-1143</v>
      </c>
      <c r="I15" s="14" t="n">
        <v>-304</v>
      </c>
      <c r="J15" s="14" t="n">
        <v>-1447</v>
      </c>
    </row>
    <row r="16" ht="32" customHeight="1">
      <c r="A16" s="11" t="inlineStr">
        <is>
          <t>649361890551</t>
        </is>
      </c>
      <c r="B16" s="11" t="inlineStr">
        <is>
          <t>袋面次链接</t>
        </is>
      </c>
      <c r="C16" s="11" t="n">
        <v>10</v>
      </c>
      <c r="D16" s="7" t="inlineStr">
        <is>
          <t>原味*2+香辣*1+香牛*1+大骨*1+茄牛*1+日式原*1+日式辣*1+韩式辣火鸡*1+韩式辣蘑菇*1</t>
        </is>
      </c>
      <c r="E16" s="12" t="n">
        <v>1306</v>
      </c>
      <c r="F16" s="12" t="n"/>
      <c r="G16" s="12" t="n"/>
      <c r="H16" s="14" t="n">
        <v>-1306</v>
      </c>
      <c r="I16" s="12" t="n">
        <v>0</v>
      </c>
      <c r="J16" s="14" t="n">
        <v>-1306</v>
      </c>
    </row>
    <row r="17" ht="32" customHeight="1">
      <c r="A17" s="11" t="inlineStr">
        <is>
          <t>649014937782</t>
        </is>
      </c>
      <c r="B17" s="11" t="inlineStr">
        <is>
          <t>24包</t>
        </is>
      </c>
      <c r="C17" s="11" t="n">
        <v>24</v>
      </c>
      <c r="D17" s="7" t="inlineStr">
        <is>
          <t>原味*6+香辣*6+大骨*6+日式原*6</t>
        </is>
      </c>
      <c r="E17" s="12" t="n">
        <v>1282</v>
      </c>
      <c r="F17" s="12" t="n">
        <v>466</v>
      </c>
      <c r="G17" s="12" t="n">
        <v>361</v>
      </c>
      <c r="H17" s="14" t="n">
        <v>-815</v>
      </c>
      <c r="I17" s="14" t="n">
        <v>-105</v>
      </c>
      <c r="J17" s="14" t="n">
        <v>-920</v>
      </c>
    </row>
    <row r="18" ht="32" customHeight="1">
      <c r="A18" s="11" t="inlineStr">
        <is>
          <t>648600900806</t>
        </is>
      </c>
      <c r="B18" s="11" t="inlineStr">
        <is>
          <t>30包</t>
        </is>
      </c>
      <c r="C18" s="11" t="n">
        <v>30</v>
      </c>
      <c r="D18" s="7" t="inlineStr">
        <is>
          <t>原味*10+香辣*5+香牛*5+大骨*5+茄牛*5</t>
        </is>
      </c>
      <c r="E18" s="12" t="n">
        <v>1079</v>
      </c>
      <c r="F18" s="12" t="n">
        <v>224</v>
      </c>
      <c r="G18" s="12" t="n">
        <v>176</v>
      </c>
      <c r="H18" s="14" t="n">
        <v>-856</v>
      </c>
      <c r="I18" s="14" t="n">
        <v>-47</v>
      </c>
      <c r="J18" s="14" t="n">
        <v>-903</v>
      </c>
    </row>
    <row r="19" ht="32" customHeight="1">
      <c r="A19" s="11" t="inlineStr">
        <is>
          <t>648598580775</t>
        </is>
      </c>
      <c r="B19" s="11" t="inlineStr">
        <is>
          <t>15包</t>
        </is>
      </c>
      <c r="C19" s="11" t="n">
        <v>15</v>
      </c>
      <c r="D19" s="7" t="inlineStr">
        <is>
          <t>原味*2+香辣*2+香牛*2+火鸡*2+大骨*2+茄牛*2+日式原*1+日式辣*1+韩式辣火鸡*1</t>
        </is>
      </c>
      <c r="E19" s="12" t="n">
        <v>862</v>
      </c>
      <c r="F19" s="12" t="n"/>
      <c r="G19" s="12" t="n"/>
      <c r="H19" s="14" t="n">
        <v>-862</v>
      </c>
      <c r="I19" s="12" t="n">
        <v>0</v>
      </c>
      <c r="J19" s="14" t="n">
        <v>-862</v>
      </c>
    </row>
    <row r="20" ht="32" customHeight="1">
      <c r="A20" s="11" t="inlineStr">
        <is>
          <t>648600900806</t>
        </is>
      </c>
      <c r="B20" s="11" t="inlineStr">
        <is>
          <t>30包</t>
        </is>
      </c>
      <c r="C20" s="11" t="n">
        <v>30</v>
      </c>
      <c r="D20" s="7" t="inlineStr">
        <is>
          <t>原味*30</t>
        </is>
      </c>
      <c r="E20" s="12" t="n">
        <v>3860</v>
      </c>
      <c r="F20" s="12" t="n">
        <v>3462</v>
      </c>
      <c r="G20" s="12" t="n">
        <v>3072</v>
      </c>
      <c r="H20" s="14" t="n">
        <v>-397</v>
      </c>
      <c r="I20" s="14" t="n">
        <v>-390</v>
      </c>
      <c r="J20" s="14" t="n">
        <v>-787</v>
      </c>
    </row>
    <row r="21" ht="32" customHeight="1">
      <c r="A21" s="11" t="inlineStr">
        <is>
          <t>648600900806</t>
        </is>
      </c>
      <c r="B21" s="11" t="inlineStr">
        <is>
          <t>30包</t>
        </is>
      </c>
      <c r="C21" s="11" t="n">
        <v>30</v>
      </c>
      <c r="D21" s="7" t="inlineStr">
        <is>
          <t>原味*8+香辣*5+香牛*5+大��*5+茄牛*5+韩式辣火鸡*1+韩式辣蘑菇*1</t>
        </is>
      </c>
      <c r="E21" s="12" t="n">
        <v>692</v>
      </c>
      <c r="F21" s="12" t="n"/>
      <c r="G21" s="12" t="n"/>
      <c r="H21" s="14" t="n">
        <v>-692</v>
      </c>
      <c r="I21" s="12" t="n">
        <v>0</v>
      </c>
      <c r="J21" s="14" t="n">
        <v>-692</v>
      </c>
    </row>
    <row r="22" ht="32" customHeight="1">
      <c r="A22" s="11" t="inlineStr">
        <is>
          <t>668566625747</t>
        </is>
      </c>
      <c r="B22" s="11" t="inlineStr">
        <is>
          <t>袋面主链接</t>
        </is>
      </c>
      <c r="C22" s="11" t="n">
        <v>10</v>
      </c>
      <c r="D22" s="7" t="inlineStr">
        <is>
          <t>原味*2+香辣*2+香牛*2+大骨*1+日式原*1+日式辣*1+韩式辣火鸡*1</t>
        </is>
      </c>
      <c r="E22" s="12" t="n">
        <v>564</v>
      </c>
      <c r="F22" s="12" t="n"/>
      <c r="G22" s="12" t="n"/>
      <c r="H22" s="14" t="n">
        <v>-564</v>
      </c>
      <c r="I22" s="12" t="n">
        <v>0</v>
      </c>
      <c r="J22" s="14" t="n">
        <v>-564</v>
      </c>
    </row>
    <row r="23" ht="32" customHeight="1">
      <c r="A23" s="11" t="inlineStr">
        <is>
          <t>649014937782</t>
        </is>
      </c>
      <c r="B23" s="11" t="inlineStr">
        <is>
          <t>24包</t>
        </is>
      </c>
      <c r="C23" s="11" t="n">
        <v>24</v>
      </c>
      <c r="D23" s="7" t="inlineStr">
        <is>
          <t>原味*4+香辣*4+香牛*4+大骨*3+茄牛*3+日式原*2+日式辣*2+韩式辣火鸡*1+韩式辣蘑菇*1</t>
        </is>
      </c>
      <c r="E23" s="12" t="n">
        <v>552</v>
      </c>
      <c r="F23" s="12" t="n"/>
      <c r="G23" s="12" t="n"/>
      <c r="H23" s="14" t="n">
        <v>-552</v>
      </c>
      <c r="I23" s="12" t="n">
        <v>0</v>
      </c>
      <c r="J23" s="14" t="n">
        <v>-552</v>
      </c>
    </row>
    <row r="24" ht="32" customHeight="1">
      <c r="A24" s="11" t="inlineStr">
        <is>
          <t>648598580775</t>
        </is>
      </c>
      <c r="B24" s="11" t="inlineStr">
        <is>
          <t>15包</t>
        </is>
      </c>
      <c r="C24" s="11" t="n">
        <v>15</v>
      </c>
      <c r="D24" s="7" t="inlineStr">
        <is>
          <t>原味*3+香辣*3+香牛*3+大骨*3+茄牛*3</t>
        </is>
      </c>
      <c r="E24" s="12" t="n">
        <v>721</v>
      </c>
      <c r="F24" s="12" t="n">
        <v>270</v>
      </c>
      <c r="G24" s="12" t="n">
        <v>191</v>
      </c>
      <c r="H24" s="14" t="n">
        <v>-452</v>
      </c>
      <c r="I24" s="14" t="n">
        <v>-79</v>
      </c>
      <c r="J24" s="14" t="n">
        <v>-530</v>
      </c>
    </row>
    <row r="25" ht="32" customHeight="1">
      <c r="A25" s="11" t="inlineStr">
        <is>
          <t>648600900806</t>
        </is>
      </c>
      <c r="B25" s="11" t="inlineStr">
        <is>
          <t>30包</t>
        </is>
      </c>
      <c r="C25" s="11" t="n">
        <v>30</v>
      </c>
      <c r="D25" s="7" t="inlineStr">
        <is>
          <t>原味*10+香辣*10+香牛*5+大骨*5</t>
        </is>
      </c>
      <c r="E25" s="12" t="n">
        <v>1157</v>
      </c>
      <c r="F25" s="12" t="n">
        <v>869</v>
      </c>
      <c r="G25" s="12" t="n">
        <v>702</v>
      </c>
      <c r="H25" s="14" t="n">
        <v>-288</v>
      </c>
      <c r="I25" s="14" t="n">
        <v>-168</v>
      </c>
      <c r="J25" s="14" t="n">
        <v>-455</v>
      </c>
    </row>
    <row r="26" ht="32" customHeight="1">
      <c r="A26" s="11" t="inlineStr">
        <is>
          <t>668566625747</t>
        </is>
      </c>
      <c r="B26" s="11" t="inlineStr">
        <is>
          <t>袋面主链接</t>
        </is>
      </c>
      <c r="C26" s="11" t="n">
        <v>15</v>
      </c>
      <c r="D26" s="7" t="inlineStr">
        <is>
          <t>原味*3+香辣*3+香牛*3+大骨*2+茄牛*2+日式原*1+日式辣*1</t>
        </is>
      </c>
      <c r="E26" s="12" t="n">
        <v>404</v>
      </c>
      <c r="F26" s="12" t="n"/>
      <c r="G26" s="12" t="n"/>
      <c r="H26" s="14" t="n">
        <v>-404</v>
      </c>
      <c r="I26" s="12" t="n">
        <v>0</v>
      </c>
      <c r="J26" s="14" t="n">
        <v>-404</v>
      </c>
    </row>
    <row r="27" ht="32" customHeight="1">
      <c r="A27" s="11" t="inlineStr">
        <is>
          <t>649361890551</t>
        </is>
      </c>
      <c r="B27" s="11" t="inlineStr">
        <is>
          <t>袋面次链接</t>
        </is>
      </c>
      <c r="C27" s="11" t="n">
        <v>10</v>
      </c>
      <c r="D27" s="7" t="inlineStr">
        <is>
          <t>原味*10</t>
        </is>
      </c>
      <c r="E27" s="12" t="n">
        <v>1366</v>
      </c>
      <c r="F27" s="12" t="n">
        <v>1391</v>
      </c>
      <c r="G27" s="12" t="n">
        <v>1053</v>
      </c>
      <c r="H27" s="12" t="n">
        <v>25</v>
      </c>
      <c r="I27" s="14" t="n">
        <v>-338</v>
      </c>
      <c r="J27" s="14" t="n">
        <v>-313</v>
      </c>
    </row>
    <row r="30" ht="30" customHeight="1">
      <c r="A30" s="22" t="inlineStr">
        <is>
          <t>领导动作：盯头部件周利润（原味10/30/15/24、主链10包混搭）；混搭上下架先评估利润冲击；复盘必须到「ID×搭配」。</t>
        </is>
      </c>
    </row>
  </sheetData>
  <mergeCells count="8">
    <mergeCell ref="A1:J1"/>
    <mergeCell ref="A5:J5"/>
    <mergeCell ref="A8:J8"/>
    <mergeCell ref="A6:J6"/>
    <mergeCell ref="A9:J9"/>
    <mergeCell ref="A30:J30"/>
    <mergeCell ref="A7:J7"/>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110" customWidth="1" min="1" max="1"/>
  </cols>
  <sheetData>
    <row r="1">
      <c r="A1" s="1" t="inlineStr">
        <is>
          <t>口径与数据说明</t>
        </is>
      </c>
    </row>
    <row r="3">
      <c r="A3" s="23" t="inlineStr">
        <is>
          <t>数据源：天猫ID周损益合并（9周）+ 旗舰店周报其他费用校准 + 规格搭配分析（推广前利润）。</t>
        </is>
      </c>
    </row>
    <row r="4">
      <c r="A4" s="23" t="inlineStr">
        <is>
          <t>其他费用：各周合计以周报为准，按件数占比分摊到ID。</t>
        </is>
      </c>
    </row>
    <row r="5">
      <c r="A5" s="23" t="inlineStr">
        <is>
          <t>推广后利润：推广前 − (推广总花费 + 其他费用) / 1.06。</t>
        </is>
      </c>
    </row>
    <row r="6">
      <c r="A6" s="23" t="inlineStr">
        <is>
          <t>主因判定：环比为负时，若推广前下降幅度 ≥ 推广花费上升的税后影响，则判为「推广前利润下降」；反之判为「推广费上升」。</t>
        </is>
      </c>
    </row>
    <row r="7">
      <c r="A7" s="23" t="inlineStr">
        <is>
          <t>本报告用于领导决策；明细见天猫利润分析.xlsx；搭配桥接见利润变化_规格搭配关系.xlsx。</t>
        </is>
      </c>
    </row>
    <row r="9">
      <c r="A9" s="59" t="inlineStr">
        <is>
          <t>推广后利率=推广后利润/去税金额；利率环比以百分点(pp)表示。</t>
        </is>
      </c>
    </row>
    <row r="10">
      <c r="A10" s="59" t="inlineStr">
        <is>
          <t>利率主因判定：后利率走弱时，若推广前利率下降幅度 ≥ 推广费率上升幅度，则判为「推广前利率下降」；反之判为「推广费率上升」。</t>
        </is>
      </c>
    </row>
  </sheetData>
  <mergeCells count="5">
    <mergeCell ref="A5:F5"/>
    <mergeCell ref="A6:F6"/>
    <mergeCell ref="A4:F4"/>
    <mergeCell ref="A3:F3"/>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6"/>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3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c r="A1" s="24" t="inlineStr">
        <is>
          <t>全量商品ID · 每周推广后净利润明细表</t>
        </is>
      </c>
    </row>
    <row r="2">
      <c r="A2" s="25" t="inlineStr">
        <is>
          <t>口径：数据源1汇总｜数值=推广后净利润｜已按周报校准其他费用</t>
        </is>
      </c>
    </row>
    <row r="4" ht="28" customHeight="1">
      <c r="A4" s="26" t="inlineStr">
        <is>
          <t>商品ID</t>
        </is>
      </c>
      <c r="B4" s="26" t="inlineStr">
        <is>
          <t>定位</t>
        </is>
      </c>
      <c r="C4" s="26" t="inlineStr">
        <is>
          <t>商品名称</t>
        </is>
      </c>
      <c r="D4" s="26" t="inlineStr">
        <is>
          <t>5.11-5.17</t>
        </is>
      </c>
      <c r="E4" s="26" t="inlineStr">
        <is>
          <t>5.25-5.31</t>
        </is>
      </c>
      <c r="F4" s="26" t="inlineStr">
        <is>
          <t>6.15-6.21</t>
        </is>
      </c>
      <c r="G4" s="26" t="inlineStr">
        <is>
          <t>6.22-6.28</t>
        </is>
      </c>
      <c r="H4" s="26" t="inlineStr">
        <is>
          <t>6.29-7.5</t>
        </is>
      </c>
      <c r="I4" s="26" t="inlineStr">
        <is>
          <t>7.6-7.12</t>
        </is>
      </c>
      <c r="J4" s="26" t="inlineStr">
        <is>
          <t>7.13-7.19</t>
        </is>
      </c>
      <c r="K4" s="26" t="inlineStr">
        <is>
          <t>7.20-7.26</t>
        </is>
      </c>
      <c r="L4" s="26" t="inlineStr">
        <is>
          <t>7.27-8.2</t>
        </is>
      </c>
      <c r="M4" s="26" t="inlineStr">
        <is>
          <t>7.6→7.13变化</t>
        </is>
      </c>
    </row>
    <row r="5">
      <c r="A5" s="27" t="inlineStr">
        <is>
          <t>649361890551</t>
        </is>
      </c>
      <c r="B5" s="27" t="inlineStr">
        <is>
          <t>袋面次链接</t>
        </is>
      </c>
      <c r="C5" s="27" t="inlineStr">
        <is>
          <t>营多捞面印尼进口Indomie网红夜宵早餐方便面火鸡面泡面拌面</t>
        </is>
      </c>
      <c r="D5" s="28" t="n">
        <v>-3465.09</v>
      </c>
      <c r="E5" s="28" t="n">
        <v>-2626.22</v>
      </c>
      <c r="F5" s="28" t="n">
        <v>-3785.63</v>
      </c>
      <c r="G5" s="28" t="n">
        <v>-2493.5</v>
      </c>
      <c r="H5" s="28" t="n">
        <v>-1689.62</v>
      </c>
      <c r="I5" s="28" t="n">
        <v>-1807.89</v>
      </c>
      <c r="J5" s="28" t="n">
        <v>-1447.22</v>
      </c>
      <c r="K5" s="28" t="n">
        <v>-1713.16</v>
      </c>
      <c r="L5" s="28" t="n">
        <v>-1753.19</v>
      </c>
      <c r="M5" s="29" t="n">
        <v>360.67</v>
      </c>
    </row>
    <row r="6">
      <c r="A6" s="27" t="inlineStr">
        <is>
          <t>668566625747</t>
        </is>
      </c>
      <c r="B6" s="27" t="inlineStr">
        <is>
          <t>袋面主链接</t>
        </is>
      </c>
      <c r="C6" s="27" t="inlineStr">
        <is>
          <t>印尼营多捞面进口网红泡面袋装方便面速食食品拉面火鸡面拌面整箱</t>
        </is>
      </c>
      <c r="D6" s="28" t="n">
        <v>-1602.92</v>
      </c>
      <c r="E6" s="28" t="n">
        <v>-2183.65</v>
      </c>
      <c r="F6" s="28" t="n">
        <v>-1374.61</v>
      </c>
      <c r="G6" s="28" t="n">
        <v>-1847.35</v>
      </c>
      <c r="H6" s="28" t="n">
        <v>-1031.78</v>
      </c>
      <c r="I6" s="28" t="n">
        <v>-911.42</v>
      </c>
      <c r="J6" s="28" t="n">
        <v>-1577.82</v>
      </c>
      <c r="K6" s="28" t="n">
        <v>-1441.05</v>
      </c>
      <c r="L6" s="28" t="n">
        <v>-629.42</v>
      </c>
      <c r="M6" s="30" t="n">
        <v>-666.4</v>
      </c>
    </row>
    <row r="7">
      <c r="A7" s="27" t="inlineStr">
        <is>
          <t>649735171438</t>
        </is>
      </c>
      <c r="B7" s="27" t="inlineStr">
        <is>
          <t>杯面主链接</t>
        </is>
      </c>
      <c r="C7" s="27" t="inlineStr">
        <is>
          <t>印尼进口indomie营多捞面杯面速食泡面干拌面盒桶装方便面火鸡面</t>
        </is>
      </c>
      <c r="D7" s="28" t="n">
        <v>-1313.49</v>
      </c>
      <c r="E7" s="28" t="n">
        <v>-1349.9</v>
      </c>
      <c r="F7" s="28" t="n">
        <v>-1717.03</v>
      </c>
      <c r="G7" s="28" t="n">
        <v>-1713.44</v>
      </c>
      <c r="H7" s="28" t="n">
        <v>-1142.74</v>
      </c>
      <c r="I7" s="28" t="n">
        <v>-1023.86</v>
      </c>
      <c r="J7" s="28" t="n">
        <v>-962.74</v>
      </c>
      <c r="K7" s="28" t="n">
        <v>-993.77</v>
      </c>
      <c r="L7" s="28" t="n">
        <v>-789.03</v>
      </c>
      <c r="M7" s="29" t="n">
        <v>61.12</v>
      </c>
    </row>
    <row r="8">
      <c r="A8" s="27" t="inlineStr">
        <is>
          <t>1057479227624</t>
        </is>
      </c>
      <c r="B8" s="27" t="inlineStr">
        <is>
          <t>巴东牛肉</t>
        </is>
      </c>
      <c r="C8" s="27" t="inlineStr">
        <is>
          <t>【新口味】印尼进口营多捞面巴东炖牛肉味泡面方便面宿舍速食宵夜</t>
        </is>
      </c>
      <c r="D8" s="31" t="n"/>
      <c r="E8" s="31" t="n"/>
      <c r="F8" s="31" t="n"/>
      <c r="G8" s="28" t="n">
        <v>-205.15</v>
      </c>
      <c r="H8" s="28" t="n">
        <v>-469.41</v>
      </c>
      <c r="I8" s="28" t="n">
        <v>-656.9</v>
      </c>
      <c r="J8" s="28" t="n">
        <v>-674.02</v>
      </c>
      <c r="K8" s="28" t="n">
        <v>-677.85</v>
      </c>
      <c r="L8" s="28" t="n">
        <v>-612.26</v>
      </c>
      <c r="M8" s="30" t="n">
        <v>-17.12</v>
      </c>
    </row>
    <row r="9">
      <c r="A9" s="27" t="inlineStr">
        <is>
          <t>648600900806</t>
        </is>
      </c>
      <c r="B9" s="27" t="inlineStr">
        <is>
          <t>巴东牛肉</t>
        </is>
      </c>
      <c r="C9" s="27" t="inlineStr">
        <is>
          <t>【新口味】印尼进口营多捞面巴东炖牛肉味泡面方便面宿舍速食宵夜</t>
        </is>
      </c>
      <c r="D9" s="28" t="n">
        <v>-24</v>
      </c>
      <c r="E9" s="28" t="n">
        <v>-79.56</v>
      </c>
      <c r="F9" s="28" t="n">
        <v>-237.27</v>
      </c>
      <c r="G9" s="28" t="n">
        <v>-310.1</v>
      </c>
      <c r="H9" s="28" t="n">
        <v>-147.97</v>
      </c>
      <c r="I9" s="31" t="n">
        <v>41.33</v>
      </c>
      <c r="J9" s="28" t="n">
        <v>-202.24</v>
      </c>
      <c r="K9" s="28" t="n">
        <v>-458.19</v>
      </c>
      <c r="L9" s="28" t="n">
        <v>-487.61</v>
      </c>
      <c r="M9" s="30" t="n">
        <v>-243.57</v>
      </c>
    </row>
    <row r="10">
      <c r="A10" s="27" t="inlineStr">
        <is>
          <t>1013887677295</t>
        </is>
      </c>
      <c r="B10" s="27" t="inlineStr">
        <is>
          <t>混搭5杯</t>
        </is>
      </c>
      <c r="C10" s="27" t="inlineStr">
        <is>
          <t>进口营多原味杯面日式杯面韩式杯面泡面方便面汤面宿舍速食夜宵</t>
        </is>
      </c>
      <c r="D10" s="28" t="n">
        <v>-69.45</v>
      </c>
      <c r="E10" s="28" t="n">
        <v>-149.48</v>
      </c>
      <c r="F10" s="28" t="n">
        <v>-154.44</v>
      </c>
      <c r="G10" s="28" t="n">
        <v>-146.5</v>
      </c>
      <c r="H10" s="28" t="n">
        <v>-107.36</v>
      </c>
      <c r="I10" s="28" t="n">
        <v>-127.65</v>
      </c>
      <c r="J10" s="28" t="n">
        <v>-173.79</v>
      </c>
      <c r="K10" s="28" t="n">
        <v>-222.98</v>
      </c>
      <c r="L10" s="28" t="n">
        <v>-147.39</v>
      </c>
      <c r="M10" s="30" t="n">
        <v>-46.14</v>
      </c>
    </row>
    <row r="11">
      <c r="A11" s="27" t="inlineStr">
        <is>
          <t>929504658691</t>
        </is>
      </c>
      <c r="B11" s="27" t="inlineStr">
        <is>
          <t>日式袋面</t>
        </is>
      </c>
      <c r="C11" s="27" t="inlineStr">
        <is>
          <t>营多捞面日式鸡肉汤面原味辛辣味袋装泡面方便面速食宿舍夜宵食品</t>
        </is>
      </c>
      <c r="D11" s="28" t="n">
        <v>-64.05</v>
      </c>
      <c r="E11" s="28" t="n">
        <v>-96.62</v>
      </c>
      <c r="F11" s="28" t="n">
        <v>-347.59</v>
      </c>
      <c r="G11" s="28" t="n">
        <v>-325.6</v>
      </c>
      <c r="H11" s="28" t="n">
        <v>-193.79</v>
      </c>
      <c r="I11" s="28" t="n">
        <v>-64.12</v>
      </c>
      <c r="J11" s="28" t="n">
        <v>-48.8</v>
      </c>
      <c r="K11" s="28" t="n">
        <v>-56.62</v>
      </c>
      <c r="L11" s="28" t="n">
        <v>-78.89</v>
      </c>
      <c r="M11" s="29" t="n">
        <v>15.32</v>
      </c>
    </row>
    <row r="12">
      <c r="A12" s="27" t="inlineStr">
        <is>
          <t>649014937782</t>
        </is>
      </c>
      <c r="B12" s="27" t="inlineStr">
        <is>
          <t>24包</t>
        </is>
      </c>
      <c r="C12" s="27" t="inlineStr">
        <is>
          <t>印尼营多捞面干拌面一整箱24袋装批发泡面宿舍速食方便面火鸡面</t>
        </is>
      </c>
      <c r="D12" s="28" t="n">
        <v>-116.49</v>
      </c>
      <c r="E12" s="28" t="n">
        <v>-153.96</v>
      </c>
      <c r="F12" s="28" t="n">
        <v>-81.64</v>
      </c>
      <c r="G12" s="28" t="n">
        <v>-183.23</v>
      </c>
      <c r="H12" s="28" t="n">
        <v>-163.82</v>
      </c>
      <c r="I12" s="28" t="n">
        <v>-4.94</v>
      </c>
      <c r="J12" s="28" t="n">
        <v>-62.79</v>
      </c>
      <c r="K12" s="28" t="n">
        <v>-176.26</v>
      </c>
      <c r="L12" s="28" t="n">
        <v>-235.1</v>
      </c>
      <c r="M12" s="30" t="n">
        <v>-57.85</v>
      </c>
    </row>
    <row r="13">
      <c r="A13" s="27" t="inlineStr">
        <is>
          <t>648681860568</t>
        </is>
      </c>
      <c r="B13" s="27" t="inlineStr">
        <is>
          <t>原味大包</t>
        </is>
      </c>
      <c r="C13" s="27" t="inlineStr">
        <is>
          <t>indomie印尼进口营多原味大大包129g捞面方便面速食食品宵夜小吃</t>
        </is>
      </c>
      <c r="D13" s="28" t="n">
        <v>-95.02</v>
      </c>
      <c r="E13" s="28" t="n">
        <v>-100.62</v>
      </c>
      <c r="F13" s="28" t="n">
        <v>-179.44</v>
      </c>
      <c r="G13" s="28" t="n">
        <v>-86.73999999999999</v>
      </c>
      <c r="H13" s="31" t="n">
        <v>46.76</v>
      </c>
      <c r="I13" s="28" t="n">
        <v>-160.09</v>
      </c>
      <c r="J13" s="28" t="n">
        <v>-99.84999999999999</v>
      </c>
      <c r="K13" s="28" t="n">
        <v>-108.92</v>
      </c>
      <c r="L13" s="28" t="n">
        <v>-278.73</v>
      </c>
      <c r="M13" s="29" t="n">
        <v>60.23</v>
      </c>
    </row>
    <row r="14">
      <c r="A14" s="27" t="inlineStr">
        <is>
          <t>648598580775</t>
        </is>
      </c>
      <c r="B14" s="27" t="inlineStr">
        <is>
          <t>15包</t>
        </is>
      </c>
      <c r="C14" s="27" t="inlineStr">
        <is>
          <t>进口营多捞面15包Indomie方便面干拌面夜宵方便速食五连包85g*5</t>
        </is>
      </c>
      <c r="D14" s="28" t="n">
        <v>-6.85</v>
      </c>
      <c r="E14" s="28" t="n">
        <v>-75.67</v>
      </c>
      <c r="F14" s="28" t="n">
        <v>-105.79</v>
      </c>
      <c r="G14" s="28" t="n">
        <v>-151.12</v>
      </c>
      <c r="H14" s="28" t="n">
        <v>-117.42</v>
      </c>
      <c r="I14" s="31" t="n">
        <v>63.6</v>
      </c>
      <c r="J14" s="28" t="n">
        <v>-36.63</v>
      </c>
      <c r="K14" s="28" t="n">
        <v>-80.06999999999999</v>
      </c>
      <c r="L14" s="28" t="n">
        <v>-84.95</v>
      </c>
      <c r="M14" s="30" t="n">
        <v>-100.23</v>
      </c>
    </row>
    <row r="15">
      <c r="A15" s="27" t="inlineStr">
        <is>
          <t>1059563993918</t>
        </is>
      </c>
      <c r="B15" s="27" t="inlineStr">
        <is>
          <t>巴东牛肉</t>
        </is>
      </c>
      <c r="C15" s="27" t="inlineStr">
        <is>
          <t>营多进口新口味巴东炖牛肉味捞面印尼料理方便面泡面捞面夜宵速食</t>
        </is>
      </c>
      <c r="D15" s="31" t="n"/>
      <c r="E15" s="31" t="n"/>
      <c r="F15" s="31" t="n"/>
      <c r="G15" s="28" t="n">
        <v>-124.72</v>
      </c>
      <c r="H15" s="28" t="n">
        <v>-206.49</v>
      </c>
      <c r="I15" s="28" t="n">
        <v>-50.18</v>
      </c>
      <c r="J15" s="28" t="n">
        <v>-115.11</v>
      </c>
      <c r="K15" s="28" t="n">
        <v>-27.94</v>
      </c>
      <c r="L15" s="28" t="n">
        <v>-29.97</v>
      </c>
      <c r="M15" s="30" t="n">
        <v>-64.93000000000001</v>
      </c>
    </row>
    <row r="16">
      <c r="A16" s="27" t="inlineStr">
        <is>
          <t>969423151512</t>
        </is>
      </c>
      <c r="B16" s="27" t="inlineStr">
        <is>
          <t>日韩混搭</t>
        </is>
      </c>
      <c r="C16" s="27" t="inlineStr">
        <is>
          <t>营多捞面甜辣炸鸡火鸡面辣蘑菇泡面方便面速食干拌面宿舍宵夜旅行</t>
        </is>
      </c>
      <c r="D16" s="28" t="n">
        <v>-13.85</v>
      </c>
      <c r="E16" s="28" t="n">
        <v>-13</v>
      </c>
      <c r="F16" s="28" t="n">
        <v>-34.85</v>
      </c>
      <c r="G16" s="28" t="n">
        <v>-45.86</v>
      </c>
      <c r="H16" s="28" t="n">
        <v>-83.18000000000001</v>
      </c>
      <c r="I16" s="28" t="n">
        <v>-15.85</v>
      </c>
      <c r="J16" s="28" t="n">
        <v>-25.76</v>
      </c>
      <c r="K16" s="28" t="n">
        <v>-1.42</v>
      </c>
      <c r="L16" s="28" t="n">
        <v>-60.81</v>
      </c>
      <c r="M16" s="30" t="n">
        <v>-9.91</v>
      </c>
    </row>
    <row r="17">
      <c r="A17" s="27" t="inlineStr">
        <is>
          <t>971242260371</t>
        </is>
      </c>
      <c r="B17" s="27" t="inlineStr">
        <is>
          <t>韩式袋面</t>
        </is>
      </c>
      <c r="C17" s="27" t="inlineStr">
        <is>
          <t>新品营多捞面韩式辣蘑菇汤面泡面方便面速食干拌面宿舍宵夜旅行</t>
        </is>
      </c>
      <c r="D17" s="31" t="n">
        <v>0.6</v>
      </c>
      <c r="E17" s="28" t="n">
        <v>-56.67</v>
      </c>
      <c r="F17" s="28" t="n">
        <v>-11.56</v>
      </c>
      <c r="G17" s="28" t="n">
        <v>-42.68</v>
      </c>
      <c r="H17" s="28" t="n">
        <v>-48.42</v>
      </c>
      <c r="I17" s="28" t="n">
        <v>-59.92</v>
      </c>
      <c r="J17" s="28" t="n">
        <v>-21.25</v>
      </c>
      <c r="K17" s="28" t="n">
        <v>-17.86</v>
      </c>
      <c r="L17" s="28" t="n">
        <v>-30.31</v>
      </c>
      <c r="M17" s="29" t="n">
        <v>38.66</v>
      </c>
    </row>
    <row r="18">
      <c r="A18" s="27" t="inlineStr">
        <is>
          <t>937005385662</t>
        </is>
      </c>
      <c r="B18" s="27" t="inlineStr">
        <is>
          <t>日式袋面</t>
        </is>
      </c>
      <c r="C18" s="27" t="inlineStr">
        <is>
          <t>进口营多正品捞面日式鸡肉鸡汤辛辣味袋装泡面辣味速食方便面汤面</t>
        </is>
      </c>
      <c r="D18" s="28" t="n">
        <v>-112.27</v>
      </c>
      <c r="E18" s="28" t="n">
        <v>-26.07</v>
      </c>
      <c r="F18" s="28" t="n">
        <v>-36.27</v>
      </c>
      <c r="G18" s="31" t="n">
        <v>11.7</v>
      </c>
      <c r="H18" s="31" t="n">
        <v>1.44</v>
      </c>
      <c r="I18" s="28" t="n">
        <v>-8.9</v>
      </c>
      <c r="J18" s="28" t="n">
        <v>-13.2</v>
      </c>
      <c r="K18" s="28" t="n">
        <v>-19.76</v>
      </c>
      <c r="L18" s="28" t="n">
        <v>-67.72</v>
      </c>
      <c r="M18" s="30" t="n">
        <v>-4.3</v>
      </c>
    </row>
    <row r="19">
      <c r="A19" s="27" t="inlineStr">
        <is>
          <t>976479938842</t>
        </is>
      </c>
      <c r="B19" s="27" t="inlineStr">
        <is>
          <t>【U选】原味5</t>
        </is>
      </c>
      <c r="C19" s="27" t="inlineStr">
        <is>
          <t>【天猫U选】indomie营多大骨牛肉味捞面拌面5包</t>
        </is>
      </c>
      <c r="D19" s="28" t="n">
        <v>-96.27</v>
      </c>
      <c r="E19" s="28" t="n">
        <v>-20.43</v>
      </c>
      <c r="F19" s="28" t="n">
        <v>-36.77</v>
      </c>
      <c r="G19" s="28" t="n">
        <v>-9.210000000000001</v>
      </c>
      <c r="H19" s="28" t="n">
        <v>-8.800000000000001</v>
      </c>
      <c r="I19" s="28" t="n">
        <v>-36.87</v>
      </c>
      <c r="J19" s="28" t="n">
        <v>-22.34</v>
      </c>
      <c r="K19" s="28" t="n">
        <v>-8.890000000000001</v>
      </c>
      <c r="L19" s="28" t="n">
        <v>-20.96</v>
      </c>
      <c r="M19" s="29" t="n">
        <v>14.53</v>
      </c>
    </row>
    <row r="20">
      <c r="A20" s="27" t="inlineStr">
        <is>
          <t>949962665617</t>
        </is>
      </c>
      <c r="B20" s="27" t="inlineStr">
        <is>
          <t>韩式袋面</t>
        </is>
      </c>
      <c r="C20" s="27" t="inlineStr">
        <is>
          <t>营多捞面韩式火鸡面辣蘑菇汤面袋装泡面辣味速食方便面宿舍宵夜面</t>
        </is>
      </c>
      <c r="D20" s="28" t="n">
        <v>-48.88</v>
      </c>
      <c r="E20" s="28" t="n">
        <v>-69.45999999999999</v>
      </c>
      <c r="F20" s="28" t="n">
        <v>-45.04</v>
      </c>
      <c r="G20" s="31" t="n"/>
      <c r="H20" s="28" t="n">
        <v>-14.9</v>
      </c>
      <c r="I20" s="28" t="n">
        <v>-20.73</v>
      </c>
      <c r="J20" s="31" t="n"/>
      <c r="K20" s="31" t="n"/>
      <c r="L20" s="31" t="n"/>
      <c r="M20" s="29" t="n">
        <v>20.73</v>
      </c>
    </row>
    <row r="21">
      <c r="A21" s="27" t="inlineStr">
        <is>
          <t>898076297965</t>
        </is>
      </c>
      <c r="B21" s="27" t="inlineStr">
        <is>
          <t>番茄牛肉</t>
        </is>
      </c>
      <c r="C21" s="27" t="inlineStr">
        <is>
          <t>进口正品意面风味奶香番茄牛肉味意式拌面营多捞面早餐儿童宝妈餐</t>
        </is>
      </c>
      <c r="D21" s="28" t="n">
        <v>-58.88</v>
      </c>
      <c r="E21" s="28" t="n">
        <v>-12.46</v>
      </c>
      <c r="F21" s="28" t="n">
        <v>-16.79</v>
      </c>
      <c r="G21" s="28" t="n">
        <v>-18.24</v>
      </c>
      <c r="H21" s="28" t="n">
        <v>-12.51</v>
      </c>
      <c r="I21" s="28" t="n">
        <v>-19.17</v>
      </c>
      <c r="J21" s="28" t="n">
        <v>-16</v>
      </c>
      <c r="K21" s="28" t="n">
        <v>-19.84</v>
      </c>
      <c r="L21" s="28" t="n">
        <v>-19.47</v>
      </c>
      <c r="M21" s="29" t="n">
        <v>3.16</v>
      </c>
    </row>
    <row r="22">
      <c r="A22" s="27" t="inlineStr">
        <is>
          <t>1060999732877</t>
        </is>
      </c>
      <c r="B22" s="27" t="inlineStr">
        <is>
          <t>原味大包</t>
        </is>
      </c>
      <c r="C22" s="27" t="inlineStr">
        <is>
          <t>印尼进口大大包营多原味捞面5包干拌面速食超大包方便面速食宵夜</t>
        </is>
      </c>
      <c r="D22" s="31" t="n"/>
      <c r="E22" s="31" t="n"/>
      <c r="F22" s="31" t="n"/>
      <c r="G22" s="31" t="n">
        <v>25.7</v>
      </c>
      <c r="H22" s="28" t="n">
        <v>-27.71</v>
      </c>
      <c r="I22" s="28" t="n">
        <v>-40.24</v>
      </c>
      <c r="J22" s="28" t="n">
        <v>-44.14</v>
      </c>
      <c r="K22" s="28" t="n">
        <v>-39.41</v>
      </c>
      <c r="L22" s="28" t="n">
        <v>-51.37</v>
      </c>
      <c r="M22" s="30" t="n">
        <v>-3.9</v>
      </c>
    </row>
    <row r="23">
      <c r="A23" s="27" t="inlineStr">
        <is>
          <t>969433743398</t>
        </is>
      </c>
      <c r="B23" s="27" t="inlineStr">
        <is>
          <t>韩蘑菇</t>
        </is>
      </c>
      <c r="C23" s="27" t="inlineStr">
        <is>
          <t>新品营多捞面韩式辣蘑菇汤面泡面方便面速食干拌面宿舍宵夜旅行</t>
        </is>
      </c>
      <c r="D23" s="28" t="n">
        <v>-85.15000000000001</v>
      </c>
      <c r="E23" s="28" t="n">
        <v>-82.84999999999999</v>
      </c>
      <c r="F23" s="31" t="n">
        <v>1.83</v>
      </c>
      <c r="G23" s="28" t="n">
        <v>-7.93</v>
      </c>
      <c r="H23" s="28" t="n">
        <v>-9.140000000000001</v>
      </c>
      <c r="I23" s="31" t="n">
        <v>0.26</v>
      </c>
      <c r="J23" s="28" t="n">
        <v>-5.1</v>
      </c>
      <c r="K23" s="31" t="n">
        <v>3.64</v>
      </c>
      <c r="L23" s="31" t="n">
        <v>7.27</v>
      </c>
      <c r="M23" s="30" t="n">
        <v>-5.36</v>
      </c>
    </row>
    <row r="24">
      <c r="A24" s="27" t="inlineStr">
        <is>
          <t>744317232690</t>
        </is>
      </c>
      <c r="B24" s="27" t="inlineStr">
        <is>
          <t>多规格</t>
        </is>
      </c>
      <c r="C24" s="27" t="inlineStr">
        <is>
          <t>营多捞面汤面清香牛肉味方便面泡面速食食品泡面拉面整箱旅行宿舍</t>
        </is>
      </c>
      <c r="D24" s="28" t="n">
        <v>-35.3</v>
      </c>
      <c r="E24" s="28" t="n">
        <v>-6.76</v>
      </c>
      <c r="F24" s="31" t="n">
        <v>45.84</v>
      </c>
      <c r="G24" s="28" t="n">
        <v>-8.699999999999999</v>
      </c>
      <c r="H24" s="28" t="n">
        <v>-61.01</v>
      </c>
      <c r="I24" s="31" t="n">
        <v>7.72</v>
      </c>
      <c r="J24" s="28" t="n">
        <v>-10.2</v>
      </c>
      <c r="K24" s="31" t="n">
        <v>15.69</v>
      </c>
      <c r="L24" s="28" t="n">
        <v>-39.98</v>
      </c>
      <c r="M24" s="30" t="n">
        <v>-17.92</v>
      </c>
    </row>
    <row r="25">
      <c r="A25" s="27" t="inlineStr">
        <is>
          <t>976466902934</t>
        </is>
      </c>
      <c r="B25" s="27" t="inlineStr">
        <is>
          <t>日韩杯面</t>
        </is>
      </c>
      <c r="C25" s="27" t="inlineStr">
        <is>
          <t>【天猫U选】indomie营多捞面辣火鸡味日式鸡肉原味杯面</t>
        </is>
      </c>
      <c r="D25" s="28" t="n">
        <v>-35.05</v>
      </c>
      <c r="E25" s="28" t="n">
        <v>-10.37</v>
      </c>
      <c r="F25" s="28" t="n">
        <v>-6.69</v>
      </c>
      <c r="G25" s="28" t="n">
        <v>-16.82</v>
      </c>
      <c r="H25" s="28" t="n">
        <v>-3.14</v>
      </c>
      <c r="I25" s="28" t="n">
        <v>-4.28</v>
      </c>
      <c r="J25" s="28" t="n">
        <v>-3.44</v>
      </c>
      <c r="K25" s="28" t="n">
        <v>-8.18</v>
      </c>
      <c r="L25" s="31" t="n"/>
      <c r="M25" s="29" t="n">
        <v>0.84</v>
      </c>
    </row>
    <row r="26">
      <c r="A26" s="27" t="inlineStr">
        <is>
          <t>976467954327</t>
        </is>
      </c>
      <c r="B26" s="27" t="inlineStr">
        <is>
          <t>十全十美</t>
        </is>
      </c>
      <c r="C26" s="27" t="inlineStr">
        <is>
          <t>营多捞面多口味袋装泡面拌面速食面干拌面方便面速食宵夜宿舍旅行</t>
        </is>
      </c>
      <c r="D26" s="28" t="n">
        <v>-8.619999999999999</v>
      </c>
      <c r="E26" s="28" t="n">
        <v>-5.8</v>
      </c>
      <c r="F26" s="31" t="n"/>
      <c r="G26" s="28" t="n">
        <v>-3.6</v>
      </c>
      <c r="H26" s="28" t="n">
        <v>-6.14</v>
      </c>
      <c r="I26" s="28" t="n">
        <v>-2.8</v>
      </c>
      <c r="J26" s="28" t="n">
        <v>-2.66</v>
      </c>
      <c r="K26" s="28" t="n">
        <v>-9.23</v>
      </c>
      <c r="L26" s="28" t="n">
        <v>-12.73</v>
      </c>
      <c r="M26" s="29" t="n">
        <v>0.14</v>
      </c>
    </row>
    <row r="27">
      <c r="A27" s="27" t="inlineStr">
        <is>
          <t>885645733215</t>
        </is>
      </c>
      <c r="B27" s="27" t="inlineStr">
        <is>
          <t>大骨牛肉</t>
        </is>
      </c>
      <c r="C27" s="27" t="inlineStr">
        <is>
          <t>进口营多大骨番茄牛肉味营多捞面意式泡面宿舍宿舍宵夜速食方便面</t>
        </is>
      </c>
      <c r="D27" s="28" t="n">
        <v>-2.24</v>
      </c>
      <c r="E27" s="31" t="n">
        <v>0.66</v>
      </c>
      <c r="F27" s="28" t="n">
        <v>-5.34</v>
      </c>
      <c r="G27" s="28" t="n">
        <v>-11.08</v>
      </c>
      <c r="H27" s="28" t="n">
        <v>-4.55</v>
      </c>
      <c r="I27" s="28" t="n">
        <v>-6.24</v>
      </c>
      <c r="J27" s="28" t="n">
        <v>-7.08</v>
      </c>
      <c r="K27" s="28" t="n">
        <v>-8.06</v>
      </c>
      <c r="L27" s="31" t="n"/>
      <c r="M27" s="30" t="n">
        <v>-0.84</v>
      </c>
    </row>
    <row r="28">
      <c r="A28" s="27" t="inlineStr">
        <is>
          <t>903183018417</t>
        </is>
      </c>
      <c r="B28" s="27" t="inlineStr">
        <is>
          <t>七口味混搭</t>
        </is>
      </c>
      <c r="C28" s="27" t="inlineStr">
        <is>
          <t>进口营多捞面汤面拌面七口味混合方便面速拉面宿舍拌面泡面食食品</t>
        </is>
      </c>
      <c r="D28" s="28" t="n">
        <v>-2.38</v>
      </c>
      <c r="E28" s="28" t="n">
        <v>-12.53</v>
      </c>
      <c r="F28" s="31" t="n">
        <v>7.14</v>
      </c>
      <c r="G28" s="28" t="n">
        <v>-1.63</v>
      </c>
      <c r="H28" s="28" t="n">
        <v>-4.22</v>
      </c>
      <c r="I28" s="28" t="n">
        <v>-15.75</v>
      </c>
      <c r="J28" s="28" t="n">
        <v>-9.09</v>
      </c>
      <c r="K28" s="28" t="n">
        <v>-2.36</v>
      </c>
      <c r="L28" s="31" t="n">
        <v>0.44</v>
      </c>
      <c r="M28" s="29" t="n">
        <v>6.66</v>
      </c>
    </row>
    <row r="29">
      <c r="A29" s="27" t="inlineStr">
        <is>
          <t>947413291596</t>
        </is>
      </c>
      <c r="B29" s="27" t="inlineStr">
        <is>
          <t>杯面</t>
        </is>
      </c>
      <c r="C29" s="27" t="inlineStr">
        <is>
          <t>营多捞面杯装方便面泡面速食干拌面原味整箱批发印尼进口桶装拌面</t>
        </is>
      </c>
      <c r="D29" s="28" t="n">
        <v>-0.03</v>
      </c>
      <c r="E29" s="28" t="n">
        <v>-5.29</v>
      </c>
      <c r="F29" s="28" t="n">
        <v>-5.66</v>
      </c>
      <c r="G29" s="28" t="n">
        <v>-4.27</v>
      </c>
      <c r="H29" s="28" t="n">
        <v>-3.94</v>
      </c>
      <c r="I29" s="28" t="n">
        <v>-8.92</v>
      </c>
      <c r="J29" s="28" t="n">
        <v>-10.08</v>
      </c>
      <c r="K29" s="31" t="n"/>
      <c r="L29" s="28" t="n">
        <v>-0.4</v>
      </c>
      <c r="M29" s="30" t="n">
        <v>-1.16</v>
      </c>
    </row>
    <row r="30">
      <c r="A30" s="27" t="inlineStr">
        <is>
          <t>869217868453</t>
        </is>
      </c>
      <c r="B30" s="27" t="inlineStr">
        <is>
          <t>韩式杯面</t>
        </is>
      </c>
      <c r="C30" s="27" t="inlineStr">
        <is>
          <t>营多捞面韩式甜辣炸鸡辣蘑菇杯面方便面拌面泡面宿舍速食面</t>
        </is>
      </c>
      <c r="D30" s="28" t="n">
        <v>-7.62</v>
      </c>
      <c r="E30" s="28" t="n">
        <v>-1.07</v>
      </c>
      <c r="F30" s="31" t="n"/>
      <c r="G30" s="31" t="n">
        <v>1.12</v>
      </c>
      <c r="H30" s="28" t="n">
        <v>-7.53</v>
      </c>
      <c r="I30" s="31" t="n">
        <v>6.35</v>
      </c>
      <c r="J30" s="31" t="n"/>
      <c r="K30" s="28" t="n">
        <v>-14.51</v>
      </c>
      <c r="L30" s="28" t="n">
        <v>-11.48</v>
      </c>
      <c r="M30" s="30" t="n">
        <v>-6.35</v>
      </c>
    </row>
    <row r="31">
      <c r="A31" s="27" t="inlineStr">
        <is>
          <t>1028450344901</t>
        </is>
      </c>
      <c r="B31" s="27" t="inlineStr">
        <is>
          <t>韩式火鸡</t>
        </is>
      </c>
      <c r="C31" s="27" t="inlineStr">
        <is>
          <t>营多韩式火鸡面袋装拌面干拌面泡面方便面速食面宿舍宵夜旅行</t>
        </is>
      </c>
      <c r="D31" s="31" t="n"/>
      <c r="E31" s="31" t="n">
        <v>0.99</v>
      </c>
      <c r="F31" s="31" t="n">
        <v>1.28</v>
      </c>
      <c r="G31" s="28" t="n">
        <v>-10.11</v>
      </c>
      <c r="H31" s="28" t="n">
        <v>-5.49</v>
      </c>
      <c r="I31" s="31" t="n">
        <v>0.08</v>
      </c>
      <c r="J31" s="28" t="n">
        <v>-7.89</v>
      </c>
      <c r="K31" s="31" t="n"/>
      <c r="L31" s="31" t="n">
        <v>0.96</v>
      </c>
      <c r="M31" s="30" t="n">
        <v>-7.97</v>
      </c>
    </row>
    <row r="32">
      <c r="A32" s="27" t="inlineStr">
        <is>
          <t>916072786304</t>
        </is>
      </c>
      <c r="B32" s="27" t="inlineStr">
        <is>
          <t>小规格</t>
        </is>
      </c>
      <c r="C32" s="27" t="inlineStr">
        <is>
          <t>营多印尼进口营多捞面方便面火鸡面干拌面10包宿舍速食泡面夜宵</t>
        </is>
      </c>
      <c r="D32" s="28" t="n">
        <v>-7.96</v>
      </c>
      <c r="E32" s="28" t="n">
        <v>-0.5600000000000001</v>
      </c>
      <c r="F32" s="31" t="n"/>
      <c r="G32" s="28" t="n">
        <v>-3.4</v>
      </c>
      <c r="H32" s="31" t="n"/>
      <c r="I32" s="28" t="n">
        <v>-0.11</v>
      </c>
      <c r="J32" s="28" t="n">
        <v>-3.32</v>
      </c>
      <c r="K32" s="31" t="n"/>
      <c r="L32" s="28" t="n">
        <v>-2.16</v>
      </c>
      <c r="M32" s="30" t="n">
        <v>-3.22</v>
      </c>
    </row>
    <row r="33">
      <c r="A33" s="27" t="inlineStr">
        <is>
          <t>1067957289054</t>
        </is>
      </c>
      <c r="B33" s="27" t="inlineStr">
        <is>
          <t>巴东牛肉</t>
        </is>
      </c>
      <c r="C33" s="27" t="inlineStr">
        <is>
          <t>【新口味】印尼进口营多捞面巴东炖牛肉味泡面方便面宿舍速食宵夜</t>
        </is>
      </c>
      <c r="D33" s="31" t="n"/>
      <c r="E33" s="31" t="n"/>
      <c r="F33" s="31" t="n"/>
      <c r="G33" s="31" t="n"/>
      <c r="H33" s="31" t="n"/>
      <c r="I33" s="31" t="n"/>
      <c r="J33" s="31" t="n"/>
      <c r="K33" s="28" t="n">
        <v>-4.94</v>
      </c>
      <c r="L33" s="28" t="n">
        <v>-11.31</v>
      </c>
      <c r="M33" s="29" t="n">
        <v>0</v>
      </c>
    </row>
    <row r="34">
      <c r="A34" s="27" t="inlineStr">
        <is>
          <t>1040679932754</t>
        </is>
      </c>
      <c r="B34" s="27" t="inlineStr">
        <is>
          <t>杯面混搭</t>
        </is>
      </c>
      <c r="C34" s="27" t="inlineStr">
        <is>
          <t>印尼进口营多捞面杯面原味甜辣蘑菇味整箱速食拌面拉面泡面方便面</t>
        </is>
      </c>
      <c r="D34" s="28" t="n">
        <v>-7.68</v>
      </c>
      <c r="E34" s="31" t="n"/>
      <c r="F34" s="31" t="n"/>
      <c r="G34" s="31" t="n"/>
      <c r="H34" s="28" t="n">
        <v>-2.04</v>
      </c>
      <c r="I34" s="31" t="n"/>
      <c r="J34" s="31" t="n"/>
      <c r="K34" s="31" t="n"/>
      <c r="L34" s="31" t="n"/>
      <c r="M34" s="29" t="n">
        <v>0</v>
      </c>
    </row>
    <row r="35">
      <c r="A35" s="27" t="inlineStr">
        <is>
          <t>976535014785</t>
        </is>
      </c>
      <c r="B35" s="27" t="inlineStr"/>
      <c r="C35" s="27" t="inlineStr"/>
      <c r="D35" s="31" t="n"/>
      <c r="E35" s="31" t="n"/>
      <c r="F35" s="31" t="n"/>
      <c r="G35" s="31" t="n"/>
      <c r="H35" s="31" t="n"/>
      <c r="I35" s="31" t="n"/>
      <c r="J35" s="31" t="n"/>
      <c r="K35" s="28" t="n">
        <v>-9.199999999999999</v>
      </c>
      <c r="L35" s="31" t="n"/>
      <c r="M35" s="29" t="n">
        <v>0</v>
      </c>
    </row>
    <row r="36">
      <c r="A36" s="27" t="inlineStr">
        <is>
          <t>773972883430</t>
        </is>
      </c>
      <c r="B36" s="27" t="inlineStr">
        <is>
          <t>韩式袋面</t>
        </is>
      </c>
      <c r="C36" s="27" t="inlineStr">
        <is>
          <t>营多捞面韩式火鸡面辣蘑菇汤面袋装泡面辣味速食方便面宿舍宵夜面</t>
        </is>
      </c>
      <c r="D36" s="28" t="n">
        <v>-13.24</v>
      </c>
      <c r="E36" s="31" t="n">
        <v>7.1</v>
      </c>
      <c r="F36" s="31" t="n">
        <v>0.06</v>
      </c>
      <c r="G36" s="31" t="n">
        <v>2.66</v>
      </c>
      <c r="H36" s="28" t="n">
        <v>-1.24</v>
      </c>
      <c r="I36" s="31" t="n"/>
      <c r="J36" s="31" t="n"/>
      <c r="K36" s="31" t="n"/>
      <c r="L36" s="31" t="n"/>
      <c r="M36" s="29" t="n">
        <v>0</v>
      </c>
    </row>
    <row r="37">
      <c r="A37" s="27" t="inlineStr">
        <is>
          <t>1067363868298</t>
        </is>
      </c>
      <c r="B37" s="27" t="inlineStr"/>
      <c r="C37" s="27" t="inlineStr"/>
      <c r="D37" s="31" t="n"/>
      <c r="E37" s="31" t="n"/>
      <c r="F37" s="31" t="n"/>
      <c r="G37" s="31" t="n"/>
      <c r="H37" s="31" t="n"/>
      <c r="I37" s="31" t="n"/>
      <c r="J37" s="31" t="n"/>
      <c r="K37" s="28" t="n">
        <v>-4.02</v>
      </c>
      <c r="L37" s="31" t="n"/>
      <c r="M37" s="29" t="n">
        <v>0</v>
      </c>
    </row>
    <row r="38">
      <c r="A38" s="27" t="inlineStr">
        <is>
          <t>1056927747753</t>
        </is>
      </c>
      <c r="B38" s="27" t="inlineStr">
        <is>
          <t>巴东</t>
        </is>
      </c>
      <c r="C38" s="27" t="inlineStr">
        <is>
          <t>【新口味】印尼进口营多捞面巴东炖牛肉味泡面方便面宿舍速食宵夜</t>
        </is>
      </c>
      <c r="D38" s="31" t="n"/>
      <c r="E38" s="31" t="n"/>
      <c r="F38" s="28" t="n">
        <v>-2.36</v>
      </c>
      <c r="G38" s="31" t="n"/>
      <c r="H38" s="31" t="n"/>
      <c r="I38" s="31" t="n"/>
      <c r="J38" s="31" t="n"/>
      <c r="K38" s="31" t="n"/>
      <c r="L38" s="31" t="n"/>
      <c r="M38" s="29" t="n">
        <v>0</v>
      </c>
    </row>
    <row r="39">
      <c r="A39" s="27" t="inlineStr">
        <is>
          <t>754828376158</t>
        </is>
      </c>
      <c r="B39" s="27" t="inlineStr">
        <is>
          <t>六口味混搭</t>
        </is>
      </c>
      <c r="C39" s="27" t="inlineStr">
        <is>
          <t>进口营多捞面汤面拌面六口味混合方便面速食食品泡面</t>
        </is>
      </c>
      <c r="D39" s="28" t="n">
        <v>-1.52</v>
      </c>
      <c r="E39" s="28" t="n">
        <v>-0.08</v>
      </c>
      <c r="F39" s="31" t="n"/>
      <c r="G39" s="31" t="n"/>
      <c r="H39" s="31" t="n"/>
      <c r="I39" s="31" t="n"/>
      <c r="J39" s="31" t="n"/>
      <c r="K39" s="31" t="n"/>
      <c r="L39" s="31" t="n"/>
      <c r="M39" s="29" t="n">
        <v>0</v>
      </c>
    </row>
    <row r="40">
      <c r="A40" s="27" t="inlineStr">
        <is>
          <t>1019397839311</t>
        </is>
      </c>
      <c r="B40" s="27" t="inlineStr">
        <is>
          <t>多口味混搭</t>
        </is>
      </c>
      <c r="C40" s="27" t="inlineStr">
        <is>
          <t>营多捞面原味番茄牛肉袋装泡面汤面干拌面方便面宿舍速食旅行宵夜</t>
        </is>
      </c>
      <c r="D40" s="28" t="n">
        <v>-1.58</v>
      </c>
      <c r="E40" s="31" t="n"/>
      <c r="F40" s="31" t="n"/>
      <c r="G40" s="31" t="n"/>
      <c r="H40" s="31" t="n"/>
      <c r="I40" s="31" t="n"/>
      <c r="J40" s="31" t="n"/>
      <c r="K40" s="31" t="n"/>
      <c r="L40" s="31" t="n"/>
      <c r="M40" s="29" t="n">
        <v>0</v>
      </c>
    </row>
    <row r="41">
      <c r="A41" s="27" t="inlineStr">
        <is>
          <t>648604228786</t>
        </is>
      </c>
      <c r="B41" s="27" t="inlineStr">
        <is>
          <t>杯面混搭</t>
        </is>
      </c>
      <c r="C41" s="27" t="inlineStr">
        <is>
          <t>INDOMIE营多日式杯面原味经典泡面整箱批发速食宿舍旅行宵夜宿舍</t>
        </is>
      </c>
      <c r="D41" s="28" t="n">
        <v>-25.96</v>
      </c>
      <c r="E41" s="31" t="n">
        <v>5.72</v>
      </c>
      <c r="F41" s="31" t="n">
        <v>6.24</v>
      </c>
      <c r="G41" s="28" t="n">
        <v>-11.3</v>
      </c>
      <c r="H41" s="31" t="n">
        <v>6.4</v>
      </c>
      <c r="I41" s="31" t="n">
        <v>16.38</v>
      </c>
      <c r="J41" s="28" t="n">
        <v>-14.73</v>
      </c>
      <c r="K41" s="31" t="n">
        <v>9.119999999999999</v>
      </c>
      <c r="L41" s="31" t="n">
        <v>6.93</v>
      </c>
      <c r="M41" s="30" t="n">
        <v>-31.11</v>
      </c>
    </row>
    <row r="42">
      <c r="A42" s="27" t="inlineStr">
        <is>
          <t>898120785283</t>
        </is>
      </c>
      <c r="B42" s="27" t="inlineStr">
        <is>
          <t>韩式袋面</t>
        </is>
      </c>
      <c r="C42" s="27" t="inlineStr">
        <is>
          <t>营多韩式火鸡面袋装拌面干拌面泡面方便面速食面宿舍宵夜旅行</t>
        </is>
      </c>
      <c r="D42" s="31" t="n">
        <v>0.61</v>
      </c>
      <c r="E42" s="28" t="n">
        <v>-3.43</v>
      </c>
      <c r="F42" s="31" t="n">
        <v>3.38</v>
      </c>
      <c r="G42" s="28" t="n">
        <v>-0.07000000000000001</v>
      </c>
      <c r="H42" s="28" t="n">
        <v>-2.44</v>
      </c>
      <c r="I42" s="28" t="n">
        <v>-1.57</v>
      </c>
      <c r="J42" s="28" t="n">
        <v>-3.96</v>
      </c>
      <c r="K42" s="31" t="n"/>
      <c r="L42" s="31" t="n">
        <v>10.78</v>
      </c>
      <c r="M42" s="30" t="n">
        <v>-2.39</v>
      </c>
    </row>
    <row r="43">
      <c r="A43" s="27" t="inlineStr">
        <is>
          <t>1019572719528</t>
        </is>
      </c>
      <c r="B43" s="27" t="inlineStr">
        <is>
          <t>杯面混搭</t>
        </is>
      </c>
      <c r="C43" s="27" t="inlineStr">
        <is>
          <t>印尼进口营多捞面杯面原味甜辣蘑菇味整箱速食拌面拉面泡面方便面</t>
        </is>
      </c>
      <c r="D43" s="31" t="n">
        <v>1.54</v>
      </c>
      <c r="E43" s="31" t="n"/>
      <c r="F43" s="31" t="n"/>
      <c r="G43" s="31" t="n"/>
      <c r="H43" s="31" t="n">
        <v>2.69</v>
      </c>
      <c r="I43" s="31" t="n">
        <v>2.3</v>
      </c>
      <c r="J43" s="31" t="n">
        <v>1.75</v>
      </c>
      <c r="K43" s="31" t="n"/>
      <c r="L43" s="31" t="n"/>
      <c r="M43" s="30" t="n">
        <v>-0.54</v>
      </c>
    </row>
    <row r="44">
      <c r="A44" s="27" t="inlineStr">
        <is>
          <t>1014512281808</t>
        </is>
      </c>
      <c r="B44" s="27" t="inlineStr">
        <is>
          <t>杯面混搭</t>
        </is>
      </c>
      <c r="C44" s="27" t="inlineStr">
        <is>
          <t>营多捞面韩式甜辣炸鸡辣蘑菇杯面方便面拌面泡面宿舍速食面</t>
        </is>
      </c>
      <c r="D44" s="31" t="n"/>
      <c r="E44" s="31" t="n"/>
      <c r="F44" s="31" t="n"/>
      <c r="G44" s="31" t="n"/>
      <c r="H44" s="31" t="n"/>
      <c r="I44" s="31" t="n">
        <v>9.27</v>
      </c>
      <c r="J44" s="31" t="n"/>
      <c r="K44" s="31" t="n"/>
      <c r="L44" s="31" t="n"/>
      <c r="M44" s="30" t="n">
        <v>-9.27</v>
      </c>
    </row>
    <row r="45">
      <c r="A45" s="27" t="inlineStr">
        <is>
          <t>775016827115</t>
        </is>
      </c>
      <c r="B45" s="27" t="inlineStr">
        <is>
          <t>杯面混搭</t>
        </is>
      </c>
      <c r="C45" s="27" t="inlineStr">
        <is>
          <t>进口营多原味杯面日式杯面韩式杯面泡面方便面汤面宿舍速食夜宵</t>
        </is>
      </c>
      <c r="D45" s="31" t="n"/>
      <c r="E45" s="31" t="n">
        <v>2.6</v>
      </c>
      <c r="F45" s="28" t="n">
        <v>-0.91</v>
      </c>
      <c r="G45" s="31" t="n"/>
      <c r="H45" s="31" t="n">
        <v>3.9</v>
      </c>
      <c r="I45" s="31" t="n">
        <v>3.56</v>
      </c>
      <c r="J45" s="31" t="n">
        <v>3.17</v>
      </c>
      <c r="K45" s="31" t="n"/>
      <c r="L45" s="31" t="n"/>
      <c r="M45" s="30" t="n">
        <v>-0.39</v>
      </c>
    </row>
    <row r="46">
      <c r="A46" s="27" t="inlineStr">
        <is>
          <t>886856687067</t>
        </is>
      </c>
      <c r="B46" s="27" t="inlineStr">
        <is>
          <t>大骨</t>
        </is>
      </c>
      <c r="C46" s="27" t="inlineStr">
        <is>
          <t>营多捞面牛系列大骨牛肉味方便面食品泡面拉面汤面宿舍宵夜旅行</t>
        </is>
      </c>
      <c r="D46" s="28" t="n">
        <v>-0.42</v>
      </c>
      <c r="E46" s="31" t="n">
        <v>0.99</v>
      </c>
      <c r="F46" s="28" t="n">
        <v>-4.36</v>
      </c>
      <c r="G46" s="28" t="n">
        <v>-12.78</v>
      </c>
      <c r="H46" s="31" t="n">
        <v>3.97</v>
      </c>
      <c r="I46" s="31" t="n">
        <v>8.27</v>
      </c>
      <c r="J46" s="31" t="n">
        <v>30.3</v>
      </c>
      <c r="K46" s="31" t="n">
        <v>8.539999999999999</v>
      </c>
      <c r="L46" s="28" t="n">
        <v>-14.67</v>
      </c>
      <c r="M46" s="29" t="n">
        <v>22.03</v>
      </c>
    </row>
    <row r="47">
      <c r="A47" s="27" t="inlineStr">
        <is>
          <t>975092562679</t>
        </is>
      </c>
      <c r="B47" s="27" t="inlineStr">
        <is>
          <t>杯面混搭</t>
        </is>
      </c>
      <c r="C47" s="27" t="inlineStr">
        <is>
          <t>营多韩式甜辣炸鸡火鸡面辣蘑菇杯面拌面泡面方便面速食宵夜旅行</t>
        </is>
      </c>
      <c r="D47" s="31" t="n"/>
      <c r="E47" s="31" t="n">
        <v>2.15</v>
      </c>
      <c r="F47" s="31" t="n">
        <v>10.76</v>
      </c>
      <c r="G47" s="28" t="n">
        <v>-0.55</v>
      </c>
      <c r="H47" s="31" t="n"/>
      <c r="I47" s="31" t="n"/>
      <c r="J47" s="31" t="n"/>
      <c r="K47" s="31" t="n">
        <v>8.44</v>
      </c>
      <c r="L47" s="31" t="n"/>
      <c r="M47" s="29" t="n">
        <v>0</v>
      </c>
    </row>
    <row r="48">
      <c r="A48" s="27" t="inlineStr">
        <is>
          <t>1067350828719</t>
        </is>
      </c>
      <c r="B48" s="27" t="inlineStr"/>
      <c r="C48" s="27" t="inlineStr"/>
      <c r="D48" s="31" t="n"/>
      <c r="E48" s="31" t="n"/>
      <c r="F48" s="31" t="n"/>
      <c r="G48" s="31" t="n"/>
      <c r="H48" s="31" t="n"/>
      <c r="I48" s="31" t="n"/>
      <c r="J48" s="31" t="n"/>
      <c r="K48" s="31" t="n">
        <v>25.24</v>
      </c>
      <c r="L48" s="31" t="n"/>
      <c r="M48" s="29" t="n">
        <v>0</v>
      </c>
    </row>
    <row r="49">
      <c r="A49" s="27" t="inlineStr">
        <is>
          <t>649729851594</t>
        </is>
      </c>
      <c r="B49" s="27" t="inlineStr">
        <is>
          <t>小规格</t>
        </is>
      </c>
      <c r="C49" s="27" t="inlineStr">
        <is>
          <t>营多捞面袋装8包装泡面宿舍速食面热干面干拌面方便面火鸡面食品</t>
        </is>
      </c>
      <c r="D49" s="28" t="n">
        <v>-6.85</v>
      </c>
      <c r="E49" s="31" t="n">
        <v>19.02</v>
      </c>
      <c r="F49" s="31" t="n">
        <v>3.98</v>
      </c>
      <c r="G49" s="28" t="n">
        <v>-1.46</v>
      </c>
      <c r="H49" s="31" t="n"/>
      <c r="I49" s="31" t="n">
        <v>7.6</v>
      </c>
      <c r="J49" s="28" t="n">
        <v>-1.48</v>
      </c>
      <c r="K49" s="31" t="n"/>
      <c r="L49" s="31" t="n">
        <v>8.1</v>
      </c>
      <c r="M49" s="30" t="n">
        <v>-9.08</v>
      </c>
    </row>
    <row r="50">
      <c r="A50" s="27" t="inlineStr">
        <is>
          <t>965545088099</t>
        </is>
      </c>
      <c r="B50" s="27" t="inlineStr">
        <is>
          <t>十口味混搭</t>
        </is>
      </c>
      <c r="C50" s="27" t="inlineStr">
        <is>
          <t>营多捞面多口味袋装泡面拌面速食面干拌面方便面速食宵夜宿舍旅行</t>
        </is>
      </c>
      <c r="D50" s="31" t="n"/>
      <c r="E50" s="31" t="n">
        <v>13.42</v>
      </c>
      <c r="F50" s="31" t="n"/>
      <c r="G50" s="31" t="n"/>
      <c r="H50" s="31" t="n">
        <v>7.25</v>
      </c>
      <c r="I50" s="31" t="n"/>
      <c r="J50" s="31" t="n"/>
      <c r="K50" s="31" t="n"/>
      <c r="L50" s="31" t="n">
        <v>10.09</v>
      </c>
      <c r="M50" s="29" t="n">
        <v>0</v>
      </c>
    </row>
    <row r="51">
      <c r="A51" s="27" t="inlineStr">
        <is>
          <t>932687928859</t>
        </is>
      </c>
      <c r="B51" s="27" t="inlineStr">
        <is>
          <t>8包组合</t>
        </is>
      </c>
      <c r="C51" s="27" t="inlineStr">
        <is>
          <t>营多捞面八口味袋装泡面拌面速食面干拌面方便面宿舍宵夜速食家用</t>
        </is>
      </c>
      <c r="D51" s="31" t="n">
        <v>13.81</v>
      </c>
      <c r="E51" s="31" t="n"/>
      <c r="F51" s="31" t="n">
        <v>6.08</v>
      </c>
      <c r="G51" s="31" t="n">
        <v>4.73</v>
      </c>
      <c r="H51" s="31" t="n">
        <v>3.51</v>
      </c>
      <c r="I51" s="31" t="n">
        <v>13.24</v>
      </c>
      <c r="J51" s="28" t="n">
        <v>-2.37</v>
      </c>
      <c r="K51" s="31" t="n">
        <v>1.07</v>
      </c>
      <c r="L51" s="31" t="n">
        <v>6.98</v>
      </c>
      <c r="M51" s="30" t="n">
        <v>-15.6</v>
      </c>
    </row>
    <row r="52">
      <c r="A52" s="27" t="inlineStr">
        <is>
          <t>735014804839</t>
        </is>
      </c>
      <c r="B52" s="27" t="inlineStr">
        <is>
          <t>24/30包</t>
        </is>
      </c>
      <c r="C52" s="27" t="inlineStr">
        <is>
          <t>进口营多捞面多口味Indomie网红方便面干拌面泡面30包整箱批发面</t>
        </is>
      </c>
      <c r="D52" s="28" t="n">
        <v>-48.57</v>
      </c>
      <c r="E52" s="28" t="n">
        <v>-38.9</v>
      </c>
      <c r="F52" s="31" t="n">
        <v>119.56</v>
      </c>
      <c r="G52" s="28" t="n">
        <v>-13.71</v>
      </c>
      <c r="H52" s="31" t="n">
        <v>24.92</v>
      </c>
      <c r="I52" s="31" t="n">
        <v>107.63</v>
      </c>
      <c r="J52" s="31" t="n">
        <v>78.69</v>
      </c>
      <c r="K52" s="28" t="n">
        <v>-22.71</v>
      </c>
      <c r="L52" s="28" t="n">
        <v>-19.36</v>
      </c>
      <c r="M52" s="30" t="n">
        <v>-28.93</v>
      </c>
    </row>
    <row r="53">
      <c r="A53" s="27" t="inlineStr">
        <is>
          <t>649731447266</t>
        </is>
      </c>
      <c r="B53" s="27" t="inlineStr">
        <is>
          <t>20包经典/牛系列</t>
        </is>
      </c>
      <c r="C53" s="27" t="inlineStr">
        <is>
          <t>营多印尼进口营多捞面方便面火鸡面干拌面20包宿舍速食泡面夜宵</t>
        </is>
      </c>
      <c r="D53" s="31" t="n">
        <v>11.88</v>
      </c>
      <c r="E53" s="28" t="n">
        <v>-5.28</v>
      </c>
      <c r="F53" s="31" t="n">
        <v>13.71</v>
      </c>
      <c r="G53" s="31" t="n">
        <v>43.16</v>
      </c>
      <c r="H53" s="31" t="n">
        <v>16.42</v>
      </c>
      <c r="I53" s="31" t="n">
        <v>35.79</v>
      </c>
      <c r="J53" s="31" t="n">
        <v>21.47</v>
      </c>
      <c r="K53" s="31" t="n">
        <v>34.28</v>
      </c>
      <c r="L53" s="31" t="n">
        <v>30.26</v>
      </c>
      <c r="M53" s="30" t="n">
        <v>-14.32</v>
      </c>
    </row>
    <row r="54">
      <c r="A54" s="27" t="inlineStr">
        <is>
          <t>1058280415678</t>
        </is>
      </c>
      <c r="B54" s="27" t="inlineStr">
        <is>
          <t>原味大包</t>
        </is>
      </c>
      <c r="C54" s="27" t="inlineStr">
        <is>
          <t>印尼进口大大包营多原味捞面5包干拌面速食超大包方便面速食宵夜</t>
        </is>
      </c>
      <c r="D54" s="31" t="n"/>
      <c r="E54" s="31" t="n"/>
      <c r="F54" s="31" t="n"/>
      <c r="G54" s="31" t="n">
        <v>59.45</v>
      </c>
      <c r="H54" s="31" t="n">
        <v>18.16</v>
      </c>
      <c r="I54" s="31" t="n">
        <v>29.25</v>
      </c>
      <c r="J54" s="31" t="n">
        <v>51.68</v>
      </c>
      <c r="K54" s="31" t="n">
        <v>146.75</v>
      </c>
      <c r="L54" s="31" t="n">
        <v>107.79</v>
      </c>
      <c r="M54" s="29" t="n">
        <v>22.43</v>
      </c>
    </row>
    <row r="55">
      <c r="A55" s="27" t="inlineStr">
        <is>
          <t>766165464414</t>
        </is>
      </c>
      <c r="B55" s="27" t="inlineStr">
        <is>
          <t>巴东牛肉</t>
        </is>
      </c>
      <c r="C55" s="27" t="inlineStr">
        <is>
          <t>营多进口新口味巴东炖牛肉味捞面印尼料理方便面泡面捞面夜宵速食</t>
        </is>
      </c>
      <c r="D55" s="31" t="n">
        <v>91.79000000000001</v>
      </c>
      <c r="E55" s="31" t="n">
        <v>202.38</v>
      </c>
      <c r="F55" s="31" t="n">
        <v>66.92</v>
      </c>
      <c r="G55" s="31" t="n">
        <v>41.08</v>
      </c>
      <c r="H55" s="31" t="n">
        <v>64.98</v>
      </c>
      <c r="I55" s="31" t="n">
        <v>129.27</v>
      </c>
      <c r="J55" s="31" t="n">
        <v>9.81</v>
      </c>
      <c r="K55" s="31" t="n">
        <v>33.24</v>
      </c>
      <c r="L55" s="31" t="n">
        <v>58.41</v>
      </c>
      <c r="M55" s="30" t="n">
        <v>-119.46</v>
      </c>
    </row>
    <row r="56">
      <c r="A56" s="27" t="inlineStr">
        <is>
          <t>649369494424</t>
        </is>
      </c>
      <c r="B56" s="27" t="inlineStr">
        <is>
          <t>24包经典/牛系列</t>
        </is>
      </c>
      <c r="C56" s="27" t="inlineStr">
        <is>
          <t>营多捞面干拌面一整箱24袋装批发泡面混搭宿舍速食方便面火鸡面</t>
        </is>
      </c>
      <c r="D56" s="31" t="n">
        <v>96.45</v>
      </c>
      <c r="E56" s="31" t="n">
        <v>86.92</v>
      </c>
      <c r="F56" s="28" t="n">
        <v>-109.66</v>
      </c>
      <c r="G56" s="28" t="n">
        <v>-144.1</v>
      </c>
      <c r="H56" s="31" t="n">
        <v>147.02</v>
      </c>
      <c r="I56" s="31" t="n">
        <v>457.42</v>
      </c>
      <c r="J56" s="31" t="n">
        <v>246.8</v>
      </c>
      <c r="K56" s="31" t="n">
        <v>247.63</v>
      </c>
      <c r="L56" s="31" t="n">
        <v>131.33</v>
      </c>
      <c r="M56" s="30" t="n">
        <v>-210.62</v>
      </c>
    </row>
  </sheetData>
  <autoFilter ref="A4:M56"/>
  <mergeCells count="2">
    <mergeCell ref="A2:N2"/>
    <mergeCell ref="A1:N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56"/>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3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24" t="inlineStr">
        <is>
          <t>全量商品ID · 每周推广后利率明细表</t>
        </is>
      </c>
    </row>
    <row r="2">
      <c r="A2" s="25" t="inlineStr">
        <is>
          <t>推广后利率=推广后/去税金额；变化列为百分点(pp)</t>
        </is>
      </c>
    </row>
    <row r="4" ht="28" customHeight="1">
      <c r="A4" s="26" t="inlineStr">
        <is>
          <t>商品ID</t>
        </is>
      </c>
      <c r="B4" s="26" t="inlineStr">
        <is>
          <t>定位</t>
        </is>
      </c>
      <c r="C4" s="26" t="inlineStr">
        <is>
          <t>商品名称</t>
        </is>
      </c>
      <c r="D4" s="26" t="inlineStr">
        <is>
          <t>5.11-5.17</t>
        </is>
      </c>
      <c r="E4" s="26" t="inlineStr">
        <is>
          <t>5.25-5.31</t>
        </is>
      </c>
      <c r="F4" s="26" t="inlineStr">
        <is>
          <t>6.15-6.21</t>
        </is>
      </c>
      <c r="G4" s="26" t="inlineStr">
        <is>
          <t>6.22-6.28</t>
        </is>
      </c>
      <c r="H4" s="26" t="inlineStr">
        <is>
          <t>6.29-7.5</t>
        </is>
      </c>
      <c r="I4" s="26" t="inlineStr">
        <is>
          <t>7.6-7.12</t>
        </is>
      </c>
      <c r="J4" s="26" t="inlineStr">
        <is>
          <t>7.13-7.19</t>
        </is>
      </c>
      <c r="K4" s="26" t="inlineStr">
        <is>
          <t>7.20-7.26</t>
        </is>
      </c>
      <c r="L4" s="26" t="inlineStr">
        <is>
          <t>7.27-8.2</t>
        </is>
      </c>
      <c r="M4" s="26" t="inlineStr">
        <is>
          <t>7.6→7.13利率变化(pp)</t>
        </is>
      </c>
      <c r="N4" s="26" t="inlineStr">
        <is>
          <t>7.13→7.20利率变化(pp)</t>
        </is>
      </c>
    </row>
    <row r="5">
      <c r="A5" s="42" t="inlineStr">
        <is>
          <t>916072786304</t>
        </is>
      </c>
      <c r="B5" s="42" t="inlineStr">
        <is>
          <t>小规格</t>
        </is>
      </c>
      <c r="C5" s="42" t="inlineStr">
        <is>
          <t>营多印尼进口营多捞面方便面火鸡面干拌面10包宿舍速食泡面夜宵</t>
        </is>
      </c>
      <c r="D5" s="47" t="n">
        <v>-0.2292280035686974</v>
      </c>
      <c r="E5" s="47" t="n">
        <v>-0.01066181524482585</v>
      </c>
      <c r="F5" s="37" t="n"/>
      <c r="G5" s="47" t="n">
        <v>-0.1415258015463917</v>
      </c>
      <c r="H5" s="37" t="n"/>
      <c r="I5" s="47" t="n">
        <v>-0.005390827077747989</v>
      </c>
      <c r="J5" s="47" t="n">
        <v>-0.3239972269197584</v>
      </c>
      <c r="K5" s="37" t="n"/>
      <c r="L5" s="47" t="n">
        <v>-0.09025823712486104</v>
      </c>
      <c r="M5" s="57" t="n">
        <v>-31.86063998420104</v>
      </c>
      <c r="N5" s="60" t="n"/>
    </row>
    <row r="6">
      <c r="A6" s="42" t="inlineStr">
        <is>
          <t>898120785283</t>
        </is>
      </c>
      <c r="B6" s="42" t="inlineStr">
        <is>
          <t>韩式袋面</t>
        </is>
      </c>
      <c r="C6" s="42" t="inlineStr">
        <is>
          <t>营多韩式火鸡面袋装拌面干拌面泡面方便面速食面宿舍宵夜旅行</t>
        </is>
      </c>
      <c r="D6" s="37" t="n">
        <v>0.02654954633204633</v>
      </c>
      <c r="E6" s="47" t="n">
        <v>-0.1731839615728329</v>
      </c>
      <c r="F6" s="37" t="n">
        <v>0.05819902465753424</v>
      </c>
      <c r="G6" s="47" t="n">
        <v>-0.0018879852003062</v>
      </c>
      <c r="H6" s="47" t="n">
        <v>-0.1015672374815906</v>
      </c>
      <c r="I6" s="47" t="n">
        <v>-0.1375562469040248</v>
      </c>
      <c r="J6" s="47" t="n">
        <v>-0.3704171804635761</v>
      </c>
      <c r="K6" s="37" t="n"/>
      <c r="L6" s="37" t="n">
        <v>0.1338752932380428</v>
      </c>
      <c r="M6" s="57" t="n">
        <v>-23.28609335595514</v>
      </c>
      <c r="N6" s="60" t="n"/>
    </row>
    <row r="7">
      <c r="A7" s="42" t="inlineStr">
        <is>
          <t>947413291596</t>
        </is>
      </c>
      <c r="B7" s="42" t="inlineStr">
        <is>
          <t>杯面</t>
        </is>
      </c>
      <c r="C7" s="42" t="inlineStr">
        <is>
          <t>营多捞面杯装方便面泡面速食干拌面原味整箱批发印尼进口桶装拌面</t>
        </is>
      </c>
      <c r="D7" s="47" t="n">
        <v>-0.0005978038077969174</v>
      </c>
      <c r="E7" s="47" t="n">
        <v>-0.1159487274315667</v>
      </c>
      <c r="F7" s="47" t="n">
        <v>-0.1174507486238532</v>
      </c>
      <c r="G7" s="47" t="n">
        <v>-0.0253509481017983</v>
      </c>
      <c r="H7" s="47" t="n">
        <v>-0.09308207154811714</v>
      </c>
      <c r="I7" s="47" t="n">
        <v>-0.1881286311368303</v>
      </c>
      <c r="J7" s="47" t="n">
        <v>-0.4180311218348624</v>
      </c>
      <c r="K7" s="37" t="n"/>
      <c r="L7" s="47" t="n">
        <v>-0.008211340163191295</v>
      </c>
      <c r="M7" s="57" t="n">
        <v>-22.99024906980321</v>
      </c>
      <c r="N7" s="60" t="n"/>
    </row>
    <row r="8">
      <c r="A8" s="42" t="inlineStr">
        <is>
          <t>648604228786</t>
        </is>
      </c>
      <c r="B8" s="42" t="inlineStr">
        <is>
          <t>杯面混搭</t>
        </is>
      </c>
      <c r="C8" s="42" t="inlineStr">
        <is>
          <t>INDOMIE营多日式杯面原味经典泡面整箱批发速食宿舍旅行宵夜宿舍</t>
        </is>
      </c>
      <c r="D8" s="47" t="n">
        <v>-0.1222392746405501</v>
      </c>
      <c r="E8" s="37" t="n">
        <v>0.03874047952023987</v>
      </c>
      <c r="F8" s="37" t="n">
        <v>0.03178109977467327</v>
      </c>
      <c r="G8" s="47" t="n">
        <v>-0.04138010399714721</v>
      </c>
      <c r="H8" s="37" t="n">
        <v>0.03279836781504986</v>
      </c>
      <c r="I8" s="37" t="n">
        <v>0.05727410156225831</v>
      </c>
      <c r="J8" s="47" t="n">
        <v>-0.1652379474677259</v>
      </c>
      <c r="K8" s="37" t="n">
        <v>0.04846366836014676</v>
      </c>
      <c r="L8" s="37" t="n">
        <v>0.03828812617279125</v>
      </c>
      <c r="M8" s="57" t="n">
        <v>-22.25120490299842</v>
      </c>
      <c r="N8" s="60" t="n">
        <v>21.37016158278727</v>
      </c>
    </row>
    <row r="9">
      <c r="A9" s="42" t="inlineStr">
        <is>
          <t>932687928859</t>
        </is>
      </c>
      <c r="B9" s="42" t="inlineStr">
        <is>
          <t>8包组合</t>
        </is>
      </c>
      <c r="C9" s="42" t="inlineStr">
        <is>
          <t>营多捞面八口味袋装泡面拌面速食面干拌面方便面宿舍宵夜速食家用</t>
        </is>
      </c>
      <c r="D9" s="37" t="n">
        <v>0.2585031627174813</v>
      </c>
      <c r="E9" s="37" t="n"/>
      <c r="F9" s="37" t="n">
        <v>0.1266820208333333</v>
      </c>
      <c r="G9" s="37" t="n">
        <v>0.09051349729180772</v>
      </c>
      <c r="H9" s="37" t="n">
        <v>0.03994734900815627</v>
      </c>
      <c r="I9" s="37" t="n">
        <v>0.09535997596429709</v>
      </c>
      <c r="J9" s="47" t="n">
        <v>-0.02097454663740398</v>
      </c>
      <c r="K9" s="37" t="n">
        <v>0.01592189646996839</v>
      </c>
      <c r="L9" s="37" t="n">
        <v>0.1291612200392927</v>
      </c>
      <c r="M9" s="57" t="n">
        <v>-11.63345226017011</v>
      </c>
      <c r="N9" s="60" t="n">
        <v>3.689644310737236</v>
      </c>
    </row>
    <row r="10">
      <c r="A10" s="42" t="inlineStr">
        <is>
          <t>1028450344901</t>
        </is>
      </c>
      <c r="B10" s="42" t="inlineStr">
        <is>
          <t>韩式火鸡</t>
        </is>
      </c>
      <c r="C10" s="42" t="inlineStr">
        <is>
          <t>营多韩式火鸡面袋装拌面干拌面泡面方便面速食面宿舍宵夜旅行</t>
        </is>
      </c>
      <c r="D10" s="37" t="n"/>
      <c r="E10" s="37" t="n">
        <v>0.01159855013970816</v>
      </c>
      <c r="F10" s="37" t="n">
        <v>0.02084896291504959</v>
      </c>
      <c r="G10" s="47" t="n">
        <v>-0.1734958255849286</v>
      </c>
      <c r="H10" s="47" t="n">
        <v>-0.5193426055276382</v>
      </c>
      <c r="I10" s="37" t="n">
        <v>0.0006451935483870968</v>
      </c>
      <c r="J10" s="47" t="n">
        <v>-0.1048163553203998</v>
      </c>
      <c r="K10" s="37" t="n"/>
      <c r="L10" s="37" t="n">
        <v>0.01063182270896768</v>
      </c>
      <c r="M10" s="57" t="n">
        <v>-10.54615488687869</v>
      </c>
      <c r="N10" s="60" t="n"/>
    </row>
    <row r="11">
      <c r="A11" s="42" t="inlineStr">
        <is>
          <t>1059563993918</t>
        </is>
      </c>
      <c r="B11" s="42" t="inlineStr">
        <is>
          <t>巴东牛肉</t>
        </is>
      </c>
      <c r="C11" s="42" t="inlineStr">
        <is>
          <t>营多进口新口味巴东炖牛肉味捞面印尼料理方便面泡面捞面夜宵速食</t>
        </is>
      </c>
      <c r="D11" s="37" t="n"/>
      <c r="E11" s="37" t="n"/>
      <c r="F11" s="37" t="n"/>
      <c r="G11" s="47" t="n">
        <v>-0.2496101512725598</v>
      </c>
      <c r="H11" s="47" t="n">
        <v>-0.3759256847812077</v>
      </c>
      <c r="I11" s="47" t="n">
        <v>-0.1439089011267891</v>
      </c>
      <c r="J11" s="47" t="n">
        <v>-0.240581019068933</v>
      </c>
      <c r="K11" s="47" t="n">
        <v>-0.1270414163782696</v>
      </c>
      <c r="L11" s="47" t="n">
        <v>-0.1167775493603669</v>
      </c>
      <c r="M11" s="57" t="n">
        <v>-9.667211794214387</v>
      </c>
      <c r="N11" s="60" t="n">
        <v>11.35396026906634</v>
      </c>
    </row>
    <row r="12">
      <c r="A12" s="42" t="inlineStr">
        <is>
          <t>649729851594</t>
        </is>
      </c>
      <c r="B12" s="42" t="inlineStr">
        <is>
          <t>小规格</t>
        </is>
      </c>
      <c r="C12" s="42" t="inlineStr">
        <is>
          <t>营多捞面袋装8包装泡面宿舍速食面热干面干拌面方便面火鸡面食品</t>
        </is>
      </c>
      <c r="D12" s="47" t="n">
        <v>-0.0436315215308308</v>
      </c>
      <c r="E12" s="37" t="n">
        <v>0.08025506046685341</v>
      </c>
      <c r="F12" s="37" t="n">
        <v>0.0343307461626575</v>
      </c>
      <c r="G12" s="47" t="n">
        <v>-0.03691385554561717</v>
      </c>
      <c r="H12" s="37" t="n"/>
      <c r="I12" s="37" t="n">
        <v>0.06648278908668731</v>
      </c>
      <c r="J12" s="47" t="n">
        <v>-0.02601563466625175</v>
      </c>
      <c r="K12" s="37" t="n"/>
      <c r="L12" s="37" t="n">
        <v>0.1343134976525822</v>
      </c>
      <c r="M12" s="57" t="n">
        <v>-9.249842375293907</v>
      </c>
      <c r="N12" s="60" t="n"/>
    </row>
    <row r="13">
      <c r="A13" s="42" t="inlineStr">
        <is>
          <t>766165464414</t>
        </is>
      </c>
      <c r="B13" s="42" t="inlineStr">
        <is>
          <t>巴东牛肉</t>
        </is>
      </c>
      <c r="C13" s="42" t="inlineStr">
        <is>
          <t>营多进口新口味巴东炖牛肉味捞面印尼料理方便面泡面捞面夜宵速食</t>
        </is>
      </c>
      <c r="D13" s="37" t="n">
        <v>0.02395030199039438</v>
      </c>
      <c r="E13" s="37" t="n">
        <v>0.07102430000621136</v>
      </c>
      <c r="F13" s="37" t="n">
        <v>0.05327694922430919</v>
      </c>
      <c r="G13" s="37" t="n">
        <v>0.04945717606886779</v>
      </c>
      <c r="H13" s="37" t="n">
        <v>0.07723261483039705</v>
      </c>
      <c r="I13" s="37" t="n">
        <v>0.1129319305842243</v>
      </c>
      <c r="J13" s="37" t="n">
        <v>0.02294536484640225</v>
      </c>
      <c r="K13" s="37" t="n">
        <v>0.08623114392634937</v>
      </c>
      <c r="L13" s="37" t="n">
        <v>0.1009672900151448</v>
      </c>
      <c r="M13" s="57" t="n">
        <v>-8.998656573782204</v>
      </c>
      <c r="N13" s="60" t="n">
        <v>6.328577907994712</v>
      </c>
    </row>
    <row r="14">
      <c r="A14" s="42" t="inlineStr">
        <is>
          <t>969433743398</t>
        </is>
      </c>
      <c r="B14" s="42" t="inlineStr">
        <is>
          <t>韩蘑菇</t>
        </is>
      </c>
      <c r="C14" s="42" t="inlineStr">
        <is>
          <t>新品营多捞面韩式辣蘑菇汤面泡面方便面速食干拌面宿舍宵夜旅行</t>
        </is>
      </c>
      <c r="D14" s="47" t="n">
        <v>-0.1941551607070788</v>
      </c>
      <c r="E14" s="47" t="n">
        <v>-0.371074765596512</v>
      </c>
      <c r="F14" s="37" t="n">
        <v>0.02454920292787431</v>
      </c>
      <c r="G14" s="47" t="n">
        <v>-0.2935445844793713</v>
      </c>
      <c r="H14" s="47" t="n">
        <v>-0.1570344125608272</v>
      </c>
      <c r="I14" s="37" t="n">
        <v>0.003126659843342036</v>
      </c>
      <c r="J14" s="47" t="n">
        <v>-0.06762602934961258</v>
      </c>
      <c r="K14" s="37" t="n">
        <v>0.02888850870541982</v>
      </c>
      <c r="L14" s="37" t="n">
        <v>0.05987968235808497</v>
      </c>
      <c r="M14" s="57" t="n">
        <v>-7.075268919295461</v>
      </c>
      <c r="N14" s="60" t="n">
        <v>9.651453805503241</v>
      </c>
    </row>
    <row r="15">
      <c r="A15" s="42" t="inlineStr">
        <is>
          <t>1013887677295</t>
        </is>
      </c>
      <c r="B15" s="42" t="inlineStr">
        <is>
          <t>混搭5杯</t>
        </is>
      </c>
      <c r="C15" s="42" t="inlineStr">
        <is>
          <t>进口营多原味杯面日式杯面韩式杯面泡面方便面汤面宿舍速食夜宵</t>
        </is>
      </c>
      <c r="D15" s="47" t="n">
        <v>-0.1366870079600083</v>
      </c>
      <c r="E15" s="47" t="n">
        <v>-0.2789896744570154</v>
      </c>
      <c r="F15" s="47" t="n">
        <v>-0.1395971292505579</v>
      </c>
      <c r="G15" s="47" t="n">
        <v>-0.2326971545122294</v>
      </c>
      <c r="H15" s="47" t="n">
        <v>-0.07174213266428538</v>
      </c>
      <c r="I15" s="47" t="n">
        <v>-0.08700835869348855</v>
      </c>
      <c r="J15" s="47" t="n">
        <v>-0.155779141629914</v>
      </c>
      <c r="K15" s="47" t="n">
        <v>-0.2412133549273392</v>
      </c>
      <c r="L15" s="47" t="n">
        <v>-0.1142520035671411</v>
      </c>
      <c r="M15" s="57" t="n">
        <v>-6.877078293642544</v>
      </c>
      <c r="N15" s="57" t="n">
        <v>-8.543421329742523</v>
      </c>
    </row>
    <row r="16">
      <c r="A16" s="42" t="inlineStr">
        <is>
          <t>976479938842</t>
        </is>
      </c>
      <c r="B16" s="42" t="inlineStr">
        <is>
          <t>【U选】原味5</t>
        </is>
      </c>
      <c r="C16" s="42" t="inlineStr">
        <is>
          <t>【天猫U选】indomie营多大骨牛肉味捞面拌面5包</t>
        </is>
      </c>
      <c r="D16" s="47" t="n">
        <v>-0.7526177761173377</v>
      </c>
      <c r="E16" s="47" t="n">
        <v>-0.4837890169740151</v>
      </c>
      <c r="F16" s="47" t="n">
        <v>-0.541417128208469</v>
      </c>
      <c r="G16" s="47" t="n">
        <v>-0.5257722782828282</v>
      </c>
      <c r="H16" s="47" t="n">
        <v>-0.5284647943676938</v>
      </c>
      <c r="I16" s="47" t="n">
        <v>-0.485249322152341</v>
      </c>
      <c r="J16" s="47" t="n">
        <v>-0.5364933302869287</v>
      </c>
      <c r="K16" s="47" t="n">
        <v>-0.5315667079365078</v>
      </c>
      <c r="L16" s="47" t="n">
        <v>-0.4952028791553418</v>
      </c>
      <c r="M16" s="57" t="n">
        <v>-5.124400813458774</v>
      </c>
      <c r="N16" s="60" t="n">
        <v>0.4926622350420851</v>
      </c>
    </row>
    <row r="17">
      <c r="A17" s="42" t="inlineStr">
        <is>
          <t>744317232690</t>
        </is>
      </c>
      <c r="B17" s="42" t="inlineStr">
        <is>
          <t>多规格</t>
        </is>
      </c>
      <c r="C17" s="42" t="inlineStr">
        <is>
          <t>营多捞面汤面清香牛肉味方便面泡面速食食品泡面拉面整箱旅行宿舍</t>
        </is>
      </c>
      <c r="D17" s="47" t="n">
        <v>-0.1074006326162462</v>
      </c>
      <c r="E17" s="47" t="n">
        <v>-0.01717817483586653</v>
      </c>
      <c r="F17" s="37" t="n">
        <v>0.06238457087458149</v>
      </c>
      <c r="G17" s="47" t="n">
        <v>-0.04237377793097505</v>
      </c>
      <c r="H17" s="47" t="n">
        <v>-0.1477115483159067</v>
      </c>
      <c r="I17" s="37" t="n">
        <v>0.0158180650474342</v>
      </c>
      <c r="J17" s="47" t="n">
        <v>-0.02496143692474282</v>
      </c>
      <c r="K17" s="37" t="n">
        <v>0.0243564740861825</v>
      </c>
      <c r="L17" s="47" t="n">
        <v>-0.1333064124347133</v>
      </c>
      <c r="M17" s="57" t="n">
        <v>-4.077950197217702</v>
      </c>
      <c r="N17" s="60" t="n">
        <v>4.931791101092532</v>
      </c>
    </row>
    <row r="18">
      <c r="A18" s="42" t="inlineStr">
        <is>
          <t>775016827115</t>
        </is>
      </c>
      <c r="B18" s="42" t="inlineStr">
        <is>
          <t>杯面混搭</t>
        </is>
      </c>
      <c r="C18" s="42" t="inlineStr">
        <is>
          <t>进口营多原味杯面日式杯面韩式杯面泡面方便面汤面宿舍速食夜宵</t>
        </is>
      </c>
      <c r="D18" s="37" t="n"/>
      <c r="E18" s="37" t="n">
        <v>0.03537224375829213</v>
      </c>
      <c r="F18" s="47" t="n">
        <v>-0.03699988566308244</v>
      </c>
      <c r="G18" s="37" t="n"/>
      <c r="H18" s="37" t="n">
        <v>0.0799147269265639</v>
      </c>
      <c r="I18" s="37" t="n">
        <v>0.07214693584229391</v>
      </c>
      <c r="J18" s="37" t="n">
        <v>0.03227420549797205</v>
      </c>
      <c r="K18" s="37" t="n"/>
      <c r="L18" s="37" t="n"/>
      <c r="M18" s="57" t="n">
        <v>-3.987273034432186</v>
      </c>
      <c r="N18" s="60" t="n"/>
    </row>
    <row r="19">
      <c r="A19" s="42" t="inlineStr">
        <is>
          <t>648600900806</t>
        </is>
      </c>
      <c r="B19" s="42" t="inlineStr">
        <is>
          <t>巴东牛肉</t>
        </is>
      </c>
      <c r="C19" s="42" t="inlineStr">
        <is>
          <t>【新口味】印尼进口营多捞面巴东炖牛肉味泡面方便面宿舍速食宵夜</t>
        </is>
      </c>
      <c r="D19" s="47" t="n">
        <v>-0.002558109316522905</v>
      </c>
      <c r="E19" s="47" t="n">
        <v>-0.008452087804336912</v>
      </c>
      <c r="F19" s="47" t="n">
        <v>-0.02816518563284378</v>
      </c>
      <c r="G19" s="47" t="n">
        <v>-0.04264715764716478</v>
      </c>
      <c r="H19" s="47" t="n">
        <v>-0.02568138151714817</v>
      </c>
      <c r="I19" s="37" t="n">
        <v>0.004651697839297434</v>
      </c>
      <c r="J19" s="47" t="n">
        <v>-0.03343882234929348</v>
      </c>
      <c r="K19" s="47" t="n">
        <v>-0.07705357690498937</v>
      </c>
      <c r="L19" s="47" t="n">
        <v>-0.05299056122910207</v>
      </c>
      <c r="M19" s="57" t="n">
        <v>-3.809052018859092</v>
      </c>
      <c r="N19" s="57" t="n">
        <v>-4.361475455569589</v>
      </c>
    </row>
    <row r="20">
      <c r="A20" s="42" t="inlineStr">
        <is>
          <t>648598580775</t>
        </is>
      </c>
      <c r="B20" s="42" t="inlineStr">
        <is>
          <t>15包</t>
        </is>
      </c>
      <c r="C20" s="42" t="inlineStr">
        <is>
          <t>进口营多捞面15包Indomie方便面干拌面夜宵方便速食五连包85g*5</t>
        </is>
      </c>
      <c r="D20" s="47" t="n">
        <v>-0.001268674494829481</v>
      </c>
      <c r="E20" s="47" t="n">
        <v>-0.01780476608738745</v>
      </c>
      <c r="F20" s="47" t="n">
        <v>-0.03337757803198677</v>
      </c>
      <c r="G20" s="47" t="n">
        <v>-0.05872249523911046</v>
      </c>
      <c r="H20" s="47" t="n">
        <v>-0.05219190944742513</v>
      </c>
      <c r="I20" s="37" t="n">
        <v>0.02017479683727668</v>
      </c>
      <c r="J20" s="47" t="n">
        <v>-0.01606370011603404</v>
      </c>
      <c r="K20" s="47" t="n">
        <v>-0.04329721663149533</v>
      </c>
      <c r="L20" s="47" t="n">
        <v>-0.04341956561307014</v>
      </c>
      <c r="M20" s="57" t="n">
        <v>-3.623849695331072</v>
      </c>
      <c r="N20" s="57" t="n">
        <v>-2.723351651546129</v>
      </c>
    </row>
    <row r="21">
      <c r="A21" s="42" t="inlineStr">
        <is>
          <t>969423151512</t>
        </is>
      </c>
      <c r="B21" s="42" t="inlineStr">
        <is>
          <t>日韩混搭</t>
        </is>
      </c>
      <c r="C21" s="42" t="inlineStr">
        <is>
          <t>营多捞面甜辣炸鸡火鸡面辣蘑菇泡面方便面速食干拌面宿舍宵夜旅行</t>
        </is>
      </c>
      <c r="D21" s="47" t="n">
        <v>-0.09007123489469443</v>
      </c>
      <c r="E21" s="47" t="n">
        <v>-0.05099129117218405</v>
      </c>
      <c r="F21" s="47" t="n">
        <v>-0.2417514411638328</v>
      </c>
      <c r="G21" s="47" t="n">
        <v>-0.2115805698130154</v>
      </c>
      <c r="H21" s="47" t="n">
        <v>-0.4168066658684759</v>
      </c>
      <c r="I21" s="47" t="n">
        <v>-0.05449272659768715</v>
      </c>
      <c r="J21" s="47" t="n">
        <v>-0.07953483012680367</v>
      </c>
      <c r="K21" s="47" t="n">
        <v>-0.002987339211059291</v>
      </c>
      <c r="L21" s="47" t="n">
        <v>-0.1345376314192298</v>
      </c>
      <c r="M21" s="57" t="n">
        <v>-2.504210352911652</v>
      </c>
      <c r="N21" s="60" t="n">
        <v>7.654749091574438</v>
      </c>
    </row>
    <row r="22">
      <c r="A22" s="42" t="inlineStr">
        <is>
          <t>668566625747</t>
        </is>
      </c>
      <c r="B22" s="42" t="inlineStr">
        <is>
          <t>袋面主链接</t>
        </is>
      </c>
      <c r="C22" s="42" t="inlineStr">
        <is>
          <t>印尼营多捞面进口网红泡面袋装方便面速食食品拉面火鸡面拌面整箱</t>
        </is>
      </c>
      <c r="D22" s="47" t="n">
        <v>-0.05808137419157384</v>
      </c>
      <c r="E22" s="47" t="n">
        <v>-0.05502350578225519</v>
      </c>
      <c r="F22" s="47" t="n">
        <v>-0.05105262140555219</v>
      </c>
      <c r="G22" s="47" t="n">
        <v>-0.08102095039668043</v>
      </c>
      <c r="H22" s="47" t="n">
        <v>-0.04443874486902612</v>
      </c>
      <c r="I22" s="47" t="n">
        <v>-0.02562644800869243</v>
      </c>
      <c r="J22" s="47" t="n">
        <v>-0.04820767862403652</v>
      </c>
      <c r="K22" s="47" t="n">
        <v>-0.04588338217443783</v>
      </c>
      <c r="L22" s="47" t="n">
        <v>-0.01854118328258559</v>
      </c>
      <c r="M22" s="57" t="n">
        <v>-2.258123061534409</v>
      </c>
      <c r="N22" s="60" t="n">
        <v>0.2324296449598695</v>
      </c>
    </row>
    <row r="23">
      <c r="A23" s="42" t="inlineStr">
        <is>
          <t>649014937782</t>
        </is>
      </c>
      <c r="B23" s="42" t="inlineStr">
        <is>
          <t>24包</t>
        </is>
      </c>
      <c r="C23" s="42" t="inlineStr">
        <is>
          <t>印尼营多捞面干拌面一整箱24袋装批发泡面宿舍速食方便面火鸡面</t>
        </is>
      </c>
      <c r="D23" s="47" t="n">
        <v>-0.01747225728146963</v>
      </c>
      <c r="E23" s="47" t="n">
        <v>-0.02298666267427357</v>
      </c>
      <c r="F23" s="47" t="n">
        <v>-0.01695157342113822</v>
      </c>
      <c r="G23" s="47" t="n">
        <v>-0.05611041530285661</v>
      </c>
      <c r="H23" s="47" t="n">
        <v>-0.05379273471208387</v>
      </c>
      <c r="I23" s="47" t="n">
        <v>-0.001195647847131685</v>
      </c>
      <c r="J23" s="47" t="n">
        <v>-0.01608904277502523</v>
      </c>
      <c r="K23" s="47" t="n">
        <v>-0.05737977034412227</v>
      </c>
      <c r="L23" s="47" t="n">
        <v>-0.08545505404962028</v>
      </c>
      <c r="M23" s="57" t="n">
        <v>-1.489339492789354</v>
      </c>
      <c r="N23" s="57" t="n">
        <v>-4.129072756909705</v>
      </c>
    </row>
    <row r="24">
      <c r="A24" s="42" t="inlineStr">
        <is>
          <t>649731447266</t>
        </is>
      </c>
      <c r="B24" s="42" t="inlineStr">
        <is>
          <t>20包经典/牛系列</t>
        </is>
      </c>
      <c r="C24" s="42" t="inlineStr">
        <is>
          <t>营多印尼进口营多捞面方便面火鸡面干拌面20包宿舍速食泡面夜宵</t>
        </is>
      </c>
      <c r="D24" s="37" t="n">
        <v>0.1389044754267977</v>
      </c>
      <c r="E24" s="47" t="n">
        <v>-0.1222797776639344</v>
      </c>
      <c r="F24" s="37" t="n">
        <v>0.06793984363349269</v>
      </c>
      <c r="G24" s="37" t="n">
        <v>0.1672958585491339</v>
      </c>
      <c r="H24" s="37" t="n">
        <v>0.1329881870699541</v>
      </c>
      <c r="I24" s="37" t="n">
        <v>0.1394936888773926</v>
      </c>
      <c r="J24" s="37" t="n">
        <v>0.1255094390584583</v>
      </c>
      <c r="K24" s="37" t="n">
        <v>0.1590605170431211</v>
      </c>
      <c r="L24" s="37" t="n">
        <v>0.1474807070341139</v>
      </c>
      <c r="M24" s="57" t="n">
        <v>-1.398424981893431</v>
      </c>
      <c r="N24" s="60" t="n">
        <v>3.355107798466281</v>
      </c>
    </row>
    <row r="25">
      <c r="A25" s="42" t="inlineStr">
        <is>
          <t>649369494424</t>
        </is>
      </c>
      <c r="B25" s="42" t="inlineStr">
        <is>
          <t>24包经典/牛系列</t>
        </is>
      </c>
      <c r="C25" s="42" t="inlineStr">
        <is>
          <t>营多捞面干拌面一整箱24袋装批发泡面混搭宿舍速食方便面火鸡面</t>
        </is>
      </c>
      <c r="D25" s="37" t="n">
        <v>0.0634271181335149</v>
      </c>
      <c r="E25" s="37" t="n">
        <v>0.0348948866353324</v>
      </c>
      <c r="F25" s="47" t="n">
        <v>-0.02473828299894192</v>
      </c>
      <c r="G25" s="47" t="n">
        <v>-0.03507949527024552</v>
      </c>
      <c r="H25" s="37" t="n">
        <v>0.02571352598456883</v>
      </c>
      <c r="I25" s="37" t="n">
        <v>0.06190780304505662</v>
      </c>
      <c r="J25" s="37" t="n">
        <v>0.04842721099260607</v>
      </c>
      <c r="K25" s="37" t="n">
        <v>0.06970374094712377</v>
      </c>
      <c r="L25" s="37" t="n">
        <v>0.03573486960845693</v>
      </c>
      <c r="M25" s="57" t="n">
        <v>-1.348059205245056</v>
      </c>
      <c r="N25" s="60" t="n">
        <v>2.12765299545177</v>
      </c>
    </row>
    <row r="26">
      <c r="A26" s="42" t="inlineStr">
        <is>
          <t>898076297965</t>
        </is>
      </c>
      <c r="B26" s="42" t="inlineStr">
        <is>
          <t>番茄牛肉</t>
        </is>
      </c>
      <c r="C26" s="42" t="inlineStr">
        <is>
          <t>进口正品意面风味奶香番茄牛肉味意式拌面营多捞面早餐儿童宝妈餐</t>
        </is>
      </c>
      <c r="D26" s="47" t="n">
        <v>-0.349296750538086</v>
      </c>
      <c r="E26" s="47" t="n">
        <v>-0.04562394500437502</v>
      </c>
      <c r="F26" s="47" t="n">
        <v>-0.1188903746083469</v>
      </c>
      <c r="G26" s="47" t="n">
        <v>-0.2273868306487202</v>
      </c>
      <c r="H26" s="47" t="n">
        <v>-0.110128974051274</v>
      </c>
      <c r="I26" s="47" t="n">
        <v>-0.09292210550478396</v>
      </c>
      <c r="J26" s="47" t="n">
        <v>-0.1024918646978801</v>
      </c>
      <c r="K26" s="47" t="n">
        <v>-0.1160047907999586</v>
      </c>
      <c r="L26" s="47" t="n">
        <v>-0.1384597982251872</v>
      </c>
      <c r="M26" s="57" t="n">
        <v>-0.9569759193096119</v>
      </c>
      <c r="N26" s="57" t="n">
        <v>-1.351292610207852</v>
      </c>
    </row>
    <row r="27">
      <c r="A27" s="42" t="inlineStr">
        <is>
          <t>649361890551</t>
        </is>
      </c>
      <c r="B27" s="42" t="inlineStr">
        <is>
          <t>袋面次链接</t>
        </is>
      </c>
      <c r="C27" s="42" t="inlineStr">
        <is>
          <t>营多捞面印尼进口Indomie网红夜宵早餐方便面火鸡面泡面拌面</t>
        </is>
      </c>
      <c r="D27" s="47" t="n">
        <v>-0.1356870846168906</v>
      </c>
      <c r="E27" s="47" t="n">
        <v>-0.1402044686407309</v>
      </c>
      <c r="F27" s="47" t="n">
        <v>-0.1753318261851623</v>
      </c>
      <c r="G27" s="47" t="n">
        <v>-0.1707065471172638</v>
      </c>
      <c r="H27" s="47" t="n">
        <v>-0.1054197823084479</v>
      </c>
      <c r="I27" s="47" t="n">
        <v>-0.1057286534461766</v>
      </c>
      <c r="J27" s="47" t="n">
        <v>-0.1144269475234252</v>
      </c>
      <c r="K27" s="47" t="n">
        <v>-0.1237914008246476</v>
      </c>
      <c r="L27" s="47" t="n">
        <v>-0.125206150418703</v>
      </c>
      <c r="M27" s="57" t="n">
        <v>-0.8698294077248578</v>
      </c>
      <c r="N27" s="57" t="n">
        <v>-0.9364453301222389</v>
      </c>
    </row>
    <row r="28">
      <c r="A28" s="42" t="inlineStr">
        <is>
          <t>649735171438</t>
        </is>
      </c>
      <c r="B28" s="42" t="inlineStr">
        <is>
          <t>杯面主链接</t>
        </is>
      </c>
      <c r="C28" s="42" t="inlineStr">
        <is>
          <t>印尼进口indomie营多捞面杯面速食泡面干拌面盒桶装方便面火鸡面</t>
        </is>
      </c>
      <c r="D28" s="47" t="n">
        <v>-0.07240274561436029</v>
      </c>
      <c r="E28" s="47" t="n">
        <v>-0.07445002490295884</v>
      </c>
      <c r="F28" s="47" t="n">
        <v>-0.1417498488080965</v>
      </c>
      <c r="G28" s="47" t="n">
        <v>-0.1322413684665259</v>
      </c>
      <c r="H28" s="47" t="n">
        <v>-0.09015030893918437</v>
      </c>
      <c r="I28" s="47" t="n">
        <v>-0.07169965634685091</v>
      </c>
      <c r="J28" s="47" t="n">
        <v>-0.07926454209456806</v>
      </c>
      <c r="K28" s="47" t="n">
        <v>-0.08469679779072363</v>
      </c>
      <c r="L28" s="47" t="n">
        <v>-0.0580650269661092</v>
      </c>
      <c r="M28" s="57" t="n">
        <v>-0.7564885747717145</v>
      </c>
      <c r="N28" s="57" t="n">
        <v>-0.5432255696155575</v>
      </c>
    </row>
    <row r="29">
      <c r="A29" s="42" t="inlineStr">
        <is>
          <t>735014804839</t>
        </is>
      </c>
      <c r="B29" s="42" t="inlineStr">
        <is>
          <t>24/30包</t>
        </is>
      </c>
      <c r="C29" s="42" t="inlineStr">
        <is>
          <t>进口营多捞面多口味Indomie网红方便面干拌面泡面30包整箱批发面</t>
        </is>
      </c>
      <c r="D29" s="47" t="n">
        <v>-0.02590640704255268</v>
      </c>
      <c r="E29" s="47" t="n">
        <v>-0.01885560752249972</v>
      </c>
      <c r="F29" s="37" t="n">
        <v>0.07108861924532074</v>
      </c>
      <c r="G29" s="47" t="n">
        <v>-0.0113106122384899</v>
      </c>
      <c r="H29" s="37" t="n">
        <v>0.01542449442898462</v>
      </c>
      <c r="I29" s="37" t="n">
        <v>0.05254502343436088</v>
      </c>
      <c r="J29" s="37" t="n">
        <v>0.04788331251076935</v>
      </c>
      <c r="K29" s="47" t="n">
        <v>-0.02474723208431365</v>
      </c>
      <c r="L29" s="47" t="n">
        <v>-0.01593177775107071</v>
      </c>
      <c r="M29" s="57" t="n">
        <v>-0.4661710923591529</v>
      </c>
      <c r="N29" s="57" t="n">
        <v>-7.2630544595083</v>
      </c>
    </row>
    <row r="30">
      <c r="A30" s="42" t="inlineStr">
        <is>
          <t>1060999732877</t>
        </is>
      </c>
      <c r="B30" s="42" t="inlineStr">
        <is>
          <t>原味大包</t>
        </is>
      </c>
      <c r="C30" s="42" t="inlineStr">
        <is>
          <t>印尼进口大大包营多原味捞面5包干拌面速食超大包方便面速食宵夜</t>
        </is>
      </c>
      <c r="D30" s="37" t="n"/>
      <c r="E30" s="37" t="n"/>
      <c r="F30" s="37" t="n"/>
      <c r="G30" s="37" t="n">
        <v>0.09021140108712532</v>
      </c>
      <c r="H30" s="47" t="n">
        <v>-0.0236109640756936</v>
      </c>
      <c r="I30" s="47" t="n">
        <v>-0.02274184998149278</v>
      </c>
      <c r="J30" s="47" t="n">
        <v>-0.02396654248934462</v>
      </c>
      <c r="K30" s="47" t="n">
        <v>-0.0216475419998736</v>
      </c>
      <c r="L30" s="47" t="n">
        <v>-0.03582941704520206</v>
      </c>
      <c r="M30" s="57" t="n">
        <v>-0.1224692507851847</v>
      </c>
      <c r="N30" s="60" t="n">
        <v>0.2319000489471021</v>
      </c>
    </row>
    <row r="31">
      <c r="A31" s="42" t="inlineStr">
        <is>
          <t>1057479227624</t>
        </is>
      </c>
      <c r="B31" s="42" t="inlineStr">
        <is>
          <t>巴东牛肉</t>
        </is>
      </c>
      <c r="C31" s="42" t="inlineStr">
        <is>
          <t>【新口味】印尼进口营多捞面巴东炖牛肉味泡面方便面宿舍速食宵夜</t>
        </is>
      </c>
      <c r="D31" s="37" t="n"/>
      <c r="E31" s="37" t="n"/>
      <c r="F31" s="37" t="n"/>
      <c r="G31" s="47" t="n">
        <v>-0.2788516171963339</v>
      </c>
      <c r="H31" s="47" t="n">
        <v>-0.2718874197075241</v>
      </c>
      <c r="I31" s="47" t="n">
        <v>-0.3130277372444998</v>
      </c>
      <c r="J31" s="47" t="n">
        <v>-0.3140203069822095</v>
      </c>
      <c r="K31" s="47" t="n">
        <v>-0.2321077519727026</v>
      </c>
      <c r="L31" s="47" t="n">
        <v>-0.2528622648121945</v>
      </c>
      <c r="M31" s="57" t="n">
        <v>-0.09925697377096698</v>
      </c>
      <c r="N31" s="60" t="n">
        <v>8.191255500950687</v>
      </c>
    </row>
    <row r="32">
      <c r="A32" s="42" t="inlineStr">
        <is>
          <t>937005385662</t>
        </is>
      </c>
      <c r="B32" s="42" t="inlineStr">
        <is>
          <t>日式袋面</t>
        </is>
      </c>
      <c r="C32" s="42" t="inlineStr">
        <is>
          <t>进口营多正品捞面日式鸡肉鸡汤辛辣味袋装泡面辣味速食方便面汤面</t>
        </is>
      </c>
      <c r="D32" s="47" t="n">
        <v>-0.2984279842162213</v>
      </c>
      <c r="E32" s="47" t="n">
        <v>-0.3181864738660907</v>
      </c>
      <c r="F32" s="47" t="n">
        <v>-0.4503546454945055</v>
      </c>
      <c r="G32" s="37" t="n">
        <v>0.06940142567603046</v>
      </c>
      <c r="H32" s="37" t="n">
        <v>0.01046512156963324</v>
      </c>
      <c r="I32" s="47" t="n">
        <v>-0.07102412302259886</v>
      </c>
      <c r="J32" s="47" t="n">
        <v>-0.0707403204495874</v>
      </c>
      <c r="K32" s="47" t="n">
        <v>-0.1021684906903335</v>
      </c>
      <c r="L32" s="47" t="n">
        <v>-0.3319270274150869</v>
      </c>
      <c r="M32" s="60" t="n">
        <v>0.02838025730114574</v>
      </c>
      <c r="N32" s="57" t="n">
        <v>-3.142817024074608</v>
      </c>
    </row>
    <row r="33">
      <c r="A33" s="42" t="inlineStr">
        <is>
          <t>1058280415678</t>
        </is>
      </c>
      <c r="B33" s="42" t="inlineStr">
        <is>
          <t>原味大包</t>
        </is>
      </c>
      <c r="C33" s="42" t="inlineStr">
        <is>
          <t>印尼进口大大包营多原味捞面5包干拌面速食超大包方便面速食宵夜</t>
        </is>
      </c>
      <c r="D33" s="37" t="n"/>
      <c r="E33" s="37" t="n"/>
      <c r="F33" s="37" t="n"/>
      <c r="G33" s="37" t="n">
        <v>0.05565584412593206</v>
      </c>
      <c r="H33" s="37" t="n">
        <v>0.01293273491189149</v>
      </c>
      <c r="I33" s="37" t="n">
        <v>0.01062712596045652</v>
      </c>
      <c r="J33" s="37" t="n">
        <v>0.01747524045269288</v>
      </c>
      <c r="K33" s="37" t="n">
        <v>0.0378605402223795</v>
      </c>
      <c r="L33" s="37" t="n">
        <v>0.02384754179744173</v>
      </c>
      <c r="M33" s="60" t="n">
        <v>0.6848114492236358</v>
      </c>
      <c r="N33" s="60" t="n">
        <v>2.038529976968662</v>
      </c>
    </row>
    <row r="34">
      <c r="A34" s="42" t="inlineStr">
        <is>
          <t>929504658691</t>
        </is>
      </c>
      <c r="B34" s="42" t="inlineStr">
        <is>
          <t>日式袋面</t>
        </is>
      </c>
      <c r="C34" s="42" t="inlineStr">
        <is>
          <t>营多捞面日式鸡肉汤面原味辛辣味袋装泡面方便面速食宿舍夜宵食品</t>
        </is>
      </c>
      <c r="D34" s="47" t="n">
        <v>-0.1155524861891685</v>
      </c>
      <c r="E34" s="47" t="n">
        <v>-0.2162453419754798</v>
      </c>
      <c r="F34" s="47" t="n">
        <v>-0.3179050216024152</v>
      </c>
      <c r="G34" s="47" t="n">
        <v>-0.5395753993811226</v>
      </c>
      <c r="H34" s="47" t="n">
        <v>-0.2444998346861985</v>
      </c>
      <c r="I34" s="47" t="n">
        <v>-0.09576864416010152</v>
      </c>
      <c r="J34" s="47" t="n">
        <v>-0.08452206363901109</v>
      </c>
      <c r="K34" s="47" t="n">
        <v>-0.09804489560380623</v>
      </c>
      <c r="L34" s="47" t="n">
        <v>-0.1521974947925559</v>
      </c>
      <c r="M34" s="60" t="n">
        <v>1.124658052109043</v>
      </c>
      <c r="N34" s="57" t="n">
        <v>-1.352283196479515</v>
      </c>
    </row>
    <row r="35">
      <c r="A35" s="42" t="inlineStr">
        <is>
          <t>885645733215</t>
        </is>
      </c>
      <c r="B35" s="42" t="inlineStr">
        <is>
          <t>大骨牛肉</t>
        </is>
      </c>
      <c r="C35" s="42" t="inlineStr">
        <is>
          <t>进口营多大骨番茄牛肉味营多捞面意式泡面宿舍宿舍宵夜速食方便面</t>
        </is>
      </c>
      <c r="D35" s="47" t="n">
        <v>-0.1317069145833333</v>
      </c>
      <c r="E35" s="37" t="n">
        <v>0.009694580539976523</v>
      </c>
      <c r="F35" s="47" t="n">
        <v>-0.1468501875304432</v>
      </c>
      <c r="G35" s="47" t="n">
        <v>-0.4397879455758426</v>
      </c>
      <c r="H35" s="47" t="n">
        <v>-0.1317695430107527</v>
      </c>
      <c r="I35" s="47" t="n">
        <v>-0.1167922934746605</v>
      </c>
      <c r="J35" s="47" t="n">
        <v>-0.1042911799817542</v>
      </c>
      <c r="K35" s="47" t="n">
        <v>-0.05014758976052849</v>
      </c>
      <c r="L35" s="37" t="n"/>
      <c r="M35" s="60" t="n">
        <v>1.250111349290627</v>
      </c>
      <c r="N35" s="60" t="n">
        <v>5.414359022122571</v>
      </c>
    </row>
    <row r="36">
      <c r="A36" s="42" t="inlineStr">
        <is>
          <t>1019572719528</t>
        </is>
      </c>
      <c r="B36" s="42" t="inlineStr">
        <is>
          <t>杯面混搭</t>
        </is>
      </c>
      <c r="C36" s="42" t="inlineStr">
        <is>
          <t>印尼进口营多捞面杯面原味甜辣蘑菇味整箱速食拌面拉面泡面方便面</t>
        </is>
      </c>
      <c r="D36" s="37" t="n">
        <v>0.09710096312849162</v>
      </c>
      <c r="E36" s="37" t="n"/>
      <c r="F36" s="37" t="n"/>
      <c r="G36" s="37" t="n"/>
      <c r="H36" s="37" t="n">
        <v>0.05778510352045671</v>
      </c>
      <c r="I36" s="37" t="n">
        <v>0.09524966972477063</v>
      </c>
      <c r="J36" s="37" t="n">
        <v>0.1106041474860335</v>
      </c>
      <c r="K36" s="37" t="n"/>
      <c r="L36" s="37" t="n"/>
      <c r="M36" s="60" t="n">
        <v>1.535447776126289</v>
      </c>
      <c r="N36" s="60" t="n"/>
    </row>
    <row r="37">
      <c r="A37" s="42" t="inlineStr">
        <is>
          <t>648681860568</t>
        </is>
      </c>
      <c r="B37" s="42" t="inlineStr">
        <is>
          <t>原味大包</t>
        </is>
      </c>
      <c r="C37" s="42" t="inlineStr">
        <is>
          <t>indomie印尼进口营多原味大大包129g捞面方便面速食食品宵夜小吃</t>
        </is>
      </c>
      <c r="D37" s="47" t="n">
        <v>-0.107344303062112</v>
      </c>
      <c r="E37" s="47" t="n">
        <v>-0.08257158927417305</v>
      </c>
      <c r="F37" s="47" t="n">
        <v>-0.1507935402623672</v>
      </c>
      <c r="G37" s="47" t="n">
        <v>-0.08365747216721858</v>
      </c>
      <c r="H37" s="37" t="n">
        <v>0.02734341727984932</v>
      </c>
      <c r="I37" s="47" t="n">
        <v>-0.1502086283650253</v>
      </c>
      <c r="J37" s="47" t="n">
        <v>-0.1340600460745176</v>
      </c>
      <c r="K37" s="47" t="n">
        <v>-0.1065915102410212</v>
      </c>
      <c r="L37" s="47" t="n">
        <v>-0.2774797991172506</v>
      </c>
      <c r="M37" s="60" t="n">
        <v>1.61485822905077</v>
      </c>
      <c r="N37" s="60" t="n">
        <v>2.746853583349641</v>
      </c>
    </row>
    <row r="38">
      <c r="A38" s="42" t="inlineStr">
        <is>
          <t>976467954327</t>
        </is>
      </c>
      <c r="B38" s="42" t="inlineStr">
        <is>
          <t>十全十美</t>
        </is>
      </c>
      <c r="C38" s="42" t="inlineStr">
        <is>
          <t>营多捞面多口味袋装泡面拌面速食面干拌面方便面速食宵夜宿舍旅行</t>
        </is>
      </c>
      <c r="D38" s="47" t="n">
        <v>-0.6418353071852341</v>
      </c>
      <c r="E38" s="47" t="n">
        <v>-0.3536187886792452</v>
      </c>
      <c r="F38" s="37" t="n"/>
      <c r="G38" s="47" t="n">
        <v>-0.4328253049946864</v>
      </c>
      <c r="H38" s="47" t="n">
        <v>-0.3721913857296136</v>
      </c>
      <c r="I38" s="47" t="n">
        <v>-0.3361760807651434</v>
      </c>
      <c r="J38" s="47" t="n">
        <v>-0.3038002717171717</v>
      </c>
      <c r="K38" s="47" t="n">
        <v>-0.3696208377037562</v>
      </c>
      <c r="L38" s="47" t="n">
        <v>-0.2918899332657201</v>
      </c>
      <c r="M38" s="60" t="n">
        <v>3.237580904797172</v>
      </c>
      <c r="N38" s="57" t="n">
        <v>-6.582056598658453</v>
      </c>
    </row>
    <row r="39">
      <c r="A39" s="42" t="inlineStr">
        <is>
          <t>886856687067</t>
        </is>
      </c>
      <c r="B39" s="42" t="inlineStr">
        <is>
          <t>大骨</t>
        </is>
      </c>
      <c r="C39" s="42" t="inlineStr">
        <is>
          <t>营多捞面牛系列大骨牛肉味方便面食品泡面拉面汤面宿舍宵夜旅行</t>
        </is>
      </c>
      <c r="D39" s="47" t="n">
        <v>-0.002803777594728172</v>
      </c>
      <c r="E39" s="37" t="n">
        <v>0.006073942491142001</v>
      </c>
      <c r="F39" s="47" t="n">
        <v>-0.0294586348570061</v>
      </c>
      <c r="G39" s="47" t="n">
        <v>-0.141612670491321</v>
      </c>
      <c r="H39" s="37" t="n">
        <v>0.01537775778949531</v>
      </c>
      <c r="I39" s="37" t="n">
        <v>0.06172282180113561</v>
      </c>
      <c r="J39" s="37" t="n">
        <v>0.1172526417368673</v>
      </c>
      <c r="K39" s="37" t="n">
        <v>0.03990878539246889</v>
      </c>
      <c r="L39" s="47" t="n">
        <v>-0.1292732598627787</v>
      </c>
      <c r="M39" s="60" t="n">
        <v>5.552981993573174</v>
      </c>
      <c r="N39" s="57" t="n">
        <v>-7.734385634439846</v>
      </c>
    </row>
    <row r="40">
      <c r="A40" s="42" t="inlineStr">
        <is>
          <t>976466902934</t>
        </is>
      </c>
      <c r="B40" s="42" t="inlineStr">
        <is>
          <t>日韩杯面</t>
        </is>
      </c>
      <c r="C40" s="42" t="inlineStr">
        <is>
          <t>【天猫U选】indomie营多捞面辣火鸡味日式鸡肉原味杯面</t>
        </is>
      </c>
      <c r="D40" s="47" t="n">
        <v>-0.543884052183466</v>
      </c>
      <c r="E40" s="47" t="n">
        <v>-0.3033023578456758</v>
      </c>
      <c r="F40" s="47" t="n">
        <v>-0.4020667958532695</v>
      </c>
      <c r="G40" s="47" t="n">
        <v>-0.391625092126958</v>
      </c>
      <c r="H40" s="47" t="n">
        <v>-0.3847576543878656</v>
      </c>
      <c r="I40" s="47" t="n">
        <v>-0.6362916999999999</v>
      </c>
      <c r="J40" s="47" t="n">
        <v>-0.4342751608938547</v>
      </c>
      <c r="K40" s="47" t="n">
        <v>-0.3134393233898305</v>
      </c>
      <c r="L40" s="37" t="n"/>
      <c r="M40" s="60" t="n">
        <v>20.20165391061452</v>
      </c>
      <c r="N40" s="60" t="n">
        <v>12.08358375040242</v>
      </c>
    </row>
    <row r="41">
      <c r="A41" s="42" t="inlineStr">
        <is>
          <t>971242260371</t>
        </is>
      </c>
      <c r="B41" s="42" t="inlineStr">
        <is>
          <t>韩式袋面</t>
        </is>
      </c>
      <c r="C41" s="42" t="inlineStr">
        <is>
          <t>新品营多捞面韩式辣蘑菇汤面泡面方便面速食干拌面宿舍宵夜旅行</t>
        </is>
      </c>
      <c r="D41" s="37" t="n">
        <v>0.0129804053430713</v>
      </c>
      <c r="E41" s="47" t="n">
        <v>-1.299296489957395</v>
      </c>
      <c r="F41" s="47" t="n">
        <v>-0.1619325435052057</v>
      </c>
      <c r="G41" s="47" t="n">
        <v>-0.1850412048114185</v>
      </c>
      <c r="H41" s="47" t="n">
        <v>-0.112239251712961</v>
      </c>
      <c r="I41" s="47" t="n">
        <v>-0.4503419801782626</v>
      </c>
      <c r="J41" s="47" t="n">
        <v>-0.2219027006098687</v>
      </c>
      <c r="K41" s="47" t="n">
        <v>-0.1230514543681034</v>
      </c>
      <c r="L41" s="47" t="n">
        <v>-0.1275424751442934</v>
      </c>
      <c r="M41" s="60" t="n">
        <v>22.84392795683939</v>
      </c>
      <c r="N41" s="60" t="n">
        <v>9.885124624176536</v>
      </c>
    </row>
    <row r="42">
      <c r="A42" s="42" t="inlineStr">
        <is>
          <t>903183018417</t>
        </is>
      </c>
      <c r="B42" s="42" t="inlineStr">
        <is>
          <t>七口味混搭</t>
        </is>
      </c>
      <c r="C42" s="42" t="inlineStr">
        <is>
          <t>进口营多捞面汤面拌面七口味混合方便面速拉面宿舍拌面泡面食食品</t>
        </is>
      </c>
      <c r="D42" s="47" t="n">
        <v>-0.1456350243770314</v>
      </c>
      <c r="E42" s="47" t="n">
        <v>-0.2448704527845036</v>
      </c>
      <c r="F42" s="37" t="n">
        <v>0.08519397972116603</v>
      </c>
      <c r="G42" s="47" t="n">
        <v>-0.04596030204183266</v>
      </c>
      <c r="H42" s="47" t="n">
        <v>-0.03122278401360544</v>
      </c>
      <c r="I42" s="47" t="n">
        <v>-0.5322161411905474</v>
      </c>
      <c r="J42" s="47" t="n">
        <v>-0.2612315660137369</v>
      </c>
      <c r="K42" s="47" t="n">
        <v>-0.06957129562043796</v>
      </c>
      <c r="L42" s="37" t="n">
        <v>0.008530042371433452</v>
      </c>
      <c r="M42" s="60" t="n">
        <v>27.09845751768105</v>
      </c>
      <c r="N42" s="60" t="n">
        <v>19.16602703932989</v>
      </c>
    </row>
    <row r="43">
      <c r="A43" s="42" t="inlineStr">
        <is>
          <t>1014512281808</t>
        </is>
      </c>
      <c r="B43" s="42" t="inlineStr">
        <is>
          <t>杯面混搭</t>
        </is>
      </c>
      <c r="C43" s="42" t="inlineStr">
        <is>
          <t>营多捞面韩式甜辣炸鸡辣蘑菇杯面方便面拌面泡面宿舍速食面</t>
        </is>
      </c>
      <c r="D43" s="37" t="n"/>
      <c r="E43" s="37" t="n"/>
      <c r="F43" s="37" t="n"/>
      <c r="G43" s="37" t="n"/>
      <c r="H43" s="37" t="n"/>
      <c r="I43" s="37" t="n">
        <v>0.1884973216342692</v>
      </c>
      <c r="J43" s="37" t="n"/>
      <c r="K43" s="37" t="n"/>
      <c r="L43" s="37" t="n"/>
      <c r="M43" s="60" t="n"/>
      <c r="N43" s="60" t="n"/>
    </row>
    <row r="44">
      <c r="A44" s="42" t="inlineStr">
        <is>
          <t>1019397839311</t>
        </is>
      </c>
      <c r="B44" s="42" t="inlineStr">
        <is>
          <t>多口味混搭</t>
        </is>
      </c>
      <c r="C44" s="42" t="inlineStr">
        <is>
          <t>营多捞面原味番茄牛肉袋装泡面汤面干拌面方便面宿舍速食旅行宵夜</t>
        </is>
      </c>
      <c r="D44" s="47" t="n">
        <v>-0.1335403832960477</v>
      </c>
      <c r="E44" s="37" t="n"/>
      <c r="F44" s="37" t="n"/>
      <c r="G44" s="37" t="n"/>
      <c r="H44" s="37" t="n"/>
      <c r="I44" s="37" t="n"/>
      <c r="J44" s="37" t="n"/>
      <c r="K44" s="37" t="n"/>
      <c r="L44" s="37" t="n"/>
      <c r="M44" s="60" t="n"/>
      <c r="N44" s="60" t="n"/>
    </row>
    <row r="45">
      <c r="A45" s="42" t="inlineStr">
        <is>
          <t>1040679932754</t>
        </is>
      </c>
      <c r="B45" s="42" t="inlineStr">
        <is>
          <t>杯面混搭</t>
        </is>
      </c>
      <c r="C45" s="42" t="inlineStr">
        <is>
          <t>印尼进口营多捞面杯面原味甜辣蘑菇味整箱速食拌面拉面泡面方便面</t>
        </is>
      </c>
      <c r="D45" s="47" t="n">
        <v>-0.220633405034325</v>
      </c>
      <c r="E45" s="37" t="n"/>
      <c r="F45" s="37" t="n"/>
      <c r="G45" s="37" t="n"/>
      <c r="H45" s="47" t="n">
        <v>-0.1354487803875514</v>
      </c>
      <c r="I45" s="37" t="n"/>
      <c r="J45" s="37" t="n"/>
      <c r="K45" s="37" t="n"/>
      <c r="L45" s="37" t="n"/>
      <c r="M45" s="60" t="n"/>
      <c r="N45" s="60" t="n"/>
    </row>
    <row r="46">
      <c r="A46" s="42" t="inlineStr">
        <is>
          <t>1056927747753</t>
        </is>
      </c>
      <c r="B46" s="42" t="inlineStr">
        <is>
          <t>巴东</t>
        </is>
      </c>
      <c r="C46" s="42" t="inlineStr">
        <is>
          <t>【新口味】印尼进口营多捞面巴东炖牛肉味泡面方便面宿舍速食宵夜</t>
        </is>
      </c>
      <c r="D46" s="37" t="n"/>
      <c r="E46" s="37" t="n"/>
      <c r="F46" s="47" t="n">
        <v>-0.2167289594484996</v>
      </c>
      <c r="G46" s="37" t="n"/>
      <c r="H46" s="37" t="n"/>
      <c r="I46" s="37" t="n"/>
      <c r="J46" s="37" t="n"/>
      <c r="K46" s="37" t="n"/>
      <c r="L46" s="37" t="n"/>
      <c r="M46" s="60" t="n"/>
      <c r="N46" s="60" t="n"/>
    </row>
    <row r="47">
      <c r="A47" s="42" t="inlineStr">
        <is>
          <t>1067350828719</t>
        </is>
      </c>
      <c r="B47" s="42" t="inlineStr"/>
      <c r="C47" s="42" t="inlineStr"/>
      <c r="D47" s="37" t="n"/>
      <c r="E47" s="37" t="n"/>
      <c r="F47" s="37" t="n"/>
      <c r="G47" s="37" t="n"/>
      <c r="H47" s="37" t="n"/>
      <c r="I47" s="37" t="n"/>
      <c r="J47" s="37" t="n"/>
      <c r="K47" s="37" t="n">
        <v>0.1918013517148622</v>
      </c>
      <c r="L47" s="37" t="n"/>
      <c r="M47" s="60" t="n"/>
      <c r="N47" s="60" t="n"/>
    </row>
    <row r="48">
      <c r="A48" s="42" t="inlineStr">
        <is>
          <t>1067363868298</t>
        </is>
      </c>
      <c r="B48" s="42" t="inlineStr"/>
      <c r="C48" s="42" t="inlineStr"/>
      <c r="D48" s="37" t="n"/>
      <c r="E48" s="37" t="n"/>
      <c r="F48" s="37" t="n"/>
      <c r="G48" s="37" t="n"/>
      <c r="H48" s="37" t="n"/>
      <c r="I48" s="37" t="n"/>
      <c r="J48" s="37" t="n"/>
      <c r="K48" s="47" t="n">
        <v>-0.04877350676110753</v>
      </c>
      <c r="L48" s="37" t="n"/>
      <c r="M48" s="60" t="n"/>
      <c r="N48" s="60" t="n"/>
    </row>
    <row r="49">
      <c r="A49" s="42" t="inlineStr">
        <is>
          <t>1067957289054</t>
        </is>
      </c>
      <c r="B49" s="42" t="inlineStr">
        <is>
          <t>巴东牛肉</t>
        </is>
      </c>
      <c r="C49" s="42" t="inlineStr">
        <is>
          <t>【新口味】印尼进口营多捞面巴东炖牛肉味泡面方便面宿舍速食宵夜</t>
        </is>
      </c>
      <c r="D49" s="37" t="n"/>
      <c r="E49" s="37" t="n"/>
      <c r="F49" s="37" t="n"/>
      <c r="G49" s="37" t="n"/>
      <c r="H49" s="37" t="n"/>
      <c r="I49" s="37" t="n"/>
      <c r="J49" s="37" t="n"/>
      <c r="K49" s="47" t="n">
        <v>-0.09165839307401936</v>
      </c>
      <c r="L49" s="47" t="n">
        <v>-0.1748460284541724</v>
      </c>
      <c r="M49" s="60" t="n"/>
      <c r="N49" s="60" t="n"/>
    </row>
    <row r="50">
      <c r="A50" s="42" t="inlineStr">
        <is>
          <t>754828376158</t>
        </is>
      </c>
      <c r="B50" s="42" t="inlineStr">
        <is>
          <t>六口味混搭</t>
        </is>
      </c>
      <c r="C50" s="42" t="inlineStr">
        <is>
          <t>进口营多捞面汤面拌面六口味混合方便面速食食品泡面</t>
        </is>
      </c>
      <c r="D50" s="47" t="n">
        <v>-0.1037823210175651</v>
      </c>
      <c r="E50" s="47" t="n">
        <v>-0.00529735976331361</v>
      </c>
      <c r="F50" s="37" t="n"/>
      <c r="G50" s="37" t="n"/>
      <c r="H50" s="37" t="n"/>
      <c r="I50" s="37" t="n"/>
      <c r="J50" s="37" t="n"/>
      <c r="K50" s="37" t="n"/>
      <c r="L50" s="37" t="n"/>
      <c r="M50" s="60" t="n"/>
      <c r="N50" s="60" t="n"/>
    </row>
    <row r="51">
      <c r="A51" s="42" t="inlineStr">
        <is>
          <t>773972883430</t>
        </is>
      </c>
      <c r="B51" s="42" t="inlineStr">
        <is>
          <t>韩式袋面</t>
        </is>
      </c>
      <c r="C51" s="42" t="inlineStr">
        <is>
          <t>营多捞面韩式火鸡面辣蘑菇汤面袋装泡面辣味速食方便面宿舍宵夜面</t>
        </is>
      </c>
      <c r="D51" s="47" t="n">
        <v>-0.7914333460317459</v>
      </c>
      <c r="E51" s="37" t="n">
        <v>0.06658463765467983</v>
      </c>
      <c r="F51" s="37" t="n">
        <v>0.0006367563180404354</v>
      </c>
      <c r="G51" s="37" t="n">
        <v>0.02133440160614028</v>
      </c>
      <c r="H51" s="47" t="n">
        <v>-0.07410826984126982</v>
      </c>
      <c r="I51" s="37" t="n"/>
      <c r="J51" s="37" t="n"/>
      <c r="K51" s="37" t="n"/>
      <c r="L51" s="37" t="n"/>
      <c r="M51" s="60" t="n"/>
      <c r="N51" s="60" t="n"/>
    </row>
    <row r="52">
      <c r="A52" s="42" t="inlineStr">
        <is>
          <t>869217868453</t>
        </is>
      </c>
      <c r="B52" s="42" t="inlineStr">
        <is>
          <t>韩式杯面</t>
        </is>
      </c>
      <c r="C52" s="42" t="inlineStr">
        <is>
          <t>营多捞面韩式甜辣炸鸡辣蘑菇杯面方便面拌面泡面宿舍速食面</t>
        </is>
      </c>
      <c r="D52" s="47" t="n">
        <v>-0.5541078332260142</v>
      </c>
      <c r="E52" s="47" t="n">
        <v>-0.04453104</v>
      </c>
      <c r="F52" s="37" t="n"/>
      <c r="G52" s="37" t="n">
        <v>0.02546734669338677</v>
      </c>
      <c r="H52" s="47" t="n">
        <v>-0.3123713944954128</v>
      </c>
      <c r="I52" s="37" t="n">
        <v>0.06429885279096854</v>
      </c>
      <c r="J52" s="37" t="n"/>
      <c r="K52" s="47" t="n">
        <v>-0.4998859813967673</v>
      </c>
      <c r="L52" s="47" t="n">
        <v>-0.06663491022085259</v>
      </c>
      <c r="M52" s="60" t="n"/>
      <c r="N52" s="60" t="n"/>
    </row>
    <row r="53">
      <c r="A53" s="42" t="inlineStr">
        <is>
          <t>949962665617</t>
        </is>
      </c>
      <c r="B53" s="42" t="inlineStr">
        <is>
          <t>韩式袋面</t>
        </is>
      </c>
      <c r="C53" s="42" t="inlineStr">
        <is>
          <t>营多捞面韩式火鸡面辣蘑菇汤面袋装泡面辣味速食方便面宿舍宵夜面</t>
        </is>
      </c>
      <c r="D53" s="47" t="n">
        <v>-0.3864925771464558</v>
      </c>
      <c r="E53" s="47" t="n">
        <v>-0.7442433277709301</v>
      </c>
      <c r="F53" s="47" t="n">
        <v>-0.7076507160734148</v>
      </c>
      <c r="G53" s="37" t="n"/>
      <c r="H53" s="47" t="n">
        <v>-0.4324761949653223</v>
      </c>
      <c r="I53" s="47" t="n">
        <v>-0.8103794999999999</v>
      </c>
      <c r="J53" s="37" t="n"/>
      <c r="K53" s="37" t="n"/>
      <c r="L53" s="37" t="n"/>
      <c r="M53" s="60" t="n"/>
      <c r="N53" s="60" t="n"/>
    </row>
    <row r="54">
      <c r="A54" s="42" t="inlineStr">
        <is>
          <t>965545088099</t>
        </is>
      </c>
      <c r="B54" s="42" t="inlineStr">
        <is>
          <t>十口味混搭</t>
        </is>
      </c>
      <c r="C54" s="42" t="inlineStr">
        <is>
          <t>营多捞面多口味袋装泡面拌面速食面干拌面方便面速食宵夜宿舍旅行</t>
        </is>
      </c>
      <c r="D54" s="37" t="n"/>
      <c r="E54" s="37" t="n">
        <v>0.2262198618116698</v>
      </c>
      <c r="F54" s="37" t="n"/>
      <c r="G54" s="37" t="n"/>
      <c r="H54" s="37" t="n">
        <v>0.2415521666666667</v>
      </c>
      <c r="I54" s="37" t="n"/>
      <c r="J54" s="37" t="n"/>
      <c r="K54" s="37" t="n"/>
      <c r="L54" s="37" t="n">
        <v>0.1809117269120914</v>
      </c>
      <c r="M54" s="60" t="n"/>
      <c r="N54" s="60" t="n"/>
    </row>
    <row r="55">
      <c r="A55" s="42" t="inlineStr">
        <is>
          <t>975092562679</t>
        </is>
      </c>
      <c r="B55" s="42" t="inlineStr">
        <is>
          <t>杯面混搭</t>
        </is>
      </c>
      <c r="C55" s="42" t="inlineStr">
        <is>
          <t>营多韩式甜辣炸鸡火鸡面辣蘑菇杯面拌面泡面方便面速食宵夜旅行</t>
        </is>
      </c>
      <c r="D55" s="37" t="n"/>
      <c r="E55" s="37" t="n">
        <v>0.1029609000423549</v>
      </c>
      <c r="F55" s="37" t="n">
        <v>0.2602663309075342</v>
      </c>
      <c r="G55" s="47" t="n">
        <v>-0.02685346950171821</v>
      </c>
      <c r="H55" s="37" t="n"/>
      <c r="I55" s="37" t="n"/>
      <c r="J55" s="37" t="n"/>
      <c r="K55" s="37" t="n">
        <v>0.1606794672172594</v>
      </c>
      <c r="L55" s="37" t="n"/>
      <c r="M55" s="60" t="n"/>
      <c r="N55" s="60" t="n"/>
    </row>
    <row r="56">
      <c r="A56" s="42" t="inlineStr">
        <is>
          <t>976535014785</t>
        </is>
      </c>
      <c r="B56" s="42" t="inlineStr"/>
      <c r="C56" s="42" t="inlineStr"/>
      <c r="D56" s="37" t="n"/>
      <c r="E56" s="37" t="n"/>
      <c r="F56" s="37" t="n"/>
      <c r="G56" s="37" t="n"/>
      <c r="H56" s="37" t="n"/>
      <c r="I56" s="37" t="n"/>
      <c r="J56" s="37" t="n"/>
      <c r="K56" s="47" t="n">
        <v>-1.512805017467249</v>
      </c>
      <c r="L56" s="37" t="n"/>
      <c r="M56" s="60" t="n"/>
      <c r="N56" s="60" t="n"/>
    </row>
  </sheetData>
  <autoFilter ref="A4:N56"/>
  <mergeCells count="1">
    <mergeCell ref="A1:N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D346"/>
  <sheetViews>
    <sheetView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6" customWidth="1" min="3" max="3"/>
    <col width="12" customWidth="1" min="4" max="4"/>
    <col width="36"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s>
  <sheetData>
    <row r="1">
      <c r="A1" s="32" t="inlineStr">
        <is>
          <t>数据源1 · 全部周合并明细（与利润分析同源）</t>
        </is>
      </c>
      <c r="B1" s="8" t="n"/>
      <c r="C1" s="8" t="n"/>
      <c r="D1" s="8" t="n"/>
      <c r="E1" s="8" t="n"/>
      <c r="F1" s="8" t="n"/>
      <c r="G1" s="8" t="n"/>
      <c r="H1" s="9" t="n"/>
      <c r="I1" s="27" t="n"/>
      <c r="J1" s="27" t="n"/>
      <c r="K1" s="27" t="n"/>
      <c r="L1" s="27" t="n"/>
      <c r="M1" s="27" t="n"/>
      <c r="N1" s="27" t="n"/>
      <c r="O1" s="27" t="n"/>
      <c r="P1" s="27" t="n"/>
      <c r="Q1" s="27" t="n"/>
      <c r="R1" s="27" t="n"/>
      <c r="S1" s="27" t="n"/>
      <c r="T1" s="27" t="n"/>
      <c r="U1" s="27" t="n"/>
      <c r="V1" s="27" t="n"/>
      <c r="W1" s="27" t="n"/>
      <c r="X1" s="27" t="n"/>
      <c r="Y1" s="27" t="n"/>
      <c r="Z1" s="27" t="n"/>
      <c r="AA1" s="27" t="n"/>
      <c r="AB1" s="27" t="n"/>
      <c r="AC1" s="27" t="n"/>
      <c r="AD1" s="27" t="n"/>
    </row>
    <row r="2">
      <c r="A2" s="26" t="inlineStr">
        <is>
          <t>周次</t>
        </is>
      </c>
      <c r="B2" s="26" t="inlineStr">
        <is>
          <t>日期</t>
        </is>
      </c>
      <c r="C2" s="33" t="inlineStr">
        <is>
          <t>商品ID</t>
        </is>
      </c>
      <c r="D2" s="26" t="inlineStr">
        <is>
          <t>定位</t>
        </is>
      </c>
      <c r="E2" s="26" t="inlineStr">
        <is>
          <t>商品名称</t>
        </is>
      </c>
      <c r="F2" s="26" t="inlineStr">
        <is>
          <t>成交金额</t>
        </is>
      </c>
      <c r="G2" s="26" t="inlineStr">
        <is>
          <t>去税金额</t>
        </is>
      </c>
      <c r="H2" s="26" t="inlineStr">
        <is>
          <t>成交件数</t>
        </is>
      </c>
      <c r="I2" s="26" t="inlineStr">
        <is>
          <t>件数占比</t>
        </is>
      </c>
      <c r="J2" s="26" t="inlineStr">
        <is>
          <t>件单价</t>
        </is>
      </c>
      <c r="K2" s="26" t="inlineStr">
        <is>
          <t>万相台花费</t>
        </is>
      </c>
      <c r="L2" s="26" t="inlineStr">
        <is>
          <t>万相台成交</t>
        </is>
      </c>
      <c r="M2" s="26" t="inlineStr">
        <is>
          <t>万相台ROI</t>
        </is>
      </c>
      <c r="N2" s="26" t="inlineStr">
        <is>
          <t>品销宝花费</t>
        </is>
      </c>
      <c r="O2" s="26" t="inlineStr">
        <is>
          <t>品销宝成交</t>
        </is>
      </c>
      <c r="P2" s="26" t="inlineStr">
        <is>
          <t>品销宝ROI</t>
        </is>
      </c>
      <c r="Q2" s="26" t="inlineStr">
        <is>
          <t>推广总花费</t>
        </is>
      </c>
      <c r="R2" s="26" t="inlineStr">
        <is>
          <t>推广总成交</t>
        </is>
      </c>
      <c r="S2" s="26" t="inlineStr">
        <is>
          <t>推广总ROI</t>
        </is>
      </c>
      <c r="T2" s="26" t="inlineStr">
        <is>
          <t>推广费占比</t>
        </is>
      </c>
      <c r="U2" s="26" t="inlineStr">
        <is>
          <t>推广总费率</t>
        </is>
      </c>
      <c r="V2" s="26" t="inlineStr">
        <is>
          <t>日销成交</t>
        </is>
      </c>
      <c r="W2" s="26" t="inlineStr">
        <is>
          <t>日销成交占比</t>
        </is>
      </c>
      <c r="X2" s="26" t="inlineStr">
        <is>
          <t>其他费用</t>
        </is>
      </c>
      <c r="Y2" s="26" t="inlineStr">
        <is>
          <t>净利润(推广前)</t>
        </is>
      </c>
      <c r="Z2" s="26" t="inlineStr">
        <is>
          <t>净利率(推广前)</t>
        </is>
      </c>
      <c r="AA2" s="26" t="inlineStr">
        <is>
          <t>净利润(万相台)</t>
        </is>
      </c>
      <c r="AB2" s="26" t="inlineStr">
        <is>
          <t>净利率(万相台)</t>
        </is>
      </c>
      <c r="AC2" s="26" t="inlineStr">
        <is>
          <t>净利润(推广后)</t>
        </is>
      </c>
      <c r="AD2" s="26" t="inlineStr">
        <is>
          <t>净利率(推广后)</t>
        </is>
      </c>
    </row>
    <row r="3">
      <c r="A3" s="27" t="inlineStr">
        <is>
          <t>5.11-5.17</t>
        </is>
      </c>
      <c r="B3" s="27" t="inlineStr">
        <is>
          <t>5.11-5.17</t>
        </is>
      </c>
      <c r="C3" s="34" t="n">
        <v>668566625747</v>
      </c>
      <c r="D3" s="27" t="inlineStr">
        <is>
          <t>袋面主链接</t>
        </is>
      </c>
      <c r="E3" s="27" t="inlineStr">
        <is>
          <t>印尼营多捞面进口网红泡面袋装方便面速食食品拉面火鸡面拌面整箱</t>
        </is>
      </c>
      <c r="F3" s="31" t="n">
        <v>31185.6300000005</v>
      </c>
      <c r="G3" s="35">
        <f>IFERROR(F3/1.13,0)</f>
        <v/>
      </c>
      <c r="H3" s="36" t="n">
        <v>1220</v>
      </c>
      <c r="I3" s="37" t="n">
        <v>0.2731751007613076</v>
      </c>
      <c r="J3" s="38">
        <f>IFERROR(F3/H3,0)</f>
        <v/>
      </c>
      <c r="K3" s="31" t="n">
        <v>5079.87248544559</v>
      </c>
      <c r="L3" s="31" t="n">
        <v>23465.1999014778</v>
      </c>
      <c r="M3" s="38">
        <f>IFERROR(L3/K3,0)</f>
        <v/>
      </c>
      <c r="N3" s="31" t="n">
        <v>554.763994626064</v>
      </c>
      <c r="O3" s="31" t="n">
        <v>1481.50779220779</v>
      </c>
      <c r="P3" s="38">
        <f>IFERROR(O3/N3,0)</f>
        <v/>
      </c>
      <c r="Q3" s="31" t="n">
        <v>5634.63648</v>
      </c>
      <c r="R3" s="31" t="n">
        <v>24946.707694</v>
      </c>
      <c r="S3" s="38">
        <f>IFERROR(R3/Q3,0)</f>
        <v/>
      </c>
      <c r="T3" s="39">
        <f>IFERROR(Q3/SUMIF($A:$A,A3,$Q:$Q),0)</f>
        <v/>
      </c>
      <c r="U3" s="39">
        <f>IFERROR(Q3/F3,0)</f>
        <v/>
      </c>
      <c r="V3" s="35">
        <f>F3-R3</f>
        <v/>
      </c>
      <c r="W3" s="39">
        <f>IFERROR(V3/F3,0)</f>
        <v/>
      </c>
      <c r="X3" s="29" t="n">
        <v>522.037618</v>
      </c>
      <c r="Y3" s="31" t="n">
        <v>4205.25900000004</v>
      </c>
      <c r="Z3" s="39">
        <f>IFERROR(Y3/G3,0)</f>
        <v/>
      </c>
      <c r="AA3" s="35">
        <f>Y3-K3/1.06</f>
        <v/>
      </c>
      <c r="AB3" s="39">
        <f>IFERROR(AA3/G3,0)</f>
        <v/>
      </c>
      <c r="AC3" s="31" t="n">
        <v>-1602.924111</v>
      </c>
      <c r="AD3" s="39">
        <f>IFERROR(AC3/G3,0)</f>
        <v/>
      </c>
    </row>
    <row r="4">
      <c r="A4" s="27" t="inlineStr">
        <is>
          <t>5.11-5.17</t>
        </is>
      </c>
      <c r="B4" s="27" t="inlineStr">
        <is>
          <t>5.11-5.17</t>
        </is>
      </c>
      <c r="C4" s="34" t="n">
        <v>649361890551</v>
      </c>
      <c r="D4" s="27" t="inlineStr">
        <is>
          <t>袋面次链接</t>
        </is>
      </c>
      <c r="E4" s="27" t="inlineStr">
        <is>
          <t>营多捞面印尼进口Indomie网红夜宵早餐方便面火鸡面泡面拌面</t>
        </is>
      </c>
      <c r="F4" s="31" t="n">
        <v>28857.2400000006</v>
      </c>
      <c r="G4" s="35">
        <f>IFERROR(F4/1.13,0)</f>
        <v/>
      </c>
      <c r="H4" s="36" t="n">
        <v>1529</v>
      </c>
      <c r="I4" s="37" t="n">
        <v>0.3423645320197045</v>
      </c>
      <c r="J4" s="38">
        <f>IFERROR(F4/H4,0)</f>
        <v/>
      </c>
      <c r="K4" s="31" t="n">
        <v>5008.24012315271</v>
      </c>
      <c r="L4" s="31" t="n">
        <v>25554.889679803</v>
      </c>
      <c r="M4" s="38">
        <f>IFERROR(L4/K4,0)</f>
        <v/>
      </c>
      <c r="N4" s="31" t="n">
        <v>695.273891625616</v>
      </c>
      <c r="O4" s="31" t="n">
        <v>1856.74214285714</v>
      </c>
      <c r="P4" s="38">
        <f>IFERROR(O4/N4,0)</f>
        <v/>
      </c>
      <c r="Q4" s="31" t="n">
        <v>5703.514015</v>
      </c>
      <c r="R4" s="31" t="n">
        <v>27411.631823</v>
      </c>
      <c r="S4" s="38">
        <f>IFERROR(R4/Q4,0)</f>
        <v/>
      </c>
      <c r="T4" s="39">
        <f>IFERROR(Q4/SUMIF($A:$A,A4,$Q:$Q),0)</f>
        <v/>
      </c>
      <c r="U4" s="39">
        <f>IFERROR(Q4/F4,0)</f>
        <v/>
      </c>
      <c r="V4" s="35">
        <f>F4-R4</f>
        <v/>
      </c>
      <c r="W4" s="39">
        <f>IFERROR(V4/F4,0)</f>
        <v/>
      </c>
      <c r="X4" s="29" t="n">
        <v>654.2586209999999</v>
      </c>
      <c r="Y4" s="31" t="n">
        <v>2532.806</v>
      </c>
      <c r="Z4" s="39">
        <f>IFERROR(Y4/G4,0)</f>
        <v/>
      </c>
      <c r="AA4" s="35">
        <f>Y4-K4/1.06</f>
        <v/>
      </c>
      <c r="AB4" s="39">
        <f>IFERROR(AA4/G4,0)</f>
        <v/>
      </c>
      <c r="AC4" s="31" t="n">
        <v>-3465.092713</v>
      </c>
      <c r="AD4" s="39">
        <f>IFERROR(AC4/G4,0)</f>
        <v/>
      </c>
    </row>
    <row r="5">
      <c r="A5" s="27" t="inlineStr">
        <is>
          <t>5.11-5.17</t>
        </is>
      </c>
      <c r="B5" s="27" t="inlineStr">
        <is>
          <t>5.11-5.17</t>
        </is>
      </c>
      <c r="C5" s="34" t="n">
        <v>649735171438</v>
      </c>
      <c r="D5" s="27" t="inlineStr">
        <is>
          <t>杯面主链接</t>
        </is>
      </c>
      <c r="E5" s="27" t="inlineStr">
        <is>
          <t>印尼进口indomie营多捞面杯面速食泡面干拌面盒桶装方便面火鸡面</t>
        </is>
      </c>
      <c r="F5" s="31" t="n">
        <v>20499.86</v>
      </c>
      <c r="G5" s="35">
        <f>IFERROR(F5/1.13,0)</f>
        <v/>
      </c>
      <c r="H5" s="36" t="n">
        <v>803</v>
      </c>
      <c r="I5" s="37" t="n">
        <v>0.1798029556650246</v>
      </c>
      <c r="J5" s="38">
        <f>IFERROR(F5/H5,0)</f>
        <v/>
      </c>
      <c r="K5" s="31" t="n">
        <v>3146.96790640394</v>
      </c>
      <c r="L5" s="31" t="n">
        <v>13817.9254433498</v>
      </c>
      <c r="M5" s="38">
        <f>IFERROR(L5/K5,0)</f>
        <v/>
      </c>
      <c r="N5" s="31" t="n">
        <v>365.143842364532</v>
      </c>
      <c r="O5" s="31" t="n">
        <v>975.123571428571</v>
      </c>
      <c r="P5" s="38">
        <f>IFERROR(O5/N5,0)</f>
        <v/>
      </c>
      <c r="Q5" s="31" t="n">
        <v>3512.111749</v>
      </c>
      <c r="R5" s="31" t="n">
        <v>14793.049015</v>
      </c>
      <c r="S5" s="38">
        <f>IFERROR(R5/Q5,0)</f>
        <v/>
      </c>
      <c r="T5" s="39">
        <f>IFERROR(Q5/SUMIF($A:$A,A5,$Q:$Q),0)</f>
        <v/>
      </c>
      <c r="U5" s="39">
        <f>IFERROR(Q5/F5,0)</f>
        <v/>
      </c>
      <c r="V5" s="35">
        <f>F5-R5</f>
        <v/>
      </c>
      <c r="W5" s="39">
        <f>IFERROR(V5/F5,0)</f>
        <v/>
      </c>
      <c r="X5" s="29" t="n">
        <v>343.603448</v>
      </c>
      <c r="Y5" s="31" t="n">
        <v>2323.975</v>
      </c>
      <c r="Z5" s="39">
        <f>IFERROR(Y5/G5,0)</f>
        <v/>
      </c>
      <c r="AA5" s="35">
        <f>Y5-K5/1.06</f>
        <v/>
      </c>
      <c r="AB5" s="39">
        <f>IFERROR(AA5/G5,0)</f>
        <v/>
      </c>
      <c r="AC5" s="31" t="n">
        <v>-1313.492167</v>
      </c>
      <c r="AD5" s="39">
        <f>IFERROR(AC5/G5,0)</f>
        <v/>
      </c>
    </row>
    <row r="6">
      <c r="A6" s="27" t="inlineStr">
        <is>
          <t>5.11-5.17</t>
        </is>
      </c>
      <c r="B6" s="27" t="inlineStr">
        <is>
          <t>5.11-5.17</t>
        </is>
      </c>
      <c r="C6" s="34" t="n">
        <v>648600900806</v>
      </c>
      <c r="D6" s="27" t="inlineStr">
        <is>
          <t>30包</t>
        </is>
      </c>
      <c r="E6" s="27" t="inlineStr">
        <is>
          <t>进口营多捞面一整箱30包网红速食方便面宿舍速食泡面干拌面拉面</t>
        </is>
      </c>
      <c r="F6" s="31" t="n">
        <v>10599.77</v>
      </c>
      <c r="G6" s="35">
        <f>IFERROR(F6/1.13,0)</f>
        <v/>
      </c>
      <c r="H6" s="36" t="n">
        <v>154</v>
      </c>
      <c r="I6" s="37" t="n">
        <v>0.03448275862068965</v>
      </c>
      <c r="J6" s="38">
        <f>IFERROR(F6/H6,0)</f>
        <v/>
      </c>
      <c r="K6" s="31" t="n">
        <v>2033.34137931035</v>
      </c>
      <c r="L6" s="31" t="n">
        <v>10437.7624137931</v>
      </c>
      <c r="M6" s="38">
        <f>IFERROR(L6/K6,0)</f>
        <v/>
      </c>
      <c r="N6" s="31" t="n">
        <v>70.0275862068965</v>
      </c>
      <c r="O6" s="31" t="n">
        <v>187.01</v>
      </c>
      <c r="P6" s="38">
        <f>IFERROR(O6/N6,0)</f>
        <v/>
      </c>
      <c r="Q6" s="31" t="n">
        <v>2103.368966</v>
      </c>
      <c r="R6" s="31" t="n">
        <v>10624.772414</v>
      </c>
      <c r="S6" s="38">
        <f>IFERROR(R6/Q6,0)</f>
        <v/>
      </c>
      <c r="T6" s="39">
        <f>IFERROR(Q6/SUMIF($A:$A,A6,$Q:$Q),0)</f>
        <v/>
      </c>
      <c r="U6" s="39">
        <f>IFERROR(Q6/F6,0)</f>
        <v/>
      </c>
      <c r="V6" s="35">
        <f>F6-R6</f>
        <v/>
      </c>
      <c r="W6" s="39">
        <f>IFERROR(V6/F6,0)</f>
        <v/>
      </c>
      <c r="X6" s="29" t="n">
        <v>65.896552</v>
      </c>
      <c r="Y6" s="31" t="n">
        <v>2022.481</v>
      </c>
      <c r="Z6" s="39">
        <f>IFERROR(Y6/G6,0)</f>
        <v/>
      </c>
      <c r="AA6" s="35">
        <f>Y6-K6/1.06</f>
        <v/>
      </c>
      <c r="AB6" s="39">
        <f>IFERROR(AA6/G6,0)</f>
        <v/>
      </c>
      <c r="AC6" s="31" t="n">
        <v>-23.995903</v>
      </c>
      <c r="AD6" s="39">
        <f>IFERROR(AC6/G6,0)</f>
        <v/>
      </c>
    </row>
    <row r="7">
      <c r="A7" s="27" t="inlineStr">
        <is>
          <t>5.11-5.17</t>
        </is>
      </c>
      <c r="B7" s="27" t="inlineStr">
        <is>
          <t>5.11-5.17</t>
        </is>
      </c>
      <c r="C7" s="34" t="n">
        <v>649014937782</v>
      </c>
      <c r="D7" s="27" t="inlineStr">
        <is>
          <t>24包</t>
        </is>
      </c>
      <c r="E7" s="27" t="inlineStr">
        <is>
          <t>印尼营多捞面干拌面一整箱24袋装批发泡面宿舍速食方便面火鸡面</t>
        </is>
      </c>
      <c r="F7" s="31" t="n">
        <v>7533.85</v>
      </c>
      <c r="G7" s="35">
        <f>IFERROR(F7/1.13,0)</f>
        <v/>
      </c>
      <c r="H7" s="36" t="n">
        <v>133</v>
      </c>
      <c r="I7" s="37" t="n">
        <v>0.02978056426332288</v>
      </c>
      <c r="J7" s="38">
        <f>IFERROR(F7/H7,0)</f>
        <v/>
      </c>
      <c r="K7" s="31" t="n">
        <v>1581.3889184953</v>
      </c>
      <c r="L7" s="31" t="n">
        <v>7074.84844827586</v>
      </c>
      <c r="M7" s="38">
        <f>IFERROR(L7/K7,0)</f>
        <v/>
      </c>
      <c r="N7" s="31" t="n">
        <v>60.4783699059561</v>
      </c>
      <c r="O7" s="31" t="n">
        <v>161.508636363636</v>
      </c>
      <c r="P7" s="38">
        <f>IFERROR(O7/N7,0)</f>
        <v/>
      </c>
      <c r="Q7" s="31" t="n">
        <v>1641.867288</v>
      </c>
      <c r="R7" s="31" t="n">
        <v>7236.357085</v>
      </c>
      <c r="S7" s="38">
        <f>IFERROR(R7/Q7,0)</f>
        <v/>
      </c>
      <c r="T7" s="39">
        <f>IFERROR(Q7/SUMIF($A:$A,A7,$Q:$Q),0)</f>
        <v/>
      </c>
      <c r="U7" s="39">
        <f>IFERROR(Q7/F7,0)</f>
        <v/>
      </c>
      <c r="V7" s="35">
        <f>F7-R7</f>
        <v/>
      </c>
      <c r="W7" s="39">
        <f>IFERROR(V7/F7,0)</f>
        <v/>
      </c>
      <c r="X7" s="29" t="n">
        <v>56.910658</v>
      </c>
      <c r="Y7" s="31" t="n">
        <v>1486.131</v>
      </c>
      <c r="Z7" s="39">
        <f>IFERROR(Y7/G7,0)</f>
        <v/>
      </c>
      <c r="AA7" s="35">
        <f>Y7-K7/1.06</f>
        <v/>
      </c>
      <c r="AB7" s="39">
        <f>IFERROR(AA7/G7,0)</f>
        <v/>
      </c>
      <c r="AC7" s="31" t="n">
        <v>-116.489704</v>
      </c>
      <c r="AD7" s="39">
        <f>IFERROR(AC7/G7,0)</f>
        <v/>
      </c>
    </row>
    <row r="8">
      <c r="A8" s="27" t="inlineStr">
        <is>
          <t>5.11-5.17</t>
        </is>
      </c>
      <c r="B8" s="27" t="inlineStr">
        <is>
          <t>5.11-5.17</t>
        </is>
      </c>
      <c r="C8" s="34" t="n">
        <v>648598580775</v>
      </c>
      <c r="D8" s="27" t="inlineStr">
        <is>
          <t>15包</t>
        </is>
      </c>
      <c r="E8" s="27" t="inlineStr">
        <is>
          <t>进口营多捞面15包Indomie方便面干拌面夜宵方便速食五连包85g*5</t>
        </is>
      </c>
      <c r="F8" s="31" t="n">
        <v>6101.89999999999</v>
      </c>
      <c r="G8" s="35">
        <f>IFERROR(F8/1.13,0)</f>
        <v/>
      </c>
      <c r="H8" s="36" t="n">
        <v>165</v>
      </c>
      <c r="I8" s="37" t="n">
        <v>0.03694581280788178</v>
      </c>
      <c r="J8" s="38">
        <f>IFERROR(F8/H8,0)</f>
        <v/>
      </c>
      <c r="K8" s="31" t="n">
        <v>1044.73504926108</v>
      </c>
      <c r="L8" s="31" t="n">
        <v>4769.42687192118</v>
      </c>
      <c r="M8" s="38">
        <f>IFERROR(L8/K8,0)</f>
        <v/>
      </c>
      <c r="N8" s="31" t="n">
        <v>75.02955665024631</v>
      </c>
      <c r="O8" s="31" t="n">
        <v>200.367857142857</v>
      </c>
      <c r="P8" s="38">
        <f>IFERROR(O8/N8,0)</f>
        <v/>
      </c>
      <c r="Q8" s="31" t="n">
        <v>1119.764606</v>
      </c>
      <c r="R8" s="31" t="n">
        <v>4969.794729</v>
      </c>
      <c r="S8" s="38">
        <f>IFERROR(R8/Q8,0)</f>
        <v/>
      </c>
      <c r="T8" s="39">
        <f>IFERROR(Q8/SUMIF($A:$A,A8,$Q:$Q),0)</f>
        <v/>
      </c>
      <c r="U8" s="39">
        <f>IFERROR(Q8/F8,0)</f>
        <v/>
      </c>
      <c r="V8" s="35">
        <f>F8-R8</f>
        <v/>
      </c>
      <c r="W8" s="39">
        <f>IFERROR(V8/F8,0)</f>
        <v/>
      </c>
      <c r="X8" s="29" t="n">
        <v>70.603448</v>
      </c>
      <c r="Y8" s="31" t="n">
        <v>1116.138</v>
      </c>
      <c r="Z8" s="39">
        <f>IFERROR(Y8/G8,0)</f>
        <v/>
      </c>
      <c r="AA8" s="35">
        <f>Y8-K8/1.06</f>
        <v/>
      </c>
      <c r="AB8" s="39">
        <f>IFERROR(AA8/G8,0)</f>
        <v/>
      </c>
      <c r="AC8" s="31" t="n">
        <v>-6.85073</v>
      </c>
      <c r="AD8" s="39">
        <f>IFERROR(AC8/G8,0)</f>
        <v/>
      </c>
    </row>
    <row r="9">
      <c r="A9" s="27" t="inlineStr">
        <is>
          <t>5.11-5.17</t>
        </is>
      </c>
      <c r="B9" s="27" t="inlineStr">
        <is>
          <t>5.11-5.17</t>
        </is>
      </c>
      <c r="C9" s="34" t="n">
        <v>766165464414</v>
      </c>
      <c r="D9" s="27" t="inlineStr">
        <is>
          <t>12包</t>
        </is>
      </c>
      <c r="E9" s="27" t="inlineStr">
        <is>
          <t>营多印尼进口营多捞面方便面火鸡面干拌面12包宿舍速食泡面夜宵</t>
        </is>
      </c>
      <c r="F9" s="31" t="n">
        <v>4330.8</v>
      </c>
      <c r="G9" s="35">
        <f>IFERROR(F9/1.13,0)</f>
        <v/>
      </c>
      <c r="H9" s="36" t="n">
        <v>146</v>
      </c>
      <c r="I9" s="37" t="n">
        <v>0.03269144648454993</v>
      </c>
      <c r="J9" s="38">
        <f>IFERROR(F9/H9,0)</f>
        <v/>
      </c>
      <c r="K9" s="31" t="n">
        <v>459.942346618898</v>
      </c>
      <c r="L9" s="31" t="n">
        <v>2383.22280788177</v>
      </c>
      <c r="M9" s="38">
        <f>IFERROR(L9/K9,0)</f>
        <v/>
      </c>
      <c r="N9" s="31" t="n">
        <v>66.389789520824</v>
      </c>
      <c r="O9" s="31" t="n">
        <v>177.295194805195</v>
      </c>
      <c r="P9" s="38">
        <f>IFERROR(O9/N9,0)</f>
        <v/>
      </c>
      <c r="Q9" s="31" t="n">
        <v>526.332136</v>
      </c>
      <c r="R9" s="31" t="n">
        <v>2560.518003</v>
      </c>
      <c r="S9" s="38">
        <f>IFERROR(R9/Q9,0)</f>
        <v/>
      </c>
      <c r="T9" s="39">
        <f>IFERROR(Q9/SUMIF($A:$A,A9,$Q:$Q),0)</f>
        <v/>
      </c>
      <c r="U9" s="39">
        <f>IFERROR(Q9/F9,0)</f>
        <v/>
      </c>
      <c r="V9" s="35">
        <f>F9-R9</f>
        <v/>
      </c>
      <c r="W9" s="39">
        <f>IFERROR(V9/F9,0)</f>
        <v/>
      </c>
      <c r="X9" s="29" t="n">
        <v>62.473354</v>
      </c>
      <c r="Y9" s="31" t="n">
        <v>647.268</v>
      </c>
      <c r="Z9" s="39">
        <f>IFERROR(Y9/G9,0)</f>
        <v/>
      </c>
      <c r="AA9" s="35">
        <f>Y9-K9/1.06</f>
        <v/>
      </c>
      <c r="AB9" s="39">
        <f>IFERROR(AA9/G9,0)</f>
        <v/>
      </c>
      <c r="AC9" s="31" t="n">
        <v>91.791122</v>
      </c>
      <c r="AD9" s="39">
        <f>IFERROR(AC9/G9,0)</f>
        <v/>
      </c>
    </row>
    <row r="10">
      <c r="A10" s="27" t="inlineStr">
        <is>
          <t>5.11-5.17</t>
        </is>
      </c>
      <c r="B10" s="27" t="inlineStr">
        <is>
          <t>5.11-5.17</t>
        </is>
      </c>
      <c r="C10" s="34" t="n">
        <v>735014804839</v>
      </c>
      <c r="D10" s="27" t="inlineStr">
        <is>
          <t>24/30包</t>
        </is>
      </c>
      <c r="E10" s="27" t="inlineStr">
        <is>
          <t>进口营多捞面多口味Indomie网红方便面干拌面泡面30包整箱批发面</t>
        </is>
      </c>
      <c r="F10" s="31" t="n">
        <v>2118.55</v>
      </c>
      <c r="G10" s="35">
        <f>IFERROR(F10/1.13,0)</f>
        <v/>
      </c>
      <c r="H10" s="36" t="n">
        <v>31</v>
      </c>
      <c r="I10" s="37" t="n">
        <v>0.006941334527541424</v>
      </c>
      <c r="J10" s="38">
        <f>IFERROR(F10/H10,0)</f>
        <v/>
      </c>
      <c r="K10" s="31" t="n">
        <v>471.451251679355</v>
      </c>
      <c r="L10" s="31" t="n">
        <v>1689.0334729064</v>
      </c>
      <c r="M10" s="38">
        <f>IFERROR(L10/K10,0)</f>
        <v/>
      </c>
      <c r="N10" s="31" t="n">
        <v>14.0964621585311</v>
      </c>
      <c r="O10" s="31" t="n">
        <v>37.6448701298701</v>
      </c>
      <c r="P10" s="38">
        <f>IFERROR(O10/N10,0)</f>
        <v/>
      </c>
      <c r="Q10" s="31" t="n">
        <v>485.547714</v>
      </c>
      <c r="R10" s="31" t="n">
        <v>1726.678343</v>
      </c>
      <c r="S10" s="38">
        <f>IFERROR(R10/Q10,0)</f>
        <v/>
      </c>
      <c r="T10" s="39">
        <f>IFERROR(Q10/SUMIF($A:$A,A10,$Q:$Q),0)</f>
        <v/>
      </c>
      <c r="U10" s="39">
        <f>IFERROR(Q10/F10,0)</f>
        <v/>
      </c>
      <c r="V10" s="35">
        <f>F10-R10</f>
        <v/>
      </c>
      <c r="W10" s="39">
        <f>IFERROR(V10/F10,0)</f>
        <v/>
      </c>
      <c r="X10" s="29" t="n">
        <v>13.26489</v>
      </c>
      <c r="Y10" s="31" t="n">
        <v>422.008</v>
      </c>
      <c r="Z10" s="39">
        <f>IFERROR(Y10/G10,0)</f>
        <v/>
      </c>
      <c r="AA10" s="35">
        <f>Y10-K10/1.06</f>
        <v/>
      </c>
      <c r="AB10" s="39">
        <f>IFERROR(AA10/G10,0)</f>
        <v/>
      </c>
      <c r="AC10" s="31" t="n">
        <v>-48.569928</v>
      </c>
      <c r="AD10" s="39">
        <f>IFERROR(AC10/G10,0)</f>
        <v/>
      </c>
    </row>
    <row r="11">
      <c r="A11" s="27" t="inlineStr">
        <is>
          <t>5.11-5.17</t>
        </is>
      </c>
      <c r="B11" s="27" t="inlineStr">
        <is>
          <t>5.11-5.17</t>
        </is>
      </c>
      <c r="C11" s="34" t="n">
        <v>649369494424</v>
      </c>
      <c r="D11" s="27" t="inlineStr">
        <is>
          <t>24包经典/牛系列</t>
        </is>
      </c>
      <c r="E11" s="27" t="inlineStr">
        <is>
          <t>营多捞面干拌面一整箱24袋装批发泡面混搭宿舍速食方便面火鸡面</t>
        </is>
      </c>
      <c r="F11" s="31" t="n">
        <v>1718.31</v>
      </c>
      <c r="G11" s="35">
        <f>IFERROR(F11/1.13,0)</f>
        <v/>
      </c>
      <c r="H11" s="36" t="n">
        <v>31</v>
      </c>
      <c r="I11" s="37" t="n">
        <v>0.006941334527541424</v>
      </c>
      <c r="J11" s="38">
        <f>IFERROR(F11/H11,0)</f>
        <v/>
      </c>
      <c r="K11" s="31" t="n">
        <v>214.931251679355</v>
      </c>
      <c r="L11" s="31" t="n">
        <v>812.643472906404</v>
      </c>
      <c r="M11" s="38">
        <f>IFERROR(L11/K11,0)</f>
        <v/>
      </c>
      <c r="N11" s="31" t="n">
        <v>14.0964621585311</v>
      </c>
      <c r="O11" s="31" t="n">
        <v>37.6448701298701</v>
      </c>
      <c r="P11" s="38">
        <f>IFERROR(O11/N11,0)</f>
        <v/>
      </c>
      <c r="Q11" s="31" t="n">
        <v>229.027714</v>
      </c>
      <c r="R11" s="31" t="n">
        <v>850.2883430000001</v>
      </c>
      <c r="S11" s="38">
        <f>IFERROR(R11/Q11,0)</f>
        <v/>
      </c>
      <c r="T11" s="39">
        <f>IFERROR(Q11/SUMIF($A:$A,A11,$Q:$Q),0)</f>
        <v/>
      </c>
      <c r="U11" s="39">
        <f>IFERROR(Q11/F11,0)</f>
        <v/>
      </c>
      <c r="V11" s="35">
        <f>F11-R11</f>
        <v/>
      </c>
      <c r="W11" s="39">
        <f>IFERROR(V11/F11,0)</f>
        <v/>
      </c>
      <c r="X11" s="29" t="n">
        <v>13.26489</v>
      </c>
      <c r="Y11" s="31" t="n">
        <v>325.027</v>
      </c>
      <c r="Z11" s="39">
        <f>IFERROR(Y11/G11,0)</f>
        <v/>
      </c>
      <c r="AA11" s="35">
        <f>Y11-K11/1.06</f>
        <v/>
      </c>
      <c r="AB11" s="39">
        <f>IFERROR(AA11/G11,0)</f>
        <v/>
      </c>
      <c r="AC11" s="31" t="n">
        <v>96.449072</v>
      </c>
      <c r="AD11" s="39">
        <f>IFERROR(AC11/G11,0)</f>
        <v/>
      </c>
    </row>
    <row r="12">
      <c r="A12" s="27" t="inlineStr">
        <is>
          <t>5.11-5.17</t>
        </is>
      </c>
      <c r="B12" s="27" t="inlineStr">
        <is>
          <t>5.11-5.17</t>
        </is>
      </c>
      <c r="C12" s="34" t="n">
        <v>929504658691</v>
      </c>
      <c r="D12" s="27" t="inlineStr">
        <is>
          <t>日式袋面</t>
        </is>
      </c>
      <c r="E12" s="27" t="inlineStr">
        <is>
          <t>营多捞面日式鸡肉汤面原味辛辣味袋装泡面方便面速食宿舍夜宵食品</t>
        </is>
      </c>
      <c r="F12" s="31" t="n">
        <v>626.3200000000001</v>
      </c>
      <c r="G12" s="35">
        <f>IFERROR(F12/1.13,0)</f>
        <v/>
      </c>
      <c r="H12" s="36" t="n">
        <v>24</v>
      </c>
      <c r="I12" s="37" t="n">
        <v>0.005373936408419167</v>
      </c>
      <c r="J12" s="38">
        <f>IFERROR(F12/H12,0)</f>
        <v/>
      </c>
      <c r="K12" s="31" t="n">
        <v>163.457098074339</v>
      </c>
      <c r="L12" s="31" t="n">
        <v>502.40881773399</v>
      </c>
      <c r="M12" s="38">
        <f>IFERROR(L12/K12,0)</f>
        <v/>
      </c>
      <c r="N12" s="31" t="n">
        <v>10.9133900582176</v>
      </c>
      <c r="O12" s="31" t="n">
        <v>29.1444155844156</v>
      </c>
      <c r="P12" s="38">
        <f>IFERROR(O12/N12,0)</f>
        <v/>
      </c>
      <c r="Q12" s="31" t="n">
        <v>174.370488</v>
      </c>
      <c r="R12" s="31" t="n">
        <v>531.553233</v>
      </c>
      <c r="S12" s="38">
        <f>IFERROR(R12/Q12,0)</f>
        <v/>
      </c>
      <c r="T12" s="39">
        <f>IFERROR(Q12/SUMIF($A:$A,A12,$Q:$Q),0)</f>
        <v/>
      </c>
      <c r="U12" s="39">
        <f>IFERROR(Q12/F12,0)</f>
        <v/>
      </c>
      <c r="V12" s="35">
        <f>F12-R12</f>
        <v/>
      </c>
      <c r="W12" s="39">
        <f>IFERROR(V12/F12,0)</f>
        <v/>
      </c>
      <c r="X12" s="29" t="n">
        <v>10.269592</v>
      </c>
      <c r="Y12" s="31" t="n">
        <v>110.142</v>
      </c>
      <c r="Z12" s="39">
        <f>IFERROR(Y12/G12,0)</f>
        <v/>
      </c>
      <c r="AA12" s="35">
        <f>Y12-K12/1.06</f>
        <v/>
      </c>
      <c r="AB12" s="39">
        <f>IFERROR(AA12/G12,0)</f>
        <v/>
      </c>
      <c r="AC12" s="31" t="n">
        <v>-64.046755</v>
      </c>
      <c r="AD12" s="39">
        <f>IFERROR(AC12/G12,0)</f>
        <v/>
      </c>
    </row>
    <row r="13">
      <c r="A13" s="27" t="inlineStr">
        <is>
          <t>5.11-5.17</t>
        </is>
      </c>
      <c r="B13" s="27" t="inlineStr">
        <is>
          <t>5.11-5.17</t>
        </is>
      </c>
      <c r="C13" s="34" t="n">
        <v>648681860568</v>
      </c>
      <c r="D13" s="27" t="inlineStr">
        <is>
          <t>杯面次链接</t>
        </is>
      </c>
      <c r="E13" s="27" t="inlineStr">
        <is>
          <t>营多捞面杯装方便面泡面速食干拌面原味整箱批发印尼进口桶装拌面</t>
        </is>
      </c>
      <c r="F13" s="31" t="n">
        <v>1000.29</v>
      </c>
      <c r="G13" s="35">
        <f>IFERROR(F13/1.13,0)</f>
        <v/>
      </c>
      <c r="H13" s="36" t="n">
        <v>41</v>
      </c>
      <c r="I13" s="37" t="n">
        <v>0.009180474697716077</v>
      </c>
      <c r="J13" s="38">
        <f>IFERROR(F13/H13,0)</f>
        <v/>
      </c>
      <c r="K13" s="31" t="n">
        <v>171.610042543663</v>
      </c>
      <c r="L13" s="31" t="n">
        <v>836.272980295567</v>
      </c>
      <c r="M13" s="38">
        <f>IFERROR(L13/K13,0)</f>
        <v/>
      </c>
      <c r="N13" s="31" t="n">
        <v>18.6437080161218</v>
      </c>
      <c r="O13" s="31" t="n">
        <v>49.7883766233766</v>
      </c>
      <c r="P13" s="38">
        <f>IFERROR(O13/N13,0)</f>
        <v/>
      </c>
      <c r="Q13" s="31" t="n">
        <v>190.253751</v>
      </c>
      <c r="R13" s="31" t="n">
        <v>886.061357</v>
      </c>
      <c r="S13" s="38">
        <f>IFERROR(R13/Q13,0)</f>
        <v/>
      </c>
      <c r="T13" s="39">
        <f>IFERROR(Q13/SUMIF($A:$A,A13,$Q:$Q),0)</f>
        <v/>
      </c>
      <c r="U13" s="39">
        <f>IFERROR(Q13/F13,0)</f>
        <v/>
      </c>
      <c r="V13" s="35">
        <f>F13-R13</f>
        <v/>
      </c>
      <c r="W13" s="39">
        <f>IFERROR(V13/F13,0)</f>
        <v/>
      </c>
      <c r="X13" s="29" t="n">
        <v>17.543887</v>
      </c>
      <c r="Y13" s="31" t="n">
        <v>101.013</v>
      </c>
      <c r="Z13" s="39">
        <f>IFERROR(Y13/G13,0)</f>
        <v/>
      </c>
      <c r="AA13" s="35">
        <f>Y13-K13/1.06</f>
        <v/>
      </c>
      <c r="AB13" s="39">
        <f>IFERROR(AA13/G13,0)</f>
        <v/>
      </c>
      <c r="AC13" s="31" t="n">
        <v>-95.022507</v>
      </c>
      <c r="AD13" s="39">
        <f>IFERROR(AC13/G13,0)</f>
        <v/>
      </c>
    </row>
    <row r="14">
      <c r="A14" s="27" t="inlineStr">
        <is>
          <t>5.11-5.17</t>
        </is>
      </c>
      <c r="B14" s="27" t="inlineStr">
        <is>
          <t>5.11-5.17</t>
        </is>
      </c>
      <c r="C14" s="34" t="n">
        <v>937005385662</v>
      </c>
      <c r="D14" s="27" t="inlineStr">
        <is>
          <t>日式袋面</t>
        </is>
      </c>
      <c r="E14" s="27" t="inlineStr">
        <is>
          <t>进口营多正品捞面日式鸡肉鸡汤辛辣味袋装泡面辣味速食方便面汤面</t>
        </is>
      </c>
      <c r="F14" s="31" t="n">
        <v>425.12</v>
      </c>
      <c r="G14" s="35">
        <f>IFERROR(F14/1.13,0)</f>
        <v/>
      </c>
      <c r="H14" s="36" t="n">
        <v>19</v>
      </c>
      <c r="I14" s="37" t="n">
        <v>0.00425436632333184</v>
      </c>
      <c r="J14" s="38">
        <f>IFERROR(F14/H14,0)</f>
        <v/>
      </c>
      <c r="K14" s="31" t="n">
        <v>181.772702642185</v>
      </c>
      <c r="L14" s="31" t="n">
        <v>397.104064039409</v>
      </c>
      <c r="M14" s="38">
        <f>IFERROR(L14/K14,0)</f>
        <v/>
      </c>
      <c r="N14" s="31" t="n">
        <v>8.6397671294223</v>
      </c>
      <c r="O14" s="31" t="n">
        <v>23.0726623376623</v>
      </c>
      <c r="P14" s="38">
        <f>IFERROR(O14/N14,0)</f>
        <v/>
      </c>
      <c r="Q14" s="31" t="n">
        <v>190.41247</v>
      </c>
      <c r="R14" s="31" t="n">
        <v>420.176726</v>
      </c>
      <c r="S14" s="38">
        <f>IFERROR(R14/Q14,0)</f>
        <v/>
      </c>
      <c r="T14" s="39">
        <f>IFERROR(Q14/SUMIF($A:$A,A14,$Q:$Q),0)</f>
        <v/>
      </c>
      <c r="U14" s="39">
        <f>IFERROR(Q14/F14,0)</f>
        <v/>
      </c>
      <c r="V14" s="35">
        <f>F14-R14</f>
        <v/>
      </c>
      <c r="W14" s="39">
        <f>IFERROR(V14/F14,0)</f>
        <v/>
      </c>
      <c r="X14" s="29" t="n">
        <v>8.130094</v>
      </c>
      <c r="Y14" s="31" t="n">
        <v>75.032</v>
      </c>
      <c r="Z14" s="39">
        <f>IFERROR(Y14/G14,0)</f>
        <v/>
      </c>
      <c r="AA14" s="35">
        <f>Y14-K14/1.06</f>
        <v/>
      </c>
      <c r="AB14" s="39">
        <f>IFERROR(AA14/G14,0)</f>
        <v/>
      </c>
      <c r="AC14" s="31" t="n">
        <v>-112.272305</v>
      </c>
      <c r="AD14" s="39">
        <f>IFERROR(AC14/G14,0)</f>
        <v/>
      </c>
    </row>
    <row r="15">
      <c r="A15" s="27" t="inlineStr">
        <is>
          <t>5.11-5.17</t>
        </is>
      </c>
      <c r="B15" s="27" t="inlineStr">
        <is>
          <t>5.11-5.17</t>
        </is>
      </c>
      <c r="C15" s="34" t="n">
        <v>969433743398</v>
      </c>
      <c r="D15" s="27" t="inlineStr">
        <is>
          <t>韩蘑菇</t>
        </is>
      </c>
      <c r="E15" s="27" t="inlineStr">
        <is>
          <t>新品营多捞面韩式辣蘑菇汤面泡面方便面速食干拌面宿舍宵夜旅行</t>
        </is>
      </c>
      <c r="F15" s="31" t="n">
        <v>495.56</v>
      </c>
      <c r="G15" s="35">
        <f>IFERROR(F15/1.13,0)</f>
        <v/>
      </c>
      <c r="H15" s="36" t="n">
        <v>23</v>
      </c>
      <c r="I15" s="37" t="n">
        <v>0.005150022391401702</v>
      </c>
      <c r="J15" s="38">
        <f>IFERROR(F15/H15,0)</f>
        <v/>
      </c>
      <c r="K15" s="31" t="n">
        <v>141.192218987909</v>
      </c>
      <c r="L15" s="31" t="n">
        <v>387.793866995074</v>
      </c>
      <c r="M15" s="38">
        <f>IFERROR(L15/K15,0)</f>
        <v/>
      </c>
      <c r="N15" s="31" t="n">
        <v>10.4586654724586</v>
      </c>
      <c r="O15" s="31" t="n">
        <v>27.9300649350649</v>
      </c>
      <c r="P15" s="38">
        <f>IFERROR(O15/N15,0)</f>
        <v/>
      </c>
      <c r="Q15" s="31" t="n">
        <v>151.650884</v>
      </c>
      <c r="R15" s="31" t="n">
        <v>415.723932</v>
      </c>
      <c r="S15" s="38">
        <f>IFERROR(R15/Q15,0)</f>
        <v/>
      </c>
      <c r="T15" s="39">
        <f>IFERROR(Q15/SUMIF($A:$A,A15,$Q:$Q),0)</f>
        <v/>
      </c>
      <c r="U15" s="39">
        <f>IFERROR(Q15/F15,0)</f>
        <v/>
      </c>
      <c r="V15" s="35">
        <f>F15-R15</f>
        <v/>
      </c>
      <c r="W15" s="39">
        <f>IFERROR(V15/F15,0)</f>
        <v/>
      </c>
      <c r="X15" s="29" t="n">
        <v>9.841692999999999</v>
      </c>
      <c r="Y15" s="31" t="n">
        <v>67.205</v>
      </c>
      <c r="Z15" s="39">
        <f>IFERROR(Y15/G15,0)</f>
        <v/>
      </c>
      <c r="AA15" s="35">
        <f>Y15-K15/1.06</f>
        <v/>
      </c>
      <c r="AB15" s="39">
        <f>IFERROR(AA15/G15,0)</f>
        <v/>
      </c>
      <c r="AC15" s="31" t="n">
        <v>-85.14648800000001</v>
      </c>
      <c r="AD15" s="39">
        <f>IFERROR(AC15/G15,0)</f>
        <v/>
      </c>
    </row>
    <row r="16">
      <c r="A16" s="27" t="inlineStr">
        <is>
          <t>5.11-5.17</t>
        </is>
      </c>
      <c r="B16" s="27" t="inlineStr">
        <is>
          <t>5.11-5.17</t>
        </is>
      </c>
      <c r="C16" s="34" t="n">
        <v>1013887677295</v>
      </c>
      <c r="D16" s="27" t="inlineStr">
        <is>
          <t>混搭5杯</t>
        </is>
      </c>
      <c r="E16" s="27" t="inlineStr">
        <is>
          <t>进口营多原味杯面日式杯面韩式杯面泡面方便面汤面宿舍速食夜宵</t>
        </is>
      </c>
      <c r="F16" s="31" t="n">
        <v>574.12</v>
      </c>
      <c r="G16" s="35">
        <f>IFERROR(F16/1.13,0)</f>
        <v/>
      </c>
      <c r="H16" s="36" t="n">
        <v>23</v>
      </c>
      <c r="I16" s="37" t="n">
        <v>0.005150022391401702</v>
      </c>
      <c r="J16" s="38">
        <f>IFERROR(F16/H16,0)</f>
        <v/>
      </c>
      <c r="K16" s="31" t="n">
        <v>115.042218987909</v>
      </c>
      <c r="L16" s="31" t="n">
        <v>632.203866995074</v>
      </c>
      <c r="M16" s="38">
        <f>IFERROR(L16/K16,0)</f>
        <v/>
      </c>
      <c r="N16" s="31" t="n">
        <v>10.4586654724586</v>
      </c>
      <c r="O16" s="31" t="n">
        <v>27.9300649350649</v>
      </c>
      <c r="P16" s="38">
        <f>IFERROR(O16/N16,0)</f>
        <v/>
      </c>
      <c r="Q16" s="31" t="n">
        <v>125.500884</v>
      </c>
      <c r="R16" s="31" t="n">
        <v>660.133932</v>
      </c>
      <c r="S16" s="38">
        <f>IFERROR(R16/Q16,0)</f>
        <v/>
      </c>
      <c r="T16" s="39">
        <f>IFERROR(Q16/SUMIF($A:$A,A16,$Q:$Q),0)</f>
        <v/>
      </c>
      <c r="U16" s="39">
        <f>IFERROR(Q16/F16,0)</f>
        <v/>
      </c>
      <c r="V16" s="35">
        <f>F16-R16</f>
        <v/>
      </c>
      <c r="W16" s="39">
        <f>IFERROR(V16/F16,0)</f>
        <v/>
      </c>
      <c r="X16" s="29" t="n">
        <v>9.841692999999999</v>
      </c>
      <c r="Y16" s="31" t="n">
        <v>58.235</v>
      </c>
      <c r="Z16" s="39">
        <f>IFERROR(Y16/G16,0)</f>
        <v/>
      </c>
      <c r="AA16" s="35">
        <f>Y16-K16/1.06</f>
        <v/>
      </c>
      <c r="AB16" s="39">
        <f>IFERROR(AA16/G16,0)</f>
        <v/>
      </c>
      <c r="AC16" s="31" t="n">
        <v>-69.44667699999999</v>
      </c>
      <c r="AD16" s="39">
        <f>IFERROR(AC16/G16,0)</f>
        <v/>
      </c>
    </row>
    <row r="17">
      <c r="A17" s="27" t="inlineStr">
        <is>
          <t>5.11-5.17</t>
        </is>
      </c>
      <c r="B17" s="27" t="inlineStr">
        <is>
          <t>5.11-5.17</t>
        </is>
      </c>
      <c r="C17" s="34" t="n">
        <v>744317232690</v>
      </c>
      <c r="D17" s="27" t="inlineStr">
        <is>
          <t>多规格</t>
        </is>
      </c>
      <c r="E17" s="27" t="inlineStr">
        <is>
          <t>营多捞面汤面清香牛肉味方便面泡面速食食品泡面拉面整箱旅行宿舍</t>
        </is>
      </c>
      <c r="F17" s="31" t="n">
        <v>371.41</v>
      </c>
      <c r="G17" s="35">
        <f>IFERROR(F17/1.13,0)</f>
        <v/>
      </c>
      <c r="H17" s="36" t="n">
        <v>20</v>
      </c>
      <c r="I17" s="37" t="n">
        <v>0.004478280340349305</v>
      </c>
      <c r="J17" s="38">
        <f>IFERROR(F17/H17,0)</f>
        <v/>
      </c>
      <c r="K17" s="31" t="n">
        <v>51.6975817286162</v>
      </c>
      <c r="L17" s="31" t="n">
        <v>257.259014778325</v>
      </c>
      <c r="M17" s="38">
        <f>IFERROR(L17/K17,0)</f>
        <v/>
      </c>
      <c r="N17" s="31" t="n">
        <v>9.09449171518137</v>
      </c>
      <c r="O17" s="31" t="n">
        <v>24.287012987013</v>
      </c>
      <c r="P17" s="38">
        <f>IFERROR(O17/N17,0)</f>
        <v/>
      </c>
      <c r="Q17" s="31" t="n">
        <v>60.792073</v>
      </c>
      <c r="R17" s="31" t="n">
        <v>281.546028</v>
      </c>
      <c r="S17" s="38">
        <f>IFERROR(R17/Q17,0)</f>
        <v/>
      </c>
      <c r="T17" s="39">
        <f>IFERROR(Q17/SUMIF($A:$A,A17,$Q:$Q),0)</f>
        <v/>
      </c>
      <c r="U17" s="39">
        <f>IFERROR(Q17/F17,0)</f>
        <v/>
      </c>
      <c r="V17" s="35">
        <f>F17-R17</f>
        <v/>
      </c>
      <c r="W17" s="39">
        <f>IFERROR(V17/F17,0)</f>
        <v/>
      </c>
      <c r="X17" s="29" t="n">
        <v>8.557994000000001</v>
      </c>
      <c r="Y17" s="31" t="n">
        <v>30.124</v>
      </c>
      <c r="Z17" s="39">
        <f>IFERROR(Y17/G17,0)</f>
        <v/>
      </c>
      <c r="AA17" s="35">
        <f>Y17-K17/1.06</f>
        <v/>
      </c>
      <c r="AB17" s="39">
        <f>IFERROR(AA17/G17,0)</f>
        <v/>
      </c>
      <c r="AC17" s="31" t="n">
        <v>-35.300592</v>
      </c>
      <c r="AD17" s="39">
        <f>IFERROR(AC17/G17,0)</f>
        <v/>
      </c>
    </row>
    <row r="18">
      <c r="A18" s="27" t="inlineStr">
        <is>
          <t>5.11-5.17</t>
        </is>
      </c>
      <c r="B18" s="27" t="inlineStr">
        <is>
          <t>5.11-5.17</t>
        </is>
      </c>
      <c r="C18" s="34" t="n">
        <v>649729851594</v>
      </c>
      <c r="D18" s="27" t="inlineStr">
        <is>
          <t>小规格</t>
        </is>
      </c>
      <c r="E18" s="27" t="inlineStr">
        <is>
          <t>营多捞面袋装8包装泡面宿舍速食面热干面干拌面方便面火鸡面食品</t>
        </is>
      </c>
      <c r="F18" s="31" t="n">
        <v>177.42</v>
      </c>
      <c r="G18" s="35">
        <f>IFERROR(F18/1.13,0)</f>
        <v/>
      </c>
      <c r="H18" s="36" t="n">
        <v>8</v>
      </c>
      <c r="I18" s="37" t="n">
        <v>0.001791312136139722</v>
      </c>
      <c r="J18" s="38">
        <f>IFERROR(F18/H18,0)</f>
        <v/>
      </c>
      <c r="K18" s="31" t="n">
        <v>29.1290326914465</v>
      </c>
      <c r="L18" s="31" t="n">
        <v>43.9796059113301</v>
      </c>
      <c r="M18" s="38">
        <f>IFERROR(L18/K18,0)</f>
        <v/>
      </c>
      <c r="N18" s="31" t="n">
        <v>3.63779668607255</v>
      </c>
      <c r="O18" s="31" t="n">
        <v>9.714805194805191</v>
      </c>
      <c r="P18" s="38">
        <f>IFERROR(O18/N18,0)</f>
        <v/>
      </c>
      <c r="Q18" s="31" t="n">
        <v>32.766829</v>
      </c>
      <c r="R18" s="31" t="n">
        <v>53.694411</v>
      </c>
      <c r="S18" s="38">
        <f>IFERROR(R18/Q18,0)</f>
        <v/>
      </c>
      <c r="T18" s="39">
        <f>IFERROR(Q18/SUMIF($A:$A,A18,$Q:$Q),0)</f>
        <v/>
      </c>
      <c r="U18" s="39">
        <f>IFERROR(Q18/F18,0)</f>
        <v/>
      </c>
      <c r="V18" s="35">
        <f>F18-R18</f>
        <v/>
      </c>
      <c r="W18" s="39">
        <f>IFERROR(V18/F18,0)</f>
        <v/>
      </c>
      <c r="X18" s="29" t="n">
        <v>3.423197</v>
      </c>
      <c r="Y18" s="31" t="n">
        <v>27.291</v>
      </c>
      <c r="Z18" s="39">
        <f>IFERROR(Y18/G18,0)</f>
        <v/>
      </c>
      <c r="AA18" s="35">
        <f>Y18-K18/1.06</f>
        <v/>
      </c>
      <c r="AB18" s="39">
        <f>IFERROR(AA18/G18,0)</f>
        <v/>
      </c>
      <c r="AC18" s="31" t="n">
        <v>-6.850535</v>
      </c>
      <c r="AD18" s="39">
        <f>IFERROR(AC18/G18,0)</f>
        <v/>
      </c>
    </row>
    <row r="19">
      <c r="A19" s="27" t="inlineStr">
        <is>
          <t>5.11-5.17</t>
        </is>
      </c>
      <c r="B19" s="27" t="inlineStr">
        <is>
          <t>5.11-5.17</t>
        </is>
      </c>
      <c r="C19" s="34" t="n">
        <v>648604228786</v>
      </c>
      <c r="D19" s="27" t="inlineStr">
        <is>
          <t>杯面混搭</t>
        </is>
      </c>
      <c r="E19" s="27" t="inlineStr">
        <is>
          <t>INDOMIE营多日式杯面原味经典泡面整箱批发速食宿舍旅行宵夜宿舍</t>
        </is>
      </c>
      <c r="F19" s="31" t="n">
        <v>239.95</v>
      </c>
      <c r="G19" s="35">
        <f>IFERROR(F19/1.13,0)</f>
        <v/>
      </c>
      <c r="H19" s="36" t="n">
        <v>9</v>
      </c>
      <c r="I19" s="37" t="n">
        <v>0.002015226153157188</v>
      </c>
      <c r="J19" s="38">
        <f>IFERROR(F19/H19,0)</f>
        <v/>
      </c>
      <c r="K19" s="31" t="n">
        <v>44.7139117778773</v>
      </c>
      <c r="L19" s="31" t="n">
        <v>63.8345566502464</v>
      </c>
      <c r="M19" s="38">
        <f>IFERROR(L19/K19,0)</f>
        <v/>
      </c>
      <c r="N19" s="31" t="n">
        <v>4.09252127183162</v>
      </c>
      <c r="O19" s="31" t="n">
        <v>10.9291558441558</v>
      </c>
      <c r="P19" s="38">
        <f>IFERROR(O19/N19,0)</f>
        <v/>
      </c>
      <c r="Q19" s="31" t="n">
        <v>48.806433</v>
      </c>
      <c r="R19" s="31" t="n">
        <v>74.763712</v>
      </c>
      <c r="S19" s="38">
        <f>IFERROR(R19/Q19,0)</f>
        <v/>
      </c>
      <c r="T19" s="39">
        <f>IFERROR(Q19/SUMIF($A:$A,A19,$Q:$Q),0)</f>
        <v/>
      </c>
      <c r="U19" s="39">
        <f>IFERROR(Q19/F19,0)</f>
        <v/>
      </c>
      <c r="V19" s="35">
        <f>F19-R19</f>
        <v/>
      </c>
      <c r="W19" s="39">
        <f>IFERROR(V19/F19,0)</f>
        <v/>
      </c>
      <c r="X19" s="29" t="n">
        <v>3.851097</v>
      </c>
      <c r="Y19" s="31" t="n">
        <v>23.72</v>
      </c>
      <c r="Z19" s="39">
        <f>IFERROR(Y19/G19,0)</f>
        <v/>
      </c>
      <c r="AA19" s="35">
        <f>Y19-K19/1.06</f>
        <v/>
      </c>
      <c r="AB19" s="39">
        <f>IFERROR(AA19/G19,0)</f>
        <v/>
      </c>
      <c r="AC19" s="31" t="n">
        <v>-25.956915</v>
      </c>
      <c r="AD19" s="39">
        <f>IFERROR(AC19/G19,0)</f>
        <v/>
      </c>
    </row>
    <row r="20">
      <c r="A20" s="27" t="inlineStr">
        <is>
          <t>5.11-5.17</t>
        </is>
      </c>
      <c r="B20" s="27" t="inlineStr">
        <is>
          <t>5.11-5.17</t>
        </is>
      </c>
      <c r="C20" s="34" t="n">
        <v>969423151512</v>
      </c>
      <c r="D20" s="27" t="inlineStr">
        <is>
          <t>日韩混搭</t>
        </is>
      </c>
      <c r="E20" s="27" t="inlineStr">
        <is>
          <t>营多捞面甜辣炸鸡火鸡面辣蘑菇泡面方便面速食干拌面宿舍宵夜旅行</t>
        </is>
      </c>
      <c r="F20" s="31" t="n">
        <v>173.78</v>
      </c>
      <c r="G20" s="35">
        <f>IFERROR(F20/1.13,0)</f>
        <v/>
      </c>
      <c r="H20" s="36" t="n">
        <v>9</v>
      </c>
      <c r="I20" s="37" t="n">
        <v>0.002015226153157188</v>
      </c>
      <c r="J20" s="38">
        <f>IFERROR(F20/H20,0)</f>
        <v/>
      </c>
      <c r="K20" s="31" t="n">
        <v>28.1439117778773</v>
      </c>
      <c r="L20" s="31" t="n">
        <v>107.304556650246</v>
      </c>
      <c r="M20" s="38">
        <f>IFERROR(L20/K20,0)</f>
        <v/>
      </c>
      <c r="N20" s="31" t="n">
        <v>4.09252127183162</v>
      </c>
      <c r="O20" s="31" t="n">
        <v>10.9291558441558</v>
      </c>
      <c r="P20" s="38">
        <f>IFERROR(O20/N20,0)</f>
        <v/>
      </c>
      <c r="Q20" s="31" t="n">
        <v>32.236433</v>
      </c>
      <c r="R20" s="31" t="n">
        <v>118.233712</v>
      </c>
      <c r="S20" s="38">
        <f>IFERROR(R20/Q20,0)</f>
        <v/>
      </c>
      <c r="T20" s="39">
        <f>IFERROR(Q20/SUMIF($A:$A,A20,$Q:$Q),0)</f>
        <v/>
      </c>
      <c r="U20" s="39">
        <f>IFERROR(Q20/F20,0)</f>
        <v/>
      </c>
      <c r="V20" s="35">
        <f>F20-R20</f>
        <v/>
      </c>
      <c r="W20" s="39">
        <f>IFERROR(V20/F20,0)</f>
        <v/>
      </c>
      <c r="X20" s="29" t="n">
        <v>3.851097</v>
      </c>
      <c r="Y20" s="31" t="n">
        <v>20.193</v>
      </c>
      <c r="Z20" s="39">
        <f>IFERROR(Y20/G20,0)</f>
        <v/>
      </c>
      <c r="AA20" s="35">
        <f>Y20-K20/1.06</f>
        <v/>
      </c>
      <c r="AB20" s="39">
        <f>IFERROR(AA20/G20,0)</f>
        <v/>
      </c>
      <c r="AC20" s="31" t="n">
        <v>-13.85184</v>
      </c>
      <c r="AD20" s="39">
        <f>IFERROR(AC20/G20,0)</f>
        <v/>
      </c>
    </row>
    <row r="21">
      <c r="A21" s="27" t="inlineStr">
        <is>
          <t>5.11-5.17</t>
        </is>
      </c>
      <c r="B21" s="27" t="inlineStr">
        <is>
          <t>5.11-5.17</t>
        </is>
      </c>
      <c r="C21" s="34" t="n">
        <v>649731447266</v>
      </c>
      <c r="D21" s="27" t="inlineStr">
        <is>
          <t>20包经典/牛系列</t>
        </is>
      </c>
      <c r="E21" s="27" t="inlineStr">
        <is>
          <t>营多印尼进口营多捞面方便面火鸡面干拌面20包宿舍速食泡面夜宵</t>
        </is>
      </c>
      <c r="F21" s="31" t="n">
        <v>96.65000000000001</v>
      </c>
      <c r="G21" s="35">
        <f>IFERROR(F21/1.13,0)</f>
        <v/>
      </c>
      <c r="H21" s="36" t="n">
        <v>2</v>
      </c>
      <c r="I21" s="37" t="n">
        <v>0.0004478280340349306</v>
      </c>
      <c r="J21" s="38">
        <f>IFERROR(F21/H21,0)</f>
        <v/>
      </c>
      <c r="K21" s="31" t="n">
        <v>6.31975817286162</v>
      </c>
      <c r="L21" s="31" t="n">
        <v>73.7299014778325</v>
      </c>
      <c r="M21" s="38">
        <f>IFERROR(L21/K21,0)</f>
        <v/>
      </c>
      <c r="N21" s="31" t="n">
        <v>0.909449171518137</v>
      </c>
      <c r="O21" s="31" t="n">
        <v>2.4287012987013</v>
      </c>
      <c r="P21" s="38">
        <f>IFERROR(O21/N21,0)</f>
        <v/>
      </c>
      <c r="Q21" s="31" t="n">
        <v>7.229207</v>
      </c>
      <c r="R21" s="31" t="n">
        <v>76.158603</v>
      </c>
      <c r="S21" s="38">
        <f>IFERROR(R21/Q21,0)</f>
        <v/>
      </c>
      <c r="T21" s="39">
        <f>IFERROR(Q21/SUMIF($A:$A,A21,$Q:$Q),0)</f>
        <v/>
      </c>
      <c r="U21" s="39">
        <f>IFERROR(Q21/F21,0)</f>
        <v/>
      </c>
      <c r="V21" s="35">
        <f>F21-R21</f>
        <v/>
      </c>
      <c r="W21" s="39">
        <f>IFERROR(V21/F21,0)</f>
        <v/>
      </c>
      <c r="X21" s="29" t="n">
        <v>0.855799</v>
      </c>
      <c r="Y21" s="31" t="n">
        <v>19.508</v>
      </c>
      <c r="Z21" s="39">
        <f>IFERROR(Y21/G21,0)</f>
        <v/>
      </c>
      <c r="AA21" s="35">
        <f>Y21-K21/1.06</f>
        <v/>
      </c>
      <c r="AB21" s="39">
        <f>IFERROR(AA21/G21,0)</f>
        <v/>
      </c>
      <c r="AC21" s="31" t="n">
        <v>11.880635</v>
      </c>
      <c r="AD21" s="39">
        <f>IFERROR(AC21/G21,0)</f>
        <v/>
      </c>
    </row>
    <row r="22">
      <c r="A22" s="27" t="inlineStr">
        <is>
          <t>5.11-5.17</t>
        </is>
      </c>
      <c r="B22" s="27" t="inlineStr">
        <is>
          <t>5.11-5.17</t>
        </is>
      </c>
      <c r="C22" s="34" t="n">
        <v>932687928859</v>
      </c>
      <c r="D22" s="27" t="inlineStr">
        <is>
          <t>8包组合</t>
        </is>
      </c>
      <c r="E22" s="27" t="inlineStr">
        <is>
          <t>营多捞面八口味袋装泡面拌面速食面干拌面方便面宿舍宵夜速食家用</t>
        </is>
      </c>
      <c r="F22" s="31" t="n">
        <v>60.35</v>
      </c>
      <c r="G22" s="35">
        <f>IFERROR(F22/1.13,0)</f>
        <v/>
      </c>
      <c r="H22" s="36" t="n">
        <v>2</v>
      </c>
      <c r="I22" s="37" t="n">
        <v>0.0004478280340349306</v>
      </c>
      <c r="J22" s="38">
        <f>IFERROR(F22/H22,0)</f>
        <v/>
      </c>
      <c r="K22" s="31" t="n">
        <v>1.58975817286162</v>
      </c>
      <c r="L22" s="31" t="n">
        <v>1.92990147783253</v>
      </c>
      <c r="M22" s="38">
        <f>IFERROR(L22/K22,0)</f>
        <v/>
      </c>
      <c r="N22" s="31" t="n">
        <v>0.909449171518137</v>
      </c>
      <c r="O22" s="31" t="n">
        <v>2.4287012987013</v>
      </c>
      <c r="P22" s="38">
        <f>IFERROR(O22/N22,0)</f>
        <v/>
      </c>
      <c r="Q22" s="31" t="n">
        <v>2.499207</v>
      </c>
      <c r="R22" s="31" t="n">
        <v>4.358603</v>
      </c>
      <c r="S22" s="38">
        <f>IFERROR(R22/Q22,0)</f>
        <v/>
      </c>
      <c r="T22" s="39">
        <f>IFERROR(Q22/SUMIF($A:$A,A22,$Q:$Q),0)</f>
        <v/>
      </c>
      <c r="U22" s="39">
        <f>IFERROR(Q22/F22,0)</f>
        <v/>
      </c>
      <c r="V22" s="35">
        <f>F22-R22</f>
        <v/>
      </c>
      <c r="W22" s="39">
        <f>IFERROR(V22/F22,0)</f>
        <v/>
      </c>
      <c r="X22" s="29" t="n">
        <v>0.855799</v>
      </c>
      <c r="Y22" s="31" t="n">
        <v>16.971</v>
      </c>
      <c r="Z22" s="39">
        <f>IFERROR(Y22/G22,0)</f>
        <v/>
      </c>
      <c r="AA22" s="35">
        <f>Y22-K22/1.06</f>
        <v/>
      </c>
      <c r="AB22" s="39">
        <f>IFERROR(AA22/G22,0)</f>
        <v/>
      </c>
      <c r="AC22" s="31" t="n">
        <v>13.805899</v>
      </c>
      <c r="AD22" s="39">
        <f>IFERROR(AC22/G22,0)</f>
        <v/>
      </c>
    </row>
    <row r="23">
      <c r="A23" s="27" t="inlineStr">
        <is>
          <t>5.11-5.17</t>
        </is>
      </c>
      <c r="B23" s="27" t="inlineStr">
        <is>
          <t>5.11-5.17</t>
        </is>
      </c>
      <c r="C23" s="34" t="n">
        <v>886856687067</v>
      </c>
      <c r="D23" s="27" t="inlineStr">
        <is>
          <t>大骨</t>
        </is>
      </c>
      <c r="E23" s="27" t="inlineStr">
        <is>
          <t>营多捞面牛系列大骨牛肉味方便面食品泡面拉面汤面宿舍宵夜旅行</t>
        </is>
      </c>
      <c r="F23" s="31" t="n">
        <v>169.96</v>
      </c>
      <c r="G23" s="35">
        <f>IFERROR(F23/1.13,0)</f>
        <v/>
      </c>
      <c r="H23" s="36" t="n">
        <v>9</v>
      </c>
      <c r="I23" s="37" t="n">
        <v>0.002015226153157188</v>
      </c>
      <c r="J23" s="38">
        <f>IFERROR(F23/H23,0)</f>
        <v/>
      </c>
      <c r="K23" s="31" t="n">
        <v>8.0239117778773</v>
      </c>
      <c r="L23" s="31" t="n">
        <v>22.5845566502464</v>
      </c>
      <c r="M23" s="38">
        <f>IFERROR(L23/K23,0)</f>
        <v/>
      </c>
      <c r="N23" s="31" t="n">
        <v>4.09252127183162</v>
      </c>
      <c r="O23" s="31" t="n">
        <v>10.9291558441558</v>
      </c>
      <c r="P23" s="38">
        <f>IFERROR(O23/N23,0)</f>
        <v/>
      </c>
      <c r="Q23" s="31" t="n">
        <v>12.116433</v>
      </c>
      <c r="R23" s="31" t="n">
        <v>33.513712</v>
      </c>
      <c r="S23" s="38">
        <f>IFERROR(R23/Q23,0)</f>
        <v/>
      </c>
      <c r="T23" s="39">
        <f>IFERROR(Q23/SUMIF($A:$A,A23,$Q:$Q),0)</f>
        <v/>
      </c>
      <c r="U23" s="39">
        <f>IFERROR(Q23/F23,0)</f>
        <v/>
      </c>
      <c r="V23" s="35">
        <f>F23-R23</f>
        <v/>
      </c>
      <c r="W23" s="39">
        <f>IFERROR(V23/F23,0)</f>
        <v/>
      </c>
      <c r="X23" s="29" t="n">
        <v>3.851097</v>
      </c>
      <c r="Y23" s="31" t="n">
        <v>14.642</v>
      </c>
      <c r="Z23" s="39">
        <f>IFERROR(Y23/G23,0)</f>
        <v/>
      </c>
      <c r="AA23" s="35">
        <f>Y23-K23/1.06</f>
        <v/>
      </c>
      <c r="AB23" s="39">
        <f>IFERROR(AA23/G23,0)</f>
        <v/>
      </c>
      <c r="AC23" s="31" t="n">
        <v>-0.421708</v>
      </c>
      <c r="AD23" s="39">
        <f>IFERROR(AC23/G23,0)</f>
        <v/>
      </c>
    </row>
    <row r="24">
      <c r="A24" s="27" t="inlineStr">
        <is>
          <t>5.11-5.17</t>
        </is>
      </c>
      <c r="B24" s="27" t="inlineStr">
        <is>
          <t>5.11-5.17</t>
        </is>
      </c>
      <c r="C24" s="34" t="n">
        <v>949962665617</v>
      </c>
      <c r="D24" s="27" t="inlineStr">
        <is>
          <t>组合</t>
        </is>
      </c>
      <c r="E24" s="27" t="inlineStr">
        <is>
          <t>营多捞面多口味袋装泡面拌面速食面干拌面方便面宿舍宵夜速食旅行</t>
        </is>
      </c>
      <c r="F24" s="31" t="n">
        <v>142.91</v>
      </c>
      <c r="G24" s="35">
        <f>IFERROR(F24/1.13,0)</f>
        <v/>
      </c>
      <c r="H24" s="36" t="n">
        <v>6</v>
      </c>
      <c r="I24" s="37" t="n">
        <v>0.001343484102104792</v>
      </c>
      <c r="J24" s="38">
        <f>IFERROR(F24/H24,0)</f>
        <v/>
      </c>
      <c r="K24" s="31" t="n">
        <v>61.5492745185849</v>
      </c>
      <c r="L24" s="31" t="n">
        <v>262.769704433498</v>
      </c>
      <c r="M24" s="38">
        <f>IFERROR(L24/K24,0)</f>
        <v/>
      </c>
      <c r="N24" s="31" t="n">
        <v>2.72834751455441</v>
      </c>
      <c r="O24" s="31" t="n">
        <v>7.2861038961039</v>
      </c>
      <c r="P24" s="38">
        <f>IFERROR(O24/N24,0)</f>
        <v/>
      </c>
      <c r="Q24" s="31" t="n">
        <v>64.27762199999999</v>
      </c>
      <c r="R24" s="31" t="n">
        <v>270.055808</v>
      </c>
      <c r="S24" s="38">
        <f>IFERROR(R24/Q24,0)</f>
        <v/>
      </c>
      <c r="T24" s="39">
        <f>IFERROR(Q24/SUMIF($A:$A,A24,$Q:$Q),0)</f>
        <v/>
      </c>
      <c r="U24" s="39">
        <f>IFERROR(Q24/F24,0)</f>
        <v/>
      </c>
      <c r="V24" s="35">
        <f>F24-R24</f>
        <v/>
      </c>
      <c r="W24" s="39">
        <f>IFERROR(V24/F24,0)</f>
        <v/>
      </c>
      <c r="X24" s="29" t="n">
        <v>2.567398</v>
      </c>
      <c r="Y24" s="31" t="n">
        <v>14.182</v>
      </c>
      <c r="Z24" s="39">
        <f>IFERROR(Y24/G24,0)</f>
        <v/>
      </c>
      <c r="AA24" s="35">
        <f>Y24-K24/1.06</f>
        <v/>
      </c>
      <c r="AB24" s="39">
        <f>IFERROR(AA24/G24,0)</f>
        <v/>
      </c>
      <c r="AC24" s="31" t="n">
        <v>-48.87934</v>
      </c>
      <c r="AD24" s="39">
        <f>IFERROR(AC24/G24,0)</f>
        <v/>
      </c>
    </row>
    <row r="25">
      <c r="A25" s="27" t="inlineStr">
        <is>
          <t>5.11-5.17</t>
        </is>
      </c>
      <c r="B25" s="27" t="inlineStr">
        <is>
          <t>5.11-5.17</t>
        </is>
      </c>
      <c r="C25" s="34" t="n">
        <v>971242260371</v>
      </c>
      <c r="D25" s="27" t="inlineStr">
        <is>
          <t>韩式袋面</t>
        </is>
      </c>
      <c r="E25" s="27" t="inlineStr">
        <is>
          <t>新品营多捞面韩式辣蘑菇汤面泡面方便面速食干拌面宿舍宵夜旅行</t>
        </is>
      </c>
      <c r="F25" s="31" t="n">
        <v>52.03</v>
      </c>
      <c r="G25" s="35">
        <f>IFERROR(F25/1.13,0)</f>
        <v/>
      </c>
      <c r="H25" s="36" t="n">
        <v>2</v>
      </c>
      <c r="I25" s="37" t="n">
        <v>0.0004478280340349306</v>
      </c>
      <c r="J25" s="38">
        <f>IFERROR(F25/H25,0)</f>
        <v/>
      </c>
      <c r="K25" s="31" t="n">
        <v>5.71975817286162</v>
      </c>
      <c r="L25" s="31" t="n">
        <v>37.8299014778325</v>
      </c>
      <c r="M25" s="38">
        <f>IFERROR(L25/K25,0)</f>
        <v/>
      </c>
      <c r="N25" s="31" t="n">
        <v>0.909449171518137</v>
      </c>
      <c r="O25" s="31" t="n">
        <v>2.4287012987013</v>
      </c>
      <c r="P25" s="38">
        <f>IFERROR(O25/N25,0)</f>
        <v/>
      </c>
      <c r="Q25" s="31" t="n">
        <v>6.629207</v>
      </c>
      <c r="R25" s="31" t="n">
        <v>40.258603</v>
      </c>
      <c r="S25" s="38">
        <f>IFERROR(R25/Q25,0)</f>
        <v/>
      </c>
      <c r="T25" s="39">
        <f>IFERROR(Q25/SUMIF($A:$A,A25,$Q:$Q),0)</f>
        <v/>
      </c>
      <c r="U25" s="39">
        <f>IFERROR(Q25/F25,0)</f>
        <v/>
      </c>
      <c r="V25" s="35">
        <f>F25-R25</f>
        <v/>
      </c>
      <c r="W25" s="39">
        <f>IFERROR(V25/F25,0)</f>
        <v/>
      </c>
      <c r="X25" s="29" t="n">
        <v>0.855799</v>
      </c>
      <c r="Y25" s="31" t="n">
        <v>7.659</v>
      </c>
      <c r="Z25" s="39">
        <f>IFERROR(Y25/G25,0)</f>
        <v/>
      </c>
      <c r="AA25" s="35">
        <f>Y25-K25/1.06</f>
        <v/>
      </c>
      <c r="AB25" s="39">
        <f>IFERROR(AA25/G25,0)</f>
        <v/>
      </c>
      <c r="AC25" s="31" t="n">
        <v>0.597673</v>
      </c>
      <c r="AD25" s="39">
        <f>IFERROR(AC25/G25,0)</f>
        <v/>
      </c>
    </row>
    <row r="26">
      <c r="A26" s="27" t="inlineStr">
        <is>
          <t>5.11-5.17</t>
        </is>
      </c>
      <c r="B26" s="27" t="inlineStr">
        <is>
          <t>5.11-5.17</t>
        </is>
      </c>
      <c r="C26" s="34" t="n">
        <v>947413291596</v>
      </c>
      <c r="D26" s="27" t="inlineStr">
        <is>
          <t>杯面</t>
        </is>
      </c>
      <c r="E26" s="27" t="inlineStr">
        <is>
          <t>营多捞面杯装方便面泡面速食干拌面原味整箱批发印尼进口桶装拌面</t>
        </is>
      </c>
      <c r="F26" s="31" t="n">
        <v>55.15</v>
      </c>
      <c r="G26" s="35">
        <f>IFERROR(F26/1.13,0)</f>
        <v/>
      </c>
      <c r="H26" s="36" t="n">
        <v>2</v>
      </c>
      <c r="I26" s="37" t="n">
        <v>0.0004478280340349306</v>
      </c>
      <c r="J26" s="38">
        <f>IFERROR(F26/H26,0)</f>
        <v/>
      </c>
      <c r="K26" s="31" t="n">
        <v>5.43975817286162</v>
      </c>
      <c r="L26" s="31" t="n">
        <v>1.92990147783253</v>
      </c>
      <c r="M26" s="38">
        <f>IFERROR(L26/K26,0)</f>
        <v/>
      </c>
      <c r="N26" s="31" t="n">
        <v>0.909449171518137</v>
      </c>
      <c r="O26" s="31" t="n">
        <v>2.4287012987013</v>
      </c>
      <c r="P26" s="38">
        <f>IFERROR(O26/N26,0)</f>
        <v/>
      </c>
      <c r="Q26" s="31" t="n">
        <v>6.349207</v>
      </c>
      <c r="R26" s="31" t="n">
        <v>4.358603</v>
      </c>
      <c r="S26" s="38">
        <f>IFERROR(R26/Q26,0)</f>
        <v/>
      </c>
      <c r="T26" s="39">
        <f>IFERROR(Q26/SUMIF($A:$A,A26,$Q:$Q),0)</f>
        <v/>
      </c>
      <c r="U26" s="39">
        <f>IFERROR(Q26/F26,0)</f>
        <v/>
      </c>
      <c r="V26" s="35">
        <f>F26-R26</f>
        <v/>
      </c>
      <c r="W26" s="39">
        <f>IFERROR(V26/F26,0)</f>
        <v/>
      </c>
      <c r="X26" s="29" t="n">
        <v>0.855799</v>
      </c>
      <c r="Y26" s="31" t="n">
        <v>6.768</v>
      </c>
      <c r="Z26" s="39">
        <f>IFERROR(Y26/G26,0)</f>
        <v/>
      </c>
      <c r="AA26" s="35">
        <f>Y26-K26/1.06</f>
        <v/>
      </c>
      <c r="AB26" s="39">
        <f>IFERROR(AA26/G26,0)</f>
        <v/>
      </c>
      <c r="AC26" s="31" t="n">
        <v>-0.029176</v>
      </c>
      <c r="AD26" s="39">
        <f>IFERROR(AC26/G26,0)</f>
        <v/>
      </c>
    </row>
    <row r="27">
      <c r="A27" s="27" t="inlineStr">
        <is>
          <t>5.11-5.17</t>
        </is>
      </c>
      <c r="B27" s="27" t="inlineStr">
        <is>
          <t>5.11-5.17</t>
        </is>
      </c>
      <c r="C27" s="34" t="n">
        <v>898120785283</v>
      </c>
      <c r="D27" s="27" t="inlineStr">
        <is>
          <t>番茄</t>
        </is>
      </c>
      <c r="E27" s="27" t="inlineStr">
        <is>
          <t>进口意大利面风味奶香番茄牛肉味意式营多早餐儿童宝妈家庭餐拌面</t>
        </is>
      </c>
      <c r="F27" s="31" t="n">
        <v>25.9</v>
      </c>
      <c r="G27" s="35">
        <f>IFERROR(F27/1.13,0)</f>
        <v/>
      </c>
      <c r="H27" s="36" t="n">
        <v>1</v>
      </c>
      <c r="I27" s="37" t="n">
        <v>0.0002239140170174653</v>
      </c>
      <c r="J27" s="38">
        <f>IFERROR(F27/H27,0)</f>
        <v/>
      </c>
      <c r="K27" s="31" t="n">
        <v>2.77487908643081</v>
      </c>
      <c r="L27" s="31" t="n">
        <v>0.964950738916263</v>
      </c>
      <c r="M27" s="38">
        <f>IFERROR(L27/K27,0)</f>
        <v/>
      </c>
      <c r="N27" s="31" t="n">
        <v>0.454724585759068</v>
      </c>
      <c r="O27" s="31" t="n">
        <v>1.21435064935065</v>
      </c>
      <c r="P27" s="38">
        <f>IFERROR(O27/N27,0)</f>
        <v/>
      </c>
      <c r="Q27" s="31" t="n">
        <v>3.229604</v>
      </c>
      <c r="R27" s="31" t="n">
        <v>2.179301</v>
      </c>
      <c r="S27" s="38">
        <f>IFERROR(R27/Q27,0)</f>
        <v/>
      </c>
      <c r="T27" s="39">
        <f>IFERROR(Q27/SUMIF($A:$A,A27,$Q:$Q),0)</f>
        <v/>
      </c>
      <c r="U27" s="39">
        <f>IFERROR(Q27/F27,0)</f>
        <v/>
      </c>
      <c r="V27" s="35">
        <f>F27-R27</f>
        <v/>
      </c>
      <c r="W27" s="39">
        <f>IFERROR(V27/F27,0)</f>
        <v/>
      </c>
      <c r="X27" s="29" t="n">
        <v>0.4279</v>
      </c>
      <c r="Y27" s="31" t="n">
        <v>4.059</v>
      </c>
      <c r="Z27" s="39">
        <f>IFERROR(Y27/G27,0)</f>
        <v/>
      </c>
      <c r="AA27" s="35">
        <f>Y27-K27/1.06</f>
        <v/>
      </c>
      <c r="AB27" s="39">
        <f>IFERROR(AA27/G27,0)</f>
        <v/>
      </c>
      <c r="AC27" s="31" t="n">
        <v>0.608525</v>
      </c>
      <c r="AD27" s="39">
        <f>IFERROR(AC27/G27,0)</f>
        <v/>
      </c>
    </row>
    <row r="28">
      <c r="A28" s="27" t="inlineStr">
        <is>
          <t>5.11-5.17</t>
        </is>
      </c>
      <c r="B28" s="27" t="inlineStr">
        <is>
          <t>5.11-5.17</t>
        </is>
      </c>
      <c r="C28" s="34" t="n">
        <v>1040679932754</v>
      </c>
      <c r="D28" s="27" t="inlineStr">
        <is>
          <t>韩式杯面</t>
        </is>
      </c>
      <c r="E28" s="27" t="inlineStr">
        <is>
          <t>印尼进口营多捞面杯面原味甜辣蘑菇味整箱速食拌面拉面泡面方便面</t>
        </is>
      </c>
      <c r="F28" s="31" t="n">
        <v>39.33</v>
      </c>
      <c r="G28" s="35">
        <f>IFERROR(F28/1.13,0)</f>
        <v/>
      </c>
      <c r="H28" s="36" t="n">
        <v>2</v>
      </c>
      <c r="I28" s="37" t="n">
        <v>0.0004478280340349306</v>
      </c>
      <c r="J28" s="38">
        <f>IFERROR(F28/H28,0)</f>
        <v/>
      </c>
      <c r="K28" s="31" t="n">
        <v>10.2797581728616</v>
      </c>
      <c r="L28" s="31" t="n">
        <v>1.92990147783253</v>
      </c>
      <c r="M28" s="38">
        <f>IFERROR(L28/K28,0)</f>
        <v/>
      </c>
      <c r="N28" s="31" t="n">
        <v>0.909449171518137</v>
      </c>
      <c r="O28" s="31" t="n">
        <v>2.4287012987013</v>
      </c>
      <c r="P28" s="38">
        <f>IFERROR(O28/N28,0)</f>
        <v/>
      </c>
      <c r="Q28" s="31" t="n">
        <v>11.189207</v>
      </c>
      <c r="R28" s="31" t="n">
        <v>4.358603</v>
      </c>
      <c r="S28" s="38">
        <f>IFERROR(R28/Q28,0)</f>
        <v/>
      </c>
      <c r="T28" s="39">
        <f>IFERROR(Q28/SUMIF($A:$A,A28,$Q:$Q),0)</f>
        <v/>
      </c>
      <c r="U28" s="39">
        <f>IFERROR(Q28/F28,0)</f>
        <v/>
      </c>
      <c r="V28" s="35">
        <f>F28-R28</f>
        <v/>
      </c>
      <c r="W28" s="39">
        <f>IFERROR(V28/F28,0)</f>
        <v/>
      </c>
      <c r="X28" s="29" t="n">
        <v>0.855799</v>
      </c>
      <c r="Y28" s="31" t="n">
        <v>3.684</v>
      </c>
      <c r="Z28" s="39">
        <f>IFERROR(Y28/G28,0)</f>
        <v/>
      </c>
      <c r="AA28" s="35">
        <f>Y28-K28/1.06</f>
        <v/>
      </c>
      <c r="AB28" s="39">
        <f>IFERROR(AA28/G28,0)</f>
        <v/>
      </c>
      <c r="AC28" s="31" t="n">
        <v>-7.679214</v>
      </c>
      <c r="AD28" s="39">
        <f>IFERROR(AC28/G28,0)</f>
        <v/>
      </c>
    </row>
    <row r="29">
      <c r="A29" s="27" t="inlineStr">
        <is>
          <t>5.11-5.17</t>
        </is>
      </c>
      <c r="B29" s="27" t="inlineStr">
        <is>
          <t>5.11-5.17</t>
        </is>
      </c>
      <c r="C29" s="34" t="n">
        <v>885645733215</v>
      </c>
      <c r="D29" s="27" t="inlineStr">
        <is>
          <t>大骨牛肉</t>
        </is>
      </c>
      <c r="E29" s="27" t="inlineStr">
        <is>
          <t>进口营多大骨番茄牛肉味营多捞面意式泡面宿舍宿舍宵夜速食方便面</t>
        </is>
      </c>
      <c r="F29" s="31" t="n">
        <v>19.2</v>
      </c>
      <c r="G29" s="35">
        <f>IFERROR(F29/1.13,0)</f>
        <v/>
      </c>
      <c r="H29" s="36" t="n">
        <v>1</v>
      </c>
      <c r="I29" s="37" t="n">
        <v>0.0002239140170174653</v>
      </c>
      <c r="J29" s="38">
        <f>IFERROR(F29/H29,0)</f>
        <v/>
      </c>
      <c r="K29" s="31" t="n">
        <v>5.06487908643081</v>
      </c>
      <c r="L29" s="31" t="n">
        <v>14.5449507389163</v>
      </c>
      <c r="M29" s="38">
        <f>IFERROR(L29/K29,0)</f>
        <v/>
      </c>
      <c r="N29" s="31" t="n">
        <v>0.454724585759068</v>
      </c>
      <c r="O29" s="31" t="n">
        <v>1.21435064935065</v>
      </c>
      <c r="P29" s="38">
        <f>IFERROR(O29/N29,0)</f>
        <v/>
      </c>
      <c r="Q29" s="31" t="n">
        <v>5.519604</v>
      </c>
      <c r="R29" s="31" t="n">
        <v>15.759301</v>
      </c>
      <c r="S29" s="38">
        <f>IFERROR(R29/Q29,0)</f>
        <v/>
      </c>
      <c r="T29" s="39">
        <f>IFERROR(Q29/SUMIF($A:$A,A29,$Q:$Q),0)</f>
        <v/>
      </c>
      <c r="U29" s="39">
        <f>IFERROR(Q29/F29,0)</f>
        <v/>
      </c>
      <c r="V29" s="35">
        <f>F29-R29</f>
        <v/>
      </c>
      <c r="W29" s="39">
        <f>IFERROR(V29/F29,0)</f>
        <v/>
      </c>
      <c r="X29" s="29" t="n">
        <v>0.4279</v>
      </c>
      <c r="Y29" s="31" t="n">
        <v>3.373</v>
      </c>
      <c r="Z29" s="39">
        <f>IFERROR(Y29/G29,0)</f>
        <v/>
      </c>
      <c r="AA29" s="35">
        <f>Y29-K29/1.06</f>
        <v/>
      </c>
      <c r="AB29" s="39">
        <f>IFERROR(AA29/G29,0)</f>
        <v/>
      </c>
      <c r="AC29" s="31" t="n">
        <v>-2.237852</v>
      </c>
      <c r="AD29" s="39">
        <f>IFERROR(AC29/G29,0)</f>
        <v/>
      </c>
    </row>
    <row r="30">
      <c r="A30" s="27" t="inlineStr">
        <is>
          <t>5.11-5.17</t>
        </is>
      </c>
      <c r="B30" s="27" t="inlineStr">
        <is>
          <t>5.11-5.17</t>
        </is>
      </c>
      <c r="C30" s="34" t="n">
        <v>1019572719528</v>
      </c>
      <c r="D30" s="27" t="inlineStr">
        <is>
          <t>日韩袋面</t>
        </is>
      </c>
      <c r="E30" s="27" t="inlineStr">
        <is>
          <t>新品营多捞面韩式辣蘑菇汤面泡面方便面速食干拌面宿舍宵夜旅行</t>
        </is>
      </c>
      <c r="F30" s="31" t="n">
        <v>17.9</v>
      </c>
      <c r="G30" s="35">
        <f>IFERROR(F30/1.13,0)</f>
        <v/>
      </c>
      <c r="H30" s="36" t="n">
        <v>1</v>
      </c>
      <c r="I30" s="37" t="n">
        <v>0.0002239140170174653</v>
      </c>
      <c r="J30" s="38">
        <f>IFERROR(F30/H30,0)</f>
        <v/>
      </c>
      <c r="K30" s="31" t="n">
        <v>0.824879086430811</v>
      </c>
      <c r="L30" s="31" t="n">
        <v>0.964950738916263</v>
      </c>
      <c r="M30" s="38">
        <f>IFERROR(L30/K30,0)</f>
        <v/>
      </c>
      <c r="N30" s="31" t="n">
        <v>0.454724585759068</v>
      </c>
      <c r="O30" s="31" t="n">
        <v>1.21435064935065</v>
      </c>
      <c r="P30" s="38">
        <f>IFERROR(O30/N30,0)</f>
        <v/>
      </c>
      <c r="Q30" s="31" t="n">
        <v>1.279604</v>
      </c>
      <c r="R30" s="31" t="n">
        <v>2.179301</v>
      </c>
      <c r="S30" s="38">
        <f>IFERROR(R30/Q30,0)</f>
        <v/>
      </c>
      <c r="T30" s="39">
        <f>IFERROR(Q30/SUMIF($A:$A,A30,$Q:$Q),0)</f>
        <v/>
      </c>
      <c r="U30" s="39">
        <f>IFERROR(Q30/F30,0)</f>
        <v/>
      </c>
      <c r="V30" s="35">
        <f>F30-R30</f>
        <v/>
      </c>
      <c r="W30" s="39">
        <f>IFERROR(V30/F30,0)</f>
        <v/>
      </c>
      <c r="X30" s="29" t="n">
        <v>0.4279</v>
      </c>
      <c r="Y30" s="31" t="n">
        <v>3.149</v>
      </c>
      <c r="Z30" s="39">
        <f>IFERROR(Y30/G30,0)</f>
        <v/>
      </c>
      <c r="AA30" s="35">
        <f>Y30-K30/1.06</f>
        <v/>
      </c>
      <c r="AB30" s="39">
        <f>IFERROR(AA30/G30,0)</f>
        <v/>
      </c>
      <c r="AC30" s="31" t="n">
        <v>1.538148</v>
      </c>
      <c r="AD30" s="39">
        <f>IFERROR(AC30/G30,0)</f>
        <v/>
      </c>
    </row>
    <row r="31">
      <c r="A31" s="27" t="inlineStr">
        <is>
          <t>5.11-5.17</t>
        </is>
      </c>
      <c r="B31" s="27" t="inlineStr">
        <is>
          <t>5.11-5.17</t>
        </is>
      </c>
      <c r="C31" s="34" t="n">
        <v>773972883430</v>
      </c>
      <c r="D31" s="27" t="inlineStr">
        <is>
          <t>日式袋面</t>
        </is>
      </c>
      <c r="E31" s="27" t="inlineStr">
        <is>
          <t>营多捞面韩式火鸡面辣蘑菇汤面袋装泡面辣味速食方便面宿舍宵夜面</t>
        </is>
      </c>
      <c r="F31" s="31" t="n">
        <v>18.9</v>
      </c>
      <c r="G31" s="35">
        <f>IFERROR(F31/1.13,0)</f>
        <v/>
      </c>
      <c r="H31" s="36" t="n">
        <v>1</v>
      </c>
      <c r="I31" s="37" t="n">
        <v>0.0002239140170174653</v>
      </c>
      <c r="J31" s="38">
        <f>IFERROR(F31/H31,0)</f>
        <v/>
      </c>
      <c r="K31" s="31" t="n">
        <v>15.6048790864308</v>
      </c>
      <c r="L31" s="31" t="n">
        <v>0.964950738916263</v>
      </c>
      <c r="M31" s="38">
        <f>IFERROR(L31/K31,0)</f>
        <v/>
      </c>
      <c r="N31" s="31" t="n">
        <v>0.454724585759068</v>
      </c>
      <c r="O31" s="31" t="n">
        <v>1.21435064935065</v>
      </c>
      <c r="P31" s="38">
        <f>IFERROR(O31/N31,0)</f>
        <v/>
      </c>
      <c r="Q31" s="31" t="n">
        <v>16.059604</v>
      </c>
      <c r="R31" s="31" t="n">
        <v>2.179301</v>
      </c>
      <c r="S31" s="38">
        <f>IFERROR(R31/Q31,0)</f>
        <v/>
      </c>
      <c r="T31" s="39">
        <f>IFERROR(Q31/SUMIF($A:$A,A31,$Q:$Q),0)</f>
        <v/>
      </c>
      <c r="U31" s="39">
        <f>IFERROR(Q31/F31,0)</f>
        <v/>
      </c>
      <c r="V31" s="35">
        <f>F31-R31</f>
        <v/>
      </c>
      <c r="W31" s="39">
        <f>IFERROR(V31/F31,0)</f>
        <v/>
      </c>
      <c r="X31" s="29" t="n">
        <v>0.4279</v>
      </c>
      <c r="Y31" s="31" t="n">
        <v>2.317</v>
      </c>
      <c r="Z31" s="39">
        <f>IFERROR(Y31/G31,0)</f>
        <v/>
      </c>
      <c r="AA31" s="35">
        <f>Y31-K31/1.06</f>
        <v/>
      </c>
      <c r="AB31" s="39">
        <f>IFERROR(AA31/G31,0)</f>
        <v/>
      </c>
      <c r="AC31" s="31" t="n">
        <v>-13.237248</v>
      </c>
      <c r="AD31" s="39">
        <f>IFERROR(AC31/G31,0)</f>
        <v/>
      </c>
    </row>
    <row r="32">
      <c r="A32" s="27" t="inlineStr">
        <is>
          <t>5.11-5.17</t>
        </is>
      </c>
      <c r="B32" s="27" t="inlineStr">
        <is>
          <t>5.11-5.17</t>
        </is>
      </c>
      <c r="C32" s="34" t="n">
        <v>898076297965</v>
      </c>
      <c r="D32" s="27" t="inlineStr">
        <is>
          <t>番茄牛肉</t>
        </is>
      </c>
      <c r="E32" s="27" t="inlineStr">
        <is>
          <t>进口正品意面风味奶香番茄牛肉味意式拌面营多捞面早餐儿童宝妈餐</t>
        </is>
      </c>
      <c r="F32" s="31" t="n">
        <v>190.49</v>
      </c>
      <c r="G32" s="35">
        <f>IFERROR(F32/1.13,0)</f>
        <v/>
      </c>
      <c r="H32" s="36" t="n">
        <v>13</v>
      </c>
      <c r="I32" s="37" t="n">
        <v>0.002910882221227049</v>
      </c>
      <c r="J32" s="38">
        <f>IFERROR(F32/H32,0)</f>
        <v/>
      </c>
      <c r="K32" s="31" t="n">
        <v>52.5634281236005</v>
      </c>
      <c r="L32" s="31" t="n">
        <v>133.044359605911</v>
      </c>
      <c r="M32" s="38">
        <f>IFERROR(L32/K32,0)</f>
        <v/>
      </c>
      <c r="N32" s="31" t="n">
        <v>5.91141961486789</v>
      </c>
      <c r="O32" s="31" t="n">
        <v>15.7865584415584</v>
      </c>
      <c r="P32" s="38">
        <f>IFERROR(O32/N32,0)</f>
        <v/>
      </c>
      <c r="Q32" s="31" t="n">
        <v>58.474848</v>
      </c>
      <c r="R32" s="31" t="n">
        <v>148.830918</v>
      </c>
      <c r="S32" s="38">
        <f>IFERROR(R32/Q32,0)</f>
        <v/>
      </c>
      <c r="T32" s="39">
        <f>IFERROR(Q32/SUMIF($A:$A,A32,$Q:$Q),0)</f>
        <v/>
      </c>
      <c r="U32" s="39">
        <f>IFERROR(Q32/F32,0)</f>
        <v/>
      </c>
      <c r="V32" s="35">
        <f>F32-R32</f>
        <v/>
      </c>
      <c r="W32" s="39">
        <f>IFERROR(V32/F32,0)</f>
        <v/>
      </c>
      <c r="X32" s="29" t="n">
        <v>5.562696</v>
      </c>
      <c r="Y32" s="31" t="n">
        <v>1.53</v>
      </c>
      <c r="Z32" s="39">
        <f>IFERROR(Y32/G32,0)</f>
        <v/>
      </c>
      <c r="AA32" s="35">
        <f>Y32-K32/1.06</f>
        <v/>
      </c>
      <c r="AB32" s="39">
        <f>IFERROR(AA32/G32,0)</f>
        <v/>
      </c>
      <c r="AC32" s="31" t="n">
        <v>-58.882777</v>
      </c>
      <c r="AD32" s="39">
        <f>IFERROR(AC32/G32,0)</f>
        <v/>
      </c>
    </row>
    <row r="33">
      <c r="A33" s="27" t="inlineStr">
        <is>
          <t>5.11-5.17</t>
        </is>
      </c>
      <c r="B33" s="27" t="inlineStr">
        <is>
          <t>5.11-5.17</t>
        </is>
      </c>
      <c r="C33" s="34" t="n">
        <v>754828376158</v>
      </c>
      <c r="D33" s="27" t="inlineStr">
        <is>
          <t>六口味混搭</t>
        </is>
      </c>
      <c r="E33" s="27" t="inlineStr">
        <is>
          <t>进口营多捞面汤面拌面六口味混合方便面速食食品泡面</t>
        </is>
      </c>
      <c r="F33" s="31" t="n">
        <v>16.51</v>
      </c>
      <c r="G33" s="35">
        <f>IFERROR(F33/1.13,0)</f>
        <v/>
      </c>
      <c r="H33" s="36" t="n">
        <v>1</v>
      </c>
      <c r="I33" s="37" t="n">
        <v>0.0002239140170174653</v>
      </c>
      <c r="J33" s="38">
        <f>IFERROR(F33/H33,0)</f>
        <v/>
      </c>
      <c r="K33" s="31" t="n">
        <v>1.96487908643081</v>
      </c>
      <c r="L33" s="31" t="n">
        <v>17.4749507389163</v>
      </c>
      <c r="M33" s="38">
        <f>IFERROR(L33/K33,0)</f>
        <v/>
      </c>
      <c r="N33" s="31" t="n">
        <v>0.454724585759068</v>
      </c>
      <c r="O33" s="31" t="n">
        <v>1.21435064935065</v>
      </c>
      <c r="P33" s="38">
        <f>IFERROR(O33/N33,0)</f>
        <v/>
      </c>
      <c r="Q33" s="31" t="n">
        <v>2.419604</v>
      </c>
      <c r="R33" s="31" t="n">
        <v>18.689301</v>
      </c>
      <c r="S33" s="38">
        <f>IFERROR(R33/Q33,0)</f>
        <v/>
      </c>
      <c r="T33" s="39">
        <f>IFERROR(Q33/SUMIF($A:$A,A33,$Q:$Q),0)</f>
        <v/>
      </c>
      <c r="U33" s="39">
        <f>IFERROR(Q33/F33,0)</f>
        <v/>
      </c>
      <c r="V33" s="35">
        <f>F33-R33</f>
        <v/>
      </c>
      <c r="W33" s="39">
        <f>IFERROR(V33/F33,0)</f>
        <v/>
      </c>
      <c r="X33" s="29" t="n">
        <v>0.4279</v>
      </c>
      <c r="Y33" s="31" t="n">
        <v>1.17</v>
      </c>
      <c r="Z33" s="39">
        <f>IFERROR(Y33/G33,0)</f>
        <v/>
      </c>
      <c r="AA33" s="35">
        <f>Y33-K33/1.06</f>
        <v/>
      </c>
      <c r="AB33" s="39">
        <f>IFERROR(AA33/G33,0)</f>
        <v/>
      </c>
      <c r="AC33" s="31" t="n">
        <v>-1.516324</v>
      </c>
      <c r="AD33" s="39">
        <f>IFERROR(AC33/G33,0)</f>
        <v/>
      </c>
    </row>
    <row r="34">
      <c r="A34" s="27" t="inlineStr">
        <is>
          <t>5.11-5.17</t>
        </is>
      </c>
      <c r="B34" s="27" t="inlineStr">
        <is>
          <t>5.11-5.17</t>
        </is>
      </c>
      <c r="C34" s="34" t="n">
        <v>903183018417</v>
      </c>
      <c r="D34" s="27" t="inlineStr">
        <is>
          <t>七口味混搭</t>
        </is>
      </c>
      <c r="E34" s="27" t="inlineStr">
        <is>
          <t>进口营多捞面汤面拌面七口味混合方便面速拉面宿舍拌面泡面食食品</t>
        </is>
      </c>
      <c r="F34" s="31" t="n">
        <v>18.46</v>
      </c>
      <c r="G34" s="35">
        <f>IFERROR(F34/1.13,0)</f>
        <v/>
      </c>
      <c r="H34" s="36" t="n">
        <v>1</v>
      </c>
      <c r="I34" s="37" t="n">
        <v>0.0002239140170174653</v>
      </c>
      <c r="J34" s="38">
        <f>IFERROR(F34/H34,0)</f>
        <v/>
      </c>
      <c r="K34" s="31" t="n">
        <v>2.67487908643081</v>
      </c>
      <c r="L34" s="31" t="n">
        <v>0.964950738916263</v>
      </c>
      <c r="M34" s="38">
        <f>IFERROR(L34/K34,0)</f>
        <v/>
      </c>
      <c r="N34" s="31" t="n">
        <v>0.454724585759068</v>
      </c>
      <c r="O34" s="31" t="n">
        <v>1.21435064935065</v>
      </c>
      <c r="P34" s="38">
        <f>IFERROR(O34/N34,0)</f>
        <v/>
      </c>
      <c r="Q34" s="31" t="n">
        <v>3.129604</v>
      </c>
      <c r="R34" s="31" t="n">
        <v>2.179301</v>
      </c>
      <c r="S34" s="38">
        <f>IFERROR(R34/Q34,0)</f>
        <v/>
      </c>
      <c r="T34" s="39">
        <f>IFERROR(Q34/SUMIF($A:$A,A34,$Q:$Q),0)</f>
        <v/>
      </c>
      <c r="U34" s="39">
        <f>IFERROR(Q34/F34,0)</f>
        <v/>
      </c>
      <c r="V34" s="35">
        <f>F34-R34</f>
        <v/>
      </c>
      <c r="W34" s="39">
        <f>IFERROR(V34/F34,0)</f>
        <v/>
      </c>
      <c r="X34" s="29" t="n">
        <v>0.4279</v>
      </c>
      <c r="Y34" s="31" t="n">
        <v>0.977</v>
      </c>
      <c r="Z34" s="39">
        <f>IFERROR(Y34/G34,0)</f>
        <v/>
      </c>
      <c r="AA34" s="35">
        <f>Y34-K34/1.06</f>
        <v/>
      </c>
      <c r="AB34" s="39">
        <f>IFERROR(AA34/G34,0)</f>
        <v/>
      </c>
      <c r="AC34" s="31" t="n">
        <v>-2.379135</v>
      </c>
      <c r="AD34" s="39">
        <f>IFERROR(AC34/G34,0)</f>
        <v/>
      </c>
    </row>
    <row r="35">
      <c r="A35" s="27" t="inlineStr">
        <is>
          <t>5.11-5.17</t>
        </is>
      </c>
      <c r="B35" s="27" t="inlineStr">
        <is>
          <t>5.11-5.17</t>
        </is>
      </c>
      <c r="C35" s="34" t="n">
        <v>869217868453</v>
      </c>
      <c r="D35" s="27" t="inlineStr">
        <is>
          <t>韩式杯面</t>
        </is>
      </c>
      <c r="E35" s="27" t="inlineStr">
        <is>
          <t>营多捞面韩式甜辣炸鸡辣蘑菇杯面方便面拌面泡面宿舍速食面</t>
        </is>
      </c>
      <c r="F35" s="31" t="n">
        <v>15.53</v>
      </c>
      <c r="G35" s="35">
        <f>IFERROR(F35/1.13,0)</f>
        <v/>
      </c>
      <c r="H35" s="36" t="n">
        <v>1</v>
      </c>
      <c r="I35" s="37" t="n">
        <v>0.0002239140170174653</v>
      </c>
      <c r="J35" s="38">
        <f>IFERROR(F35/H35,0)</f>
        <v/>
      </c>
      <c r="K35" s="31" t="n">
        <v>8.024879086430809</v>
      </c>
      <c r="L35" s="31" t="n">
        <v>0.964950738916263</v>
      </c>
      <c r="M35" s="38">
        <f>IFERROR(L35/K35,0)</f>
        <v/>
      </c>
      <c r="N35" s="31" t="n">
        <v>0.454724585759068</v>
      </c>
      <c r="O35" s="31" t="n">
        <v>1.21435064935065</v>
      </c>
      <c r="P35" s="38">
        <f>IFERROR(O35/N35,0)</f>
        <v/>
      </c>
      <c r="Q35" s="31" t="n">
        <v>8.479604</v>
      </c>
      <c r="R35" s="31" t="n">
        <v>2.179301</v>
      </c>
      <c r="S35" s="38">
        <f>IFERROR(R35/Q35,0)</f>
        <v/>
      </c>
      <c r="T35" s="39">
        <f>IFERROR(Q35/SUMIF($A:$A,A35,$Q:$Q),0)</f>
        <v/>
      </c>
      <c r="U35" s="39">
        <f>IFERROR(Q35/F35,0)</f>
        <v/>
      </c>
      <c r="V35" s="35">
        <f>F35-R35</f>
        <v/>
      </c>
      <c r="W35" s="39">
        <f>IFERROR(V35/F35,0)</f>
        <v/>
      </c>
      <c r="X35" s="29" t="n">
        <v>0.4279</v>
      </c>
      <c r="Y35" s="31" t="n">
        <v>0.788</v>
      </c>
      <c r="Z35" s="39">
        <f>IFERROR(Y35/G35,0)</f>
        <v/>
      </c>
      <c r="AA35" s="35">
        <f>Y35-K35/1.06</f>
        <v/>
      </c>
      <c r="AB35" s="39">
        <f>IFERROR(AA35/G35,0)</f>
        <v/>
      </c>
      <c r="AC35" s="31" t="n">
        <v>-7.615305</v>
      </c>
      <c r="AD35" s="39">
        <f>IFERROR(AC35/G35,0)</f>
        <v/>
      </c>
    </row>
    <row r="36">
      <c r="A36" s="27" t="inlineStr">
        <is>
          <t>5.11-5.17</t>
        </is>
      </c>
      <c r="B36" s="27" t="inlineStr">
        <is>
          <t>5.11-5.17</t>
        </is>
      </c>
      <c r="C36" s="34" t="n">
        <v>1019397839311</v>
      </c>
      <c r="D36" s="27" t="inlineStr">
        <is>
          <t>多口味混搭</t>
        </is>
      </c>
      <c r="E36" s="27" t="inlineStr">
        <is>
          <t>营多捞面原味番茄牛肉袋装泡面汤面干拌面方便面宿舍速食旅行宵夜</t>
        </is>
      </c>
      <c r="F36" s="31" t="n">
        <v>13.41</v>
      </c>
      <c r="G36" s="35">
        <f>IFERROR(F36/1.13,0)</f>
        <v/>
      </c>
      <c r="H36" s="36" t="n">
        <v>1</v>
      </c>
      <c r="I36" s="37" t="n">
        <v>0.0002239140170174653</v>
      </c>
      <c r="J36" s="38">
        <f>IFERROR(F36/H36,0)</f>
        <v/>
      </c>
      <c r="K36" s="31" t="n">
        <v>0.914879086430811</v>
      </c>
      <c r="L36" s="31" t="n">
        <v>0.964950738916263</v>
      </c>
      <c r="M36" s="38">
        <f>IFERROR(L36/K36,0)</f>
        <v/>
      </c>
      <c r="N36" s="31" t="n">
        <v>0.454724585759068</v>
      </c>
      <c r="O36" s="31" t="n">
        <v>1.21435064935065</v>
      </c>
      <c r="P36" s="38">
        <f>IFERROR(O36/N36,0)</f>
        <v/>
      </c>
      <c r="Q36" s="31" t="n">
        <v>1.369604</v>
      </c>
      <c r="R36" s="31" t="n">
        <v>2.179301</v>
      </c>
      <c r="S36" s="38">
        <f>IFERROR(R36/Q36,0)</f>
        <v/>
      </c>
      <c r="T36" s="39">
        <f>IFERROR(Q36/SUMIF($A:$A,A36,$Q:$Q),0)</f>
        <v/>
      </c>
      <c r="U36" s="39">
        <f>IFERROR(Q36/F36,0)</f>
        <v/>
      </c>
      <c r="V36" s="35">
        <f>F36-R36</f>
        <v/>
      </c>
      <c r="W36" s="39">
        <f>IFERROR(V36/F36,0)</f>
        <v/>
      </c>
      <c r="X36" s="29" t="n">
        <v>0.4279</v>
      </c>
      <c r="Y36" s="31" t="n">
        <v>0.111</v>
      </c>
      <c r="Z36" s="39">
        <f>IFERROR(Y36/G36,0)</f>
        <v/>
      </c>
      <c r="AA36" s="35">
        <f>Y36-K36/1.06</f>
        <v/>
      </c>
      <c r="AB36" s="39">
        <f>IFERROR(AA36/G36,0)</f>
        <v/>
      </c>
      <c r="AC36" s="31" t="n">
        <v>-1.584758</v>
      </c>
      <c r="AD36" s="39">
        <f>IFERROR(AC36/G36,0)</f>
        <v/>
      </c>
    </row>
    <row r="37">
      <c r="A37" s="27" t="inlineStr">
        <is>
          <t>5.11-5.17</t>
        </is>
      </c>
      <c r="B37" s="27" t="inlineStr">
        <is>
          <t>5.11-5.17</t>
        </is>
      </c>
      <c r="C37" s="34" t="n">
        <v>916072786304</v>
      </c>
      <c r="D37" s="27" t="inlineStr">
        <is>
          <t>小规格</t>
        </is>
      </c>
      <c r="E37" s="27" t="inlineStr">
        <is>
          <t>营多印尼进口营多捞面方便面火鸡面干拌面10包宿舍速食泡面夜宵</t>
        </is>
      </c>
      <c r="F37" s="31" t="n">
        <v>39.23</v>
      </c>
      <c r="G37" s="35">
        <f>IFERROR(F37/1.13,0)</f>
        <v/>
      </c>
      <c r="H37" s="36" t="n">
        <v>3</v>
      </c>
      <c r="I37" s="37" t="n">
        <v>0.0006717420510523958</v>
      </c>
      <c r="J37" s="38">
        <f>IFERROR(F37/H37,0)</f>
        <v/>
      </c>
      <c r="K37" s="31" t="n">
        <v>5.27463725929243</v>
      </c>
      <c r="L37" s="31" t="n">
        <v>2.89485221674879</v>
      </c>
      <c r="M37" s="38">
        <f>IFERROR(L37/K37,0)</f>
        <v/>
      </c>
      <c r="N37" s="31" t="n">
        <v>1.36417375727721</v>
      </c>
      <c r="O37" s="31" t="n">
        <v>3.64305194805195</v>
      </c>
      <c r="P37" s="38">
        <f>IFERROR(O37/N37,0)</f>
        <v/>
      </c>
      <c r="Q37" s="31" t="n">
        <v>6.638811</v>
      </c>
      <c r="R37" s="31" t="n">
        <v>6.537904</v>
      </c>
      <c r="S37" s="38">
        <f>IFERROR(R37/Q37,0)</f>
        <v/>
      </c>
      <c r="T37" s="39">
        <f>IFERROR(Q37/SUMIF($A:$A,A37,$Q:$Q),0)</f>
        <v/>
      </c>
      <c r="U37" s="39">
        <f>IFERROR(Q37/F37,0)</f>
        <v/>
      </c>
      <c r="V37" s="35">
        <f>F37-R37</f>
        <v/>
      </c>
      <c r="W37" s="39">
        <f>IFERROR(V37/F37,0)</f>
        <v/>
      </c>
      <c r="X37" s="29" t="n">
        <v>1.283699</v>
      </c>
      <c r="Y37" s="31" t="n">
        <v>-0.484</v>
      </c>
      <c r="Z37" s="39">
        <f>IFERROR(Y37/G37,0)</f>
        <v/>
      </c>
      <c r="AA37" s="35">
        <f>Y37-K37/1.06</f>
        <v/>
      </c>
      <c r="AB37" s="39">
        <f>IFERROR(AA37/G37,0)</f>
        <v/>
      </c>
      <c r="AC37" s="31" t="n">
        <v>-7.958066</v>
      </c>
      <c r="AD37" s="39">
        <f>IFERROR(AC37/G37,0)</f>
        <v/>
      </c>
    </row>
    <row r="38">
      <c r="A38" s="27" t="inlineStr">
        <is>
          <t>5.11-5.17</t>
        </is>
      </c>
      <c r="B38" s="27" t="inlineStr">
        <is>
          <t>5.11-5.17</t>
        </is>
      </c>
      <c r="C38" s="34" t="n">
        <v>976467954327</v>
      </c>
      <c r="D38" s="27" t="inlineStr">
        <is>
          <t>日韩杯面</t>
        </is>
      </c>
      <c r="E38" s="27" t="inlineStr">
        <is>
          <t>【天猫U选】indomie营多捞面辣蘑菇味日式辣味杯面</t>
        </is>
      </c>
      <c r="F38" s="31" t="n">
        <v>15.17</v>
      </c>
      <c r="G38" s="35">
        <f>IFERROR(F38/1.13,0)</f>
        <v/>
      </c>
      <c r="H38" s="36" t="n">
        <v>2</v>
      </c>
      <c r="I38" s="37" t="n">
        <v>0.0004478280340349306</v>
      </c>
      <c r="J38" s="38">
        <f>IFERROR(F38/H38,0)</f>
        <v/>
      </c>
      <c r="K38" s="31" t="n">
        <v>0.469758172861622</v>
      </c>
      <c r="L38" s="31" t="n">
        <v>1.92990147783253</v>
      </c>
      <c r="M38" s="38">
        <f>IFERROR(L38/K38,0)</f>
        <v/>
      </c>
      <c r="N38" s="31" t="n">
        <v>0.909449171518137</v>
      </c>
      <c r="O38" s="31" t="n">
        <v>2.4287012987013</v>
      </c>
      <c r="P38" s="38">
        <f>IFERROR(O38/N38,0)</f>
        <v/>
      </c>
      <c r="Q38" s="31" t="n">
        <v>1.379207</v>
      </c>
      <c r="R38" s="31" t="n">
        <v>4.358603</v>
      </c>
      <c r="S38" s="38">
        <f>IFERROR(R38/Q38,0)</f>
        <v/>
      </c>
      <c r="T38" s="39">
        <f>IFERROR(Q38/SUMIF($A:$A,A38,$Q:$Q),0)</f>
        <v/>
      </c>
      <c r="U38" s="39">
        <f>IFERROR(Q38/F38,0)</f>
        <v/>
      </c>
      <c r="V38" s="35">
        <f>F38-R38</f>
        <v/>
      </c>
      <c r="W38" s="39">
        <f>IFERROR(V38/F38,0)</f>
        <v/>
      </c>
      <c r="X38" s="29" t="n">
        <v>0.855799</v>
      </c>
      <c r="Y38" s="31" t="n">
        <v>-6.508</v>
      </c>
      <c r="Z38" s="39">
        <f>IFERROR(Y38/G38,0)</f>
        <v/>
      </c>
      <c r="AA38" s="35">
        <f>Y38-K38/1.06</f>
        <v/>
      </c>
      <c r="AB38" s="39">
        <f>IFERROR(AA38/G38,0)</f>
        <v/>
      </c>
      <c r="AC38" s="31" t="n">
        <v>-8.616497000000001</v>
      </c>
      <c r="AD38" s="39">
        <f>IFERROR(AC38/G38,0)</f>
        <v/>
      </c>
    </row>
    <row r="39">
      <c r="A39" s="27" t="inlineStr">
        <is>
          <t>5.11-5.17</t>
        </is>
      </c>
      <c r="B39" s="27" t="inlineStr">
        <is>
          <t>5.11-5.17</t>
        </is>
      </c>
      <c r="C39" s="34" t="n">
        <v>976466902934</v>
      </c>
      <c r="D39" s="27" t="inlineStr">
        <is>
          <t>【U选】日式原杯1+日式辣杯1</t>
        </is>
      </c>
      <c r="E39" s="27" t="inlineStr">
        <is>
          <t>【天猫U选】indomie营多捞面辣火鸡味日式鸡肉原味杯面</t>
        </is>
      </c>
      <c r="F39" s="31" t="n">
        <v>72.81999999999999</v>
      </c>
      <c r="G39" s="35">
        <f>IFERROR(F39/1.13,0)</f>
        <v/>
      </c>
      <c r="H39" s="36" t="n">
        <v>9</v>
      </c>
      <c r="I39" s="37" t="n">
        <v>0.002015226153157188</v>
      </c>
      <c r="J39" s="38">
        <f>IFERROR(F39/H39,0)</f>
        <v/>
      </c>
      <c r="K39" s="31" t="n">
        <v>2.1139117778773</v>
      </c>
      <c r="L39" s="31" t="n">
        <v>8.684556650246369</v>
      </c>
      <c r="M39" s="38">
        <f>IFERROR(L39/K39,0)</f>
        <v/>
      </c>
      <c r="N39" s="31" t="n">
        <v>4.09252127183162</v>
      </c>
      <c r="O39" s="31" t="n">
        <v>10.9291558441558</v>
      </c>
      <c r="P39" s="38">
        <f>IFERROR(O39/N39,0)</f>
        <v/>
      </c>
      <c r="Q39" s="31" t="n">
        <v>6.206433</v>
      </c>
      <c r="R39" s="31" t="n">
        <v>19.613712</v>
      </c>
      <c r="S39" s="38">
        <f>IFERROR(R39/Q39,0)</f>
        <v/>
      </c>
      <c r="T39" s="39">
        <f>IFERROR(Q39/SUMIF($A:$A,A39,$Q:$Q),0)</f>
        <v/>
      </c>
      <c r="U39" s="39">
        <f>IFERROR(Q39/F39,0)</f>
        <v/>
      </c>
      <c r="V39" s="35">
        <f>F39-R39</f>
        <v/>
      </c>
      <c r="W39" s="39">
        <f>IFERROR(V39/F39,0)</f>
        <v/>
      </c>
      <c r="X39" s="29" t="n">
        <v>3.851097</v>
      </c>
      <c r="Y39" s="31" t="n">
        <v>-25.561</v>
      </c>
      <c r="Z39" s="39">
        <f>IFERROR(Y39/G39,0)</f>
        <v/>
      </c>
      <c r="AA39" s="35">
        <f>Y39-K39/1.06</f>
        <v/>
      </c>
      <c r="AB39" s="39">
        <f>IFERROR(AA39/G39,0)</f>
        <v/>
      </c>
      <c r="AC39" s="31" t="n">
        <v>-35.049236</v>
      </c>
      <c r="AD39" s="39">
        <f>IFERROR(AC39/G39,0)</f>
        <v/>
      </c>
    </row>
    <row r="40">
      <c r="A40" s="27" t="inlineStr">
        <is>
          <t>5.11-5.17</t>
        </is>
      </c>
      <c r="B40" s="27" t="inlineStr">
        <is>
          <t>5.11-5.17</t>
        </is>
      </c>
      <c r="C40" s="34" t="n">
        <v>976479938842</v>
      </c>
      <c r="D40" s="27" t="inlineStr">
        <is>
          <t>【U选】原味5</t>
        </is>
      </c>
      <c r="E40" s="27" t="inlineStr">
        <is>
          <t>【天猫U选】indomie营多大骨牛肉味捞面拌面5包</t>
        </is>
      </c>
      <c r="F40" s="31" t="n">
        <v>144.54</v>
      </c>
      <c r="G40" s="35">
        <f>IFERROR(F40/1.13,0)</f>
        <v/>
      </c>
      <c r="H40" s="36" t="n">
        <v>18</v>
      </c>
      <c r="I40" s="37" t="n">
        <v>0.004030452306314375</v>
      </c>
      <c r="J40" s="38">
        <f>IFERROR(F40/H40,0)</f>
        <v/>
      </c>
      <c r="K40" s="31" t="n">
        <v>4.2278235557546</v>
      </c>
      <c r="L40" s="31" t="n">
        <v>17.3691133004927</v>
      </c>
      <c r="M40" s="38">
        <f>IFERROR(L40/K40,0)</f>
        <v/>
      </c>
      <c r="N40" s="31" t="n">
        <v>8.185042543663229</v>
      </c>
      <c r="O40" s="31" t="n">
        <v>21.8583116883117</v>
      </c>
      <c r="P40" s="38">
        <f>IFERROR(O40/N40,0)</f>
        <v/>
      </c>
      <c r="Q40" s="31" t="n">
        <v>12.412866</v>
      </c>
      <c r="R40" s="31" t="n">
        <v>39.227425</v>
      </c>
      <c r="S40" s="38">
        <f>IFERROR(R40/Q40,0)</f>
        <v/>
      </c>
      <c r="T40" s="39">
        <f>IFERROR(Q40/SUMIF($A:$A,A40,$Q:$Q),0)</f>
        <v/>
      </c>
      <c r="U40" s="39">
        <f>IFERROR(Q40/F40,0)</f>
        <v/>
      </c>
      <c r="V40" s="35">
        <f>F40-R40</f>
        <v/>
      </c>
      <c r="W40" s="39">
        <f>IFERROR(V40/F40,0)</f>
        <v/>
      </c>
      <c r="X40" s="29" t="n">
        <v>7.702194</v>
      </c>
      <c r="Y40" s="31" t="n">
        <v>-77.292</v>
      </c>
      <c r="Z40" s="39">
        <f>IFERROR(Y40/G40,0)</f>
        <v/>
      </c>
      <c r="AA40" s="35">
        <f>Y40-K40/1.06</f>
        <v/>
      </c>
      <c r="AB40" s="39">
        <f>IFERROR(AA40/G40,0)</f>
        <v/>
      </c>
      <c r="AC40" s="31" t="n">
        <v>-96.268472</v>
      </c>
      <c r="AD40" s="39">
        <f>IFERROR(AC40/G40,0)</f>
        <v/>
      </c>
    </row>
    <row r="41">
      <c r="A41" s="27" t="inlineStr">
        <is>
          <t>5.25-5.31</t>
        </is>
      </c>
      <c r="B41" s="27" t="inlineStr">
        <is>
          <t>5.25-5.31</t>
        </is>
      </c>
      <c r="C41" s="34" t="n">
        <v>668566625747</v>
      </c>
      <c r="D41" s="27" t="inlineStr">
        <is>
          <t>袋面主链接</t>
        </is>
      </c>
      <c r="E41" s="27" t="inlineStr">
        <is>
          <t>印尼营多捞面进口网红泡面袋装方便面速食食品拉面火鸡面拌面整箱</t>
        </is>
      </c>
      <c r="F41" s="31" t="n">
        <v>44844.950000001</v>
      </c>
      <c r="G41" s="35">
        <f>IFERROR(F41/1.13,0)</f>
        <v/>
      </c>
      <c r="H41" s="36" t="n">
        <v>1819</v>
      </c>
      <c r="I41" s="37" t="n">
        <v>0.3921103686139254</v>
      </c>
      <c r="J41" s="38">
        <f>IFERROR(F41/H41,0)</f>
        <v/>
      </c>
      <c r="K41" s="31" t="n">
        <v>7100.33867212761</v>
      </c>
      <c r="L41" s="31" t="n">
        <v>33168.3263677517</v>
      </c>
      <c r="M41" s="38">
        <f>IFERROR(L41/K41,0)</f>
        <v/>
      </c>
      <c r="N41" s="31" t="n">
        <v>809.966704031041</v>
      </c>
      <c r="O41" s="31" t="n">
        <v>1605.70372278508</v>
      </c>
      <c r="P41" s="38">
        <f>IFERROR(O41/N41,0)</f>
        <v/>
      </c>
      <c r="Q41" s="31" t="n">
        <v>7910.305376</v>
      </c>
      <c r="R41" s="31" t="n">
        <v>34774.030091</v>
      </c>
      <c r="S41" s="38">
        <f>IFERROR(R41/Q41,0)</f>
        <v/>
      </c>
      <c r="T41" s="39">
        <f>IFERROR(Q41/SUMIF($A:$A,A41,$Q:$Q),0)</f>
        <v/>
      </c>
      <c r="U41" s="39">
        <f>IFERROR(Q41/F41,0)</f>
        <v/>
      </c>
      <c r="V41" s="35">
        <f>F41-R41</f>
        <v/>
      </c>
      <c r="W41" s="39">
        <f>IFERROR(V41/F41,0)</f>
        <v/>
      </c>
      <c r="X41" s="29" t="n">
        <v>749.322914</v>
      </c>
      <c r="Y41" s="31" t="n">
        <v>5985.80900000003</v>
      </c>
      <c r="Z41" s="39">
        <f>IFERROR(Y41/G41,0)</f>
        <v/>
      </c>
      <c r="AA41" s="35">
        <f>Y41-K41/1.06</f>
        <v/>
      </c>
      <c r="AB41" s="39">
        <f>IFERROR(AA41/G41,0)</f>
        <v/>
      </c>
      <c r="AC41" s="31" t="n">
        <v>-2183.651651</v>
      </c>
      <c r="AD41" s="39">
        <f>IFERROR(AC41/G41,0)</f>
        <v/>
      </c>
    </row>
    <row r="42">
      <c r="A42" s="27" t="inlineStr">
        <is>
          <t>5.25-5.31</t>
        </is>
      </c>
      <c r="B42" s="27" t="inlineStr">
        <is>
          <t>5.25-5.31</t>
        </is>
      </c>
      <c r="C42" s="34" t="n">
        <v>649361890551</v>
      </c>
      <c r="D42" s="27" t="inlineStr">
        <is>
          <t>袋面次链接</t>
        </is>
      </c>
      <c r="E42" s="27" t="inlineStr">
        <is>
          <t>营多捞面印尼进口Indomie网红夜宵早餐方便面火鸡面泡面拌面</t>
        </is>
      </c>
      <c r="F42" s="31" t="n">
        <v>21166.4700000002</v>
      </c>
      <c r="G42" s="35">
        <f>IFERROR(F42/1.13,0)</f>
        <v/>
      </c>
      <c r="H42" s="36" t="n">
        <v>1147</v>
      </c>
      <c r="I42" s="37" t="n">
        <v>0.2472515628368183</v>
      </c>
      <c r="J42" s="38">
        <f>IFERROR(F42/H42,0)</f>
        <v/>
      </c>
      <c r="K42" s="31" t="n">
        <v>3796.54150463462</v>
      </c>
      <c r="L42" s="31" t="n">
        <v>15321.648693684</v>
      </c>
      <c r="M42" s="38">
        <f>IFERROR(L42/K42,0)</f>
        <v/>
      </c>
      <c r="N42" s="31" t="n">
        <v>510.737663289502</v>
      </c>
      <c r="O42" s="31" t="n">
        <v>1012.50256736366</v>
      </c>
      <c r="P42" s="38">
        <f>IFERROR(O42/N42,0)</f>
        <v/>
      </c>
      <c r="Q42" s="31" t="n">
        <v>4307.279168</v>
      </c>
      <c r="R42" s="31" t="n">
        <v>16334.151261</v>
      </c>
      <c r="S42" s="38">
        <f>IFERROR(R42/Q42,0)</f>
        <v/>
      </c>
      <c r="T42" s="39">
        <f>IFERROR(Q42/SUMIF($A:$A,A42,$Q:$Q),0)</f>
        <v/>
      </c>
      <c r="U42" s="39">
        <f>IFERROR(Q42/F42,0)</f>
        <v/>
      </c>
      <c r="V42" s="35">
        <f>F42-R42</f>
        <v/>
      </c>
      <c r="W42" s="39">
        <f>IFERROR(V42/F42,0)</f>
        <v/>
      </c>
      <c r="X42" s="29" t="n">
        <v>472.497737</v>
      </c>
      <c r="Y42" s="31" t="n">
        <v>1882.99899999999</v>
      </c>
      <c r="Z42" s="39">
        <f>IFERROR(Y42/G42,0)</f>
        <v/>
      </c>
      <c r="AA42" s="35">
        <f>Y42-K42/1.06</f>
        <v/>
      </c>
      <c r="AB42" s="39">
        <f>IFERROR(AA42/G42,0)</f>
        <v/>
      </c>
      <c r="AC42" s="31" t="n">
        <v>-2626.224495</v>
      </c>
      <c r="AD42" s="39">
        <f>IFERROR(AC42/G42,0)</f>
        <v/>
      </c>
    </row>
    <row r="43">
      <c r="A43" s="27" t="inlineStr">
        <is>
          <t>5.25-5.31</t>
        </is>
      </c>
      <c r="B43" s="27" t="inlineStr">
        <is>
          <t>5.25-5.31</t>
        </is>
      </c>
      <c r="C43" s="34" t="n">
        <v>649735171438</v>
      </c>
      <c r="D43" s="27" t="inlineStr">
        <is>
          <t>杯面主链接</t>
        </is>
      </c>
      <c r="E43" s="27" t="inlineStr">
        <is>
          <t>印尼进口indomie营多捞面杯面速食泡面干拌面盒桶装方便面火鸡面</t>
        </is>
      </c>
      <c r="F43" s="31" t="n">
        <v>20488.73</v>
      </c>
      <c r="G43" s="35">
        <f>IFERROR(F43/1.13,0)</f>
        <v/>
      </c>
      <c r="H43" s="36" t="n">
        <v>824</v>
      </c>
      <c r="I43" s="37" t="n">
        <v>0.1776244880362147</v>
      </c>
      <c r="J43" s="38">
        <f>IFERROR(F43/H43,0)</f>
        <v/>
      </c>
      <c r="K43" s="31" t="n">
        <v>3066.62295537831</v>
      </c>
      <c r="L43" s="31" t="n">
        <v>12052.7656003449</v>
      </c>
      <c r="M43" s="38">
        <f>IFERROR(L43/K43,0)</f>
        <v/>
      </c>
      <c r="N43" s="31" t="n">
        <v>366.911799956887</v>
      </c>
      <c r="O43" s="31" t="n">
        <v>727.37760724294</v>
      </c>
      <c r="P43" s="38">
        <f>IFERROR(O43/N43,0)</f>
        <v/>
      </c>
      <c r="Q43" s="31" t="n">
        <v>3433.534755</v>
      </c>
      <c r="R43" s="31" t="n">
        <v>12780.143208</v>
      </c>
      <c r="S43" s="38">
        <f>IFERROR(R43/Q43,0)</f>
        <v/>
      </c>
      <c r="T43" s="39">
        <f>IFERROR(Q43/SUMIF($A:$A,A43,$Q:$Q),0)</f>
        <v/>
      </c>
      <c r="U43" s="39">
        <f>IFERROR(Q43/F43,0)</f>
        <v/>
      </c>
      <c r="V43" s="35">
        <f>F43-R43</f>
        <v/>
      </c>
      <c r="W43" s="39">
        <f>IFERROR(V43/F43,0)</f>
        <v/>
      </c>
      <c r="X43" s="29" t="n">
        <v>339.440397</v>
      </c>
      <c r="Y43" s="31" t="n">
        <v>2209.51100000001</v>
      </c>
      <c r="Z43" s="39">
        <f>IFERROR(Y43/G43,0)</f>
        <v/>
      </c>
      <c r="AA43" s="35">
        <f>Y43-K43/1.06</f>
        <v/>
      </c>
      <c r="AB43" s="39">
        <f>IFERROR(AA43/G43,0)</f>
        <v/>
      </c>
      <c r="AC43" s="31" t="n">
        <v>-1349.899521</v>
      </c>
      <c r="AD43" s="39">
        <f>IFERROR(AC43/G43,0)</f>
        <v/>
      </c>
    </row>
    <row r="44">
      <c r="A44" s="27" t="inlineStr">
        <is>
          <t>5.25-5.31</t>
        </is>
      </c>
      <c r="B44" s="27" t="inlineStr">
        <is>
          <t>5.25-5.31</t>
        </is>
      </c>
      <c r="C44" s="34" t="n">
        <v>648600900806</v>
      </c>
      <c r="D44" s="27" t="inlineStr">
        <is>
          <t>30包</t>
        </is>
      </c>
      <c r="E44" s="27" t="inlineStr">
        <is>
          <t>进口营多捞面一整箱30包网红速食方便面宿舍速食泡面干拌面拉面</t>
        </is>
      </c>
      <c r="F44" s="31" t="n">
        <v>10637.06</v>
      </c>
      <c r="G44" s="35">
        <f>IFERROR(F44/1.13,0)</f>
        <v/>
      </c>
      <c r="H44" s="36" t="n">
        <v>155</v>
      </c>
      <c r="I44" s="37" t="n">
        <v>0.0334123733563268</v>
      </c>
      <c r="J44" s="38">
        <f>IFERROR(F44/H44,0)</f>
        <v/>
      </c>
      <c r="K44" s="31" t="n">
        <v>2129.99425738306</v>
      </c>
      <c r="L44" s="31" t="n">
        <v>10786.9511748222</v>
      </c>
      <c r="M44" s="38">
        <f>IFERROR(L44/K44,0)</f>
        <v/>
      </c>
      <c r="N44" s="31" t="n">
        <v>69.01860314723</v>
      </c>
      <c r="O44" s="31" t="n">
        <v>136.824671265359</v>
      </c>
      <c r="P44" s="38">
        <f>IFERROR(O44/N44,0)</f>
        <v/>
      </c>
      <c r="Q44" s="31" t="n">
        <v>2199.012861</v>
      </c>
      <c r="R44" s="31" t="n">
        <v>10923.775846</v>
      </c>
      <c r="S44" s="38">
        <f>IFERROR(R44/Q44,0)</f>
        <v/>
      </c>
      <c r="T44" s="39">
        <f>IFERROR(Q44/SUMIF($A:$A,A44,$Q:$Q),0)</f>
        <v/>
      </c>
      <c r="U44" s="39">
        <f>IFERROR(Q44/F44,0)</f>
        <v/>
      </c>
      <c r="V44" s="35">
        <f>F44-R44</f>
        <v/>
      </c>
      <c r="W44" s="39">
        <f>IFERROR(V44/F44,0)</f>
        <v/>
      </c>
      <c r="X44" s="29" t="n">
        <v>63.851045</v>
      </c>
      <c r="Y44" s="31" t="n">
        <v>2055.215</v>
      </c>
      <c r="Z44" s="39">
        <f>IFERROR(Y44/G44,0)</f>
        <v/>
      </c>
      <c r="AA44" s="35">
        <f>Y44-K44/1.06</f>
        <v/>
      </c>
      <c r="AB44" s="39">
        <f>IFERROR(AA44/G44,0)</f>
        <v/>
      </c>
      <c r="AC44" s="31" t="n">
        <v>-79.56227</v>
      </c>
      <c r="AD44" s="39">
        <f>IFERROR(AC44/G44,0)</f>
        <v/>
      </c>
    </row>
    <row r="45">
      <c r="A45" s="27" t="inlineStr">
        <is>
          <t>5.25-5.31</t>
        </is>
      </c>
      <c r="B45" s="27" t="inlineStr">
        <is>
          <t>5.25-5.31</t>
        </is>
      </c>
      <c r="C45" s="34" t="n">
        <v>649014937782</v>
      </c>
      <c r="D45" s="27" t="inlineStr">
        <is>
          <t>24包</t>
        </is>
      </c>
      <c r="E45" s="27" t="inlineStr">
        <is>
          <t>印尼营多捞面干拌面一整箱24袋装批发泡面宿舍速食方便面火鸡面</t>
        </is>
      </c>
      <c r="F45" s="31" t="n">
        <v>7568.56</v>
      </c>
      <c r="G45" s="35">
        <f>IFERROR(F45/1.13,0)</f>
        <v/>
      </c>
      <c r="H45" s="36" t="n">
        <v>134</v>
      </c>
      <c r="I45" s="37" t="n">
        <v>0.0288855356757922</v>
      </c>
      <c r="J45" s="38">
        <f>IFERROR(F45/H45,0)</f>
        <v/>
      </c>
      <c r="K45" s="31" t="n">
        <v>1629.0249708989</v>
      </c>
      <c r="L45" s="31" t="n">
        <v>6792.11843500754</v>
      </c>
      <c r="M45" s="38">
        <f>IFERROR(L45/K45,0)</f>
        <v/>
      </c>
      <c r="N45" s="31" t="n">
        <v>59.6676956240569</v>
      </c>
      <c r="O45" s="31" t="n">
        <v>118.287135158439</v>
      </c>
      <c r="P45" s="38">
        <f>IFERROR(O45/N45,0)</f>
        <v/>
      </c>
      <c r="Q45" s="31" t="n">
        <v>1688.692667</v>
      </c>
      <c r="R45" s="31" t="n">
        <v>6910.40557</v>
      </c>
      <c r="S45" s="38">
        <f>IFERROR(R45/Q45,0)</f>
        <v/>
      </c>
      <c r="T45" s="39">
        <f>IFERROR(Q45/SUMIF($A:$A,A45,$Q:$Q),0)</f>
        <v/>
      </c>
      <c r="U45" s="39">
        <f>IFERROR(Q45/F45,0)</f>
        <v/>
      </c>
      <c r="V45" s="35">
        <f>F45-R45</f>
        <v/>
      </c>
      <c r="W45" s="39">
        <f>IFERROR(V45/F45,0)</f>
        <v/>
      </c>
      <c r="X45" s="29" t="n">
        <v>55.200259</v>
      </c>
      <c r="Y45" s="31" t="n">
        <v>1491.221</v>
      </c>
      <c r="Z45" s="39">
        <f>IFERROR(Y45/G45,0)</f>
        <v/>
      </c>
      <c r="AA45" s="35">
        <f>Y45-K45/1.06</f>
        <v/>
      </c>
      <c r="AB45" s="39">
        <f>IFERROR(AA45/G45,0)</f>
        <v/>
      </c>
      <c r="AC45" s="31" t="n">
        <v>-153.961005</v>
      </c>
      <c r="AD45" s="39">
        <f>IFERROR(AC45/G45,0)</f>
        <v/>
      </c>
    </row>
    <row r="46">
      <c r="A46" s="27" t="inlineStr">
        <is>
          <t>5.25-5.31</t>
        </is>
      </c>
      <c r="B46" s="27" t="inlineStr">
        <is>
          <t>5.25-5.31</t>
        </is>
      </c>
      <c r="C46" s="34" t="n">
        <v>648598580775</v>
      </c>
      <c r="D46" s="27" t="inlineStr">
        <is>
          <t>15包</t>
        </is>
      </c>
      <c r="E46" s="27" t="inlineStr">
        <is>
          <t>进口营多捞面15包Indomie方便面干拌面夜宵方便速食五连包85g*5</t>
        </is>
      </c>
      <c r="F46" s="31" t="n">
        <v>4802.52</v>
      </c>
      <c r="G46" s="35">
        <f>IFERROR(F46/1.13,0)</f>
        <v/>
      </c>
      <c r="H46" s="36" t="n">
        <v>131</v>
      </c>
      <c r="I46" s="37" t="n">
        <v>0.02823884457857297</v>
      </c>
      <c r="J46" s="38">
        <f>IFERROR(F46/H46,0)</f>
        <v/>
      </c>
      <c r="K46" s="31" t="n">
        <v>863.066501401164</v>
      </c>
      <c r="L46" s="31" t="n">
        <v>3451.1751864626</v>
      </c>
      <c r="M46" s="38">
        <f>IFERROR(L46/K46,0)</f>
        <v/>
      </c>
      <c r="N46" s="31" t="n">
        <v>58.331851692175</v>
      </c>
      <c r="O46" s="31" t="n">
        <v>115.638915714594</v>
      </c>
      <c r="P46" s="38">
        <f>IFERROR(O46/N46,0)</f>
        <v/>
      </c>
      <c r="Q46" s="31" t="n">
        <v>921.398353</v>
      </c>
      <c r="R46" s="31" t="n">
        <v>3566.814102</v>
      </c>
      <c r="S46" s="38">
        <f>IFERROR(R46/Q46,0)</f>
        <v/>
      </c>
      <c r="T46" s="39">
        <f>IFERROR(Q46/SUMIF($A:$A,A46,$Q:$Q),0)</f>
        <v/>
      </c>
      <c r="U46" s="39">
        <f>IFERROR(Q46/F46,0)</f>
        <v/>
      </c>
      <c r="V46" s="35">
        <f>F46-R46</f>
        <v/>
      </c>
      <c r="W46" s="39">
        <f>IFERROR(V46/F46,0)</f>
        <v/>
      </c>
      <c r="X46" s="29" t="n">
        <v>53.964432</v>
      </c>
      <c r="Y46" s="31" t="n">
        <v>844.4829999999999</v>
      </c>
      <c r="Z46" s="39">
        <f>IFERROR(Y46/G46,0)</f>
        <v/>
      </c>
      <c r="AA46" s="35">
        <f>Y46-K46/1.06</f>
        <v/>
      </c>
      <c r="AB46" s="39">
        <f>IFERROR(AA46/G46,0)</f>
        <v/>
      </c>
      <c r="AC46" s="31" t="n">
        <v>-75.670571</v>
      </c>
      <c r="AD46" s="39">
        <f>IFERROR(AC46/G46,0)</f>
        <v/>
      </c>
    </row>
    <row r="47">
      <c r="A47" s="27" t="inlineStr">
        <is>
          <t>5.25-5.31</t>
        </is>
      </c>
      <c r="B47" s="27" t="inlineStr">
        <is>
          <t>5.25-5.31</t>
        </is>
      </c>
      <c r="C47" s="34" t="n">
        <v>766165464414</v>
      </c>
      <c r="D47" s="27" t="inlineStr">
        <is>
          <t>12包</t>
        </is>
      </c>
      <c r="E47" s="27" t="inlineStr">
        <is>
          <t>营多印尼进口营多捞面方便面火鸡面干拌面12包宿舍速食泡面夜宵</t>
        </is>
      </c>
      <c r="F47" s="31" t="n">
        <v>3219.9</v>
      </c>
      <c r="G47" s="35">
        <f>IFERROR(F47/1.13,0)</f>
        <v/>
      </c>
      <c r="H47" s="36" t="n">
        <v>108</v>
      </c>
      <c r="I47" s="37" t="n">
        <v>0.02328087949989222</v>
      </c>
      <c r="J47" s="38">
        <f>IFERROR(F47/H47,0)</f>
        <v/>
      </c>
      <c r="K47" s="31" t="n">
        <v>217.444901918517</v>
      </c>
      <c r="L47" s="31" t="n">
        <v>999.576947618021</v>
      </c>
      <c r="M47" s="38">
        <f>IFERROR(L47/K47,0)</f>
        <v/>
      </c>
      <c r="N47" s="31" t="n">
        <v>48.0903815477474</v>
      </c>
      <c r="O47" s="31" t="n">
        <v>95.33589997844361</v>
      </c>
      <c r="P47" s="38">
        <f>IFERROR(O47/N47,0)</f>
        <v/>
      </c>
      <c r="Q47" s="31" t="n">
        <v>265.535283</v>
      </c>
      <c r="R47" s="31" t="n">
        <v>1094.912848</v>
      </c>
      <c r="S47" s="38">
        <f>IFERROR(R47/Q47,0)</f>
        <v/>
      </c>
      <c r="T47" s="39">
        <f>IFERROR(Q47/SUMIF($A:$A,A47,$Q:$Q),0)</f>
        <v/>
      </c>
      <c r="U47" s="39">
        <f>IFERROR(Q47/F47,0)</f>
        <v/>
      </c>
      <c r="V47" s="35">
        <f>F47-R47</f>
        <v/>
      </c>
      <c r="W47" s="39">
        <f>IFERROR(V47/F47,0)</f>
        <v/>
      </c>
      <c r="X47" s="29" t="n">
        <v>44.489761</v>
      </c>
      <c r="Y47" s="31" t="n">
        <v>494.858</v>
      </c>
      <c r="Z47" s="39">
        <f>IFERROR(Y47/G47,0)</f>
        <v/>
      </c>
      <c r="AA47" s="35">
        <f>Y47-K47/1.06</f>
        <v/>
      </c>
      <c r="AB47" s="39">
        <f>IFERROR(AA47/G47,0)</f>
        <v/>
      </c>
      <c r="AC47" s="31" t="n">
        <v>202.381543</v>
      </c>
      <c r="AD47" s="39">
        <f>IFERROR(AC47/G47,0)</f>
        <v/>
      </c>
    </row>
    <row r="48">
      <c r="A48" s="27" t="inlineStr">
        <is>
          <t>5.25-5.31</t>
        </is>
      </c>
      <c r="B48" s="27" t="inlineStr">
        <is>
          <t>5.25-5.31</t>
        </is>
      </c>
      <c r="C48" s="34" t="n">
        <v>649369494424</v>
      </c>
      <c r="D48" s="27" t="inlineStr">
        <is>
          <t>24包经典/牛系列</t>
        </is>
      </c>
      <c r="E48" s="27" t="inlineStr">
        <is>
          <t>营多捞面干拌面一整箱24袋装批发泡面混搭宿舍速食方便面火鸡面</t>
        </is>
      </c>
      <c r="F48" s="31" t="n">
        <v>2814.81</v>
      </c>
      <c r="G48" s="35">
        <f>IFERROR(F48/1.13,0)</f>
        <v/>
      </c>
      <c r="H48" s="36" t="n">
        <v>51</v>
      </c>
      <c r="I48" s="37" t="n">
        <v>0.01099374865272688</v>
      </c>
      <c r="J48" s="38">
        <f>IFERROR(F48/H48,0)</f>
        <v/>
      </c>
      <c r="K48" s="31" t="n">
        <v>420.153981461522</v>
      </c>
      <c r="L48" s="31" t="n">
        <v>1313.85522526407</v>
      </c>
      <c r="M48" s="38">
        <f>IFERROR(L48/K48,0)</f>
        <v/>
      </c>
      <c r="N48" s="31" t="n">
        <v>22.7093468419918</v>
      </c>
      <c r="O48" s="31" t="n">
        <v>45.0197305453762</v>
      </c>
      <c r="P48" s="38">
        <f>IFERROR(O48/N48,0)</f>
        <v/>
      </c>
      <c r="Q48" s="31" t="n">
        <v>442.863328</v>
      </c>
      <c r="R48" s="31" t="n">
        <v>1358.874956</v>
      </c>
      <c r="S48" s="38">
        <f>IFERROR(R48/Q48,0)</f>
        <v/>
      </c>
      <c r="T48" s="39">
        <f>IFERROR(Q48/SUMIF($A:$A,A48,$Q:$Q),0)</f>
        <v/>
      </c>
      <c r="U48" s="39">
        <f>IFERROR(Q48/F48,0)</f>
        <v/>
      </c>
      <c r="V48" s="35">
        <f>F48-R48</f>
        <v/>
      </c>
      <c r="W48" s="39">
        <f>IFERROR(V48/F48,0)</f>
        <v/>
      </c>
      <c r="X48" s="29" t="n">
        <v>21.009054</v>
      </c>
      <c r="Y48" s="31" t="n">
        <v>524.538</v>
      </c>
      <c r="Z48" s="39">
        <f>IFERROR(Y48/G48,0)</f>
        <v/>
      </c>
      <c r="AA48" s="35">
        <f>Y48-K48/1.06</f>
        <v/>
      </c>
      <c r="AB48" s="39">
        <f>IFERROR(AA48/G48,0)</f>
        <v/>
      </c>
      <c r="AC48" s="31" t="n">
        <v>86.922545</v>
      </c>
      <c r="AD48" s="39">
        <f>IFERROR(AC48/G48,0)</f>
        <v/>
      </c>
    </row>
    <row r="49">
      <c r="A49" s="27" t="inlineStr">
        <is>
          <t>5.25-5.31</t>
        </is>
      </c>
      <c r="B49" s="27" t="inlineStr">
        <is>
          <t>5.25-5.31</t>
        </is>
      </c>
      <c r="C49" s="34" t="n">
        <v>648681860568</v>
      </c>
      <c r="D49" s="27" t="inlineStr">
        <is>
          <t>杯面次链接</t>
        </is>
      </c>
      <c r="E49" s="27" t="inlineStr">
        <is>
          <t>营多捞面杯装方便面泡面速食干拌面原味整箱批发印尼进口桶装拌面</t>
        </is>
      </c>
      <c r="F49" s="31" t="n">
        <v>1377.05</v>
      </c>
      <c r="G49" s="35">
        <f>IFERROR(F49/1.13,0)</f>
        <v/>
      </c>
      <c r="H49" s="36" t="n">
        <v>47</v>
      </c>
      <c r="I49" s="37" t="n">
        <v>0.01013149385643458</v>
      </c>
      <c r="J49" s="38">
        <f>IFERROR(F49/H49,0)</f>
        <v/>
      </c>
      <c r="K49" s="31" t="n">
        <v>225.51935546454</v>
      </c>
      <c r="L49" s="31" t="n">
        <v>904.904227204139</v>
      </c>
      <c r="M49" s="38">
        <f>IFERROR(L49/K49,0)</f>
        <v/>
      </c>
      <c r="N49" s="31" t="n">
        <v>20.9282215994826</v>
      </c>
      <c r="O49" s="31" t="n">
        <v>41.4887712869153</v>
      </c>
      <c r="P49" s="38">
        <f>IFERROR(O49/N49,0)</f>
        <v/>
      </c>
      <c r="Q49" s="31" t="n">
        <v>246.447577</v>
      </c>
      <c r="R49" s="31" t="n">
        <v>946.392998</v>
      </c>
      <c r="S49" s="38">
        <f>IFERROR(R49/Q49,0)</f>
        <v/>
      </c>
      <c r="T49" s="39">
        <f>IFERROR(Q49/SUMIF($A:$A,A49,$Q:$Q),0)</f>
        <v/>
      </c>
      <c r="U49" s="39">
        <f>IFERROR(Q49/F49,0)</f>
        <v/>
      </c>
      <c r="V49" s="35">
        <f>F49-R49</f>
        <v/>
      </c>
      <c r="W49" s="39">
        <f>IFERROR(V49/F49,0)</f>
        <v/>
      </c>
      <c r="X49" s="29" t="n">
        <v>19.361285</v>
      </c>
      <c r="Y49" s="31" t="n">
        <v>150.139</v>
      </c>
      <c r="Z49" s="39">
        <f>IFERROR(Y49/G49,0)</f>
        <v/>
      </c>
      <c r="AA49" s="35">
        <f>Y49-K49/1.06</f>
        <v/>
      </c>
      <c r="AB49" s="39">
        <f>IFERROR(AA49/G49,0)</f>
        <v/>
      </c>
      <c r="AC49" s="31" t="n">
        <v>-100.624077</v>
      </c>
      <c r="AD49" s="39">
        <f>IFERROR(AC49/G49,0)</f>
        <v/>
      </c>
    </row>
    <row r="50">
      <c r="A50" s="27" t="inlineStr">
        <is>
          <t>5.25-5.31</t>
        </is>
      </c>
      <c r="B50" s="27" t="inlineStr">
        <is>
          <t>5.25-5.31</t>
        </is>
      </c>
      <c r="C50" s="34" t="n">
        <v>735014804839</v>
      </c>
      <c r="D50" s="27" t="inlineStr">
        <is>
          <t>24/30包</t>
        </is>
      </c>
      <c r="E50" s="27" t="inlineStr">
        <is>
          <t>进口营多捞面多口味Indomie网红方便面干拌面泡面30包整箱批发面</t>
        </is>
      </c>
      <c r="F50" s="31" t="n">
        <v>2331.14</v>
      </c>
      <c r="G50" s="35">
        <f>IFERROR(F50/1.13,0)</f>
        <v/>
      </c>
      <c r="H50" s="36" t="n">
        <v>35</v>
      </c>
      <c r="I50" s="37" t="n">
        <v>0.007544729467557664</v>
      </c>
      <c r="J50" s="38">
        <f>IFERROR(F50/H50,0)</f>
        <v/>
      </c>
      <c r="K50" s="31" t="n">
        <v>470.635477473593</v>
      </c>
      <c r="L50" s="31" t="n">
        <v>2228.59123302436</v>
      </c>
      <c r="M50" s="38">
        <f>IFERROR(L50/K50,0)</f>
        <v/>
      </c>
      <c r="N50" s="31" t="n">
        <v>15.5848458719552</v>
      </c>
      <c r="O50" s="31" t="n">
        <v>30.8958935115327</v>
      </c>
      <c r="P50" s="38">
        <f>IFERROR(O50/N50,0)</f>
        <v/>
      </c>
      <c r="Q50" s="31" t="n">
        <v>486.220323</v>
      </c>
      <c r="R50" s="31" t="n">
        <v>2259.487127</v>
      </c>
      <c r="S50" s="38">
        <f>IFERROR(R50/Q50,0)</f>
        <v/>
      </c>
      <c r="T50" s="39">
        <f>IFERROR(Q50/SUMIF($A:$A,A50,$Q:$Q),0)</f>
        <v/>
      </c>
      <c r="U50" s="39">
        <f>IFERROR(Q50/F50,0)</f>
        <v/>
      </c>
      <c r="V50" s="35">
        <f>F50-R50</f>
        <v/>
      </c>
      <c r="W50" s="39">
        <f>IFERROR(V50/F50,0)</f>
        <v/>
      </c>
      <c r="X50" s="29" t="n">
        <v>14.417978</v>
      </c>
      <c r="Y50" s="31" t="n">
        <v>433.402</v>
      </c>
      <c r="Z50" s="39">
        <f>IFERROR(Y50/G50,0)</f>
        <v/>
      </c>
      <c r="AA50" s="35">
        <f>Y50-K50/1.06</f>
        <v/>
      </c>
      <c r="AB50" s="39">
        <f>IFERROR(AA50/G50,0)</f>
        <v/>
      </c>
      <c r="AC50" s="31" t="n">
        <v>-38.898284</v>
      </c>
      <c r="AD50" s="39">
        <f>IFERROR(AC50/G50,0)</f>
        <v/>
      </c>
    </row>
    <row r="51">
      <c r="A51" s="27" t="inlineStr">
        <is>
          <t>5.25-5.31</t>
        </is>
      </c>
      <c r="B51" s="27" t="inlineStr">
        <is>
          <t>5.25-5.31</t>
        </is>
      </c>
      <c r="C51" s="34" t="n">
        <v>929504658691</v>
      </c>
      <c r="D51" s="27" t="inlineStr">
        <is>
          <t>日式袋面</t>
        </is>
      </c>
      <c r="E51" s="27" t="inlineStr">
        <is>
          <t>营多捞面日式鸡肉汤面原味辛辣味袋装泡面方便面速食宿舍夜宵食品</t>
        </is>
      </c>
      <c r="F51" s="31" t="n">
        <v>504.89</v>
      </c>
      <c r="G51" s="35">
        <f>IFERROR(F51/1.13,0)</f>
        <v/>
      </c>
      <c r="H51" s="36" t="n">
        <v>26</v>
      </c>
      <c r="I51" s="37" t="n">
        <v>0.005604656175899978</v>
      </c>
      <c r="J51" s="38">
        <f>IFERROR(F51/H51,0)</f>
        <v/>
      </c>
      <c r="K51" s="31" t="n">
        <v>145.710068980384</v>
      </c>
      <c r="L51" s="31" t="n">
        <v>316.741487389524</v>
      </c>
      <c r="M51" s="38">
        <f>IFERROR(L51/K51,0)</f>
        <v/>
      </c>
      <c r="N51" s="31" t="n">
        <v>11.5773140763095</v>
      </c>
      <c r="O51" s="31" t="n">
        <v>22.9512351799957</v>
      </c>
      <c r="P51" s="38">
        <f>IFERROR(O51/N51,0)</f>
        <v/>
      </c>
      <c r="Q51" s="31" t="n">
        <v>157.287383</v>
      </c>
      <c r="R51" s="31" t="n">
        <v>339.692723</v>
      </c>
      <c r="S51" s="38">
        <f>IFERROR(R51/Q51,0)</f>
        <v/>
      </c>
      <c r="T51" s="39">
        <f>IFERROR(Q51/SUMIF($A:$A,A51,$Q:$Q),0)</f>
        <v/>
      </c>
      <c r="U51" s="39">
        <f>IFERROR(Q51/F51,0)</f>
        <v/>
      </c>
      <c r="V51" s="35">
        <f>F51-R51</f>
        <v/>
      </c>
      <c r="W51" s="39">
        <f>IFERROR(V51/F51,0)</f>
        <v/>
      </c>
      <c r="X51" s="29" t="n">
        <v>10.710498</v>
      </c>
      <c r="Y51" s="31" t="n">
        <v>61.869</v>
      </c>
      <c r="Z51" s="39">
        <f>IFERROR(Y51/G51,0)</f>
        <v/>
      </c>
      <c r="AA51" s="35">
        <f>Y51-K51/1.06</f>
        <v/>
      </c>
      <c r="AB51" s="39">
        <f>IFERROR(AA51/G51,0)</f>
        <v/>
      </c>
      <c r="AC51" s="31" t="n">
        <v>-96.619567</v>
      </c>
      <c r="AD51" s="39">
        <f>IFERROR(AC51/G51,0)</f>
        <v/>
      </c>
    </row>
    <row r="52">
      <c r="A52" s="27" t="inlineStr">
        <is>
          <t>5.25-5.31</t>
        </is>
      </c>
      <c r="B52" s="27" t="inlineStr">
        <is>
          <t>5.25-5.31</t>
        </is>
      </c>
      <c r="C52" s="34" t="n">
        <v>1013887677295</v>
      </c>
      <c r="D52" s="27" t="inlineStr">
        <is>
          <t>混搭5杯</t>
        </is>
      </c>
      <c r="E52" s="27" t="inlineStr">
        <is>
          <t>进口营多原味杯面日式杯面韩式杯面泡面方便面汤面宿舍速食夜宵</t>
        </is>
      </c>
      <c r="F52" s="31" t="n">
        <v>605.45</v>
      </c>
      <c r="G52" s="35">
        <f>IFERROR(F52/1.13,0)</f>
        <v/>
      </c>
      <c r="H52" s="36" t="n">
        <v>24</v>
      </c>
      <c r="I52" s="37" t="n">
        <v>0.005173528777753826</v>
      </c>
      <c r="J52" s="38">
        <f>IFERROR(F52/H52,0)</f>
        <v/>
      </c>
      <c r="K52" s="31" t="n">
        <v>201.327755981893</v>
      </c>
      <c r="L52" s="31" t="n">
        <v>626.02598835956</v>
      </c>
      <c r="M52" s="38">
        <f>IFERROR(L52/K52,0)</f>
        <v/>
      </c>
      <c r="N52" s="31" t="n">
        <v>10.686751455055</v>
      </c>
      <c r="O52" s="31" t="n">
        <v>21.1857555507653</v>
      </c>
      <c r="P52" s="38">
        <f>IFERROR(O52/N52,0)</f>
        <v/>
      </c>
      <c r="Q52" s="31" t="n">
        <v>212.014507</v>
      </c>
      <c r="R52" s="31" t="n">
        <v>647.211744</v>
      </c>
      <c r="S52" s="38">
        <f>IFERROR(R52/Q52,0)</f>
        <v/>
      </c>
      <c r="T52" s="39">
        <f>IFERROR(Q52/SUMIF($A:$A,A52,$Q:$Q),0)</f>
        <v/>
      </c>
      <c r="U52" s="39">
        <f>IFERROR(Q52/F52,0)</f>
        <v/>
      </c>
      <c r="V52" s="35">
        <f>F52-R52</f>
        <v/>
      </c>
      <c r="W52" s="39">
        <f>IFERROR(V52/F52,0)</f>
        <v/>
      </c>
      <c r="X52" s="29" t="n">
        <v>9.886613000000001</v>
      </c>
      <c r="Y52" s="31" t="n">
        <v>59.859</v>
      </c>
      <c r="Z52" s="39">
        <f>IFERROR(Y52/G52,0)</f>
        <v/>
      </c>
      <c r="AA52" s="35">
        <f>Y52-K52/1.06</f>
        <v/>
      </c>
      <c r="AB52" s="39">
        <f>IFERROR(AA52/G52,0)</f>
        <v/>
      </c>
      <c r="AC52" s="31" t="n">
        <v>-149.48168</v>
      </c>
      <c r="AD52" s="39">
        <f>IFERROR(AC52/G52,0)</f>
        <v/>
      </c>
    </row>
    <row r="53">
      <c r="A53" s="27" t="inlineStr">
        <is>
          <t>5.25-5.31</t>
        </is>
      </c>
      <c r="B53" s="27" t="inlineStr">
        <is>
          <t>5.25-5.31</t>
        </is>
      </c>
      <c r="C53" s="34" t="n">
        <v>744317232690</v>
      </c>
      <c r="D53" s="27" t="inlineStr">
        <is>
          <t>多规格</t>
        </is>
      </c>
      <c r="E53" s="27" t="inlineStr">
        <is>
          <t>营多捞面汤面清香牛肉味方便面泡面速食食品泡面拉面整箱旅行宿舍</t>
        </is>
      </c>
      <c r="F53" s="31" t="n">
        <v>444.76</v>
      </c>
      <c r="G53" s="35">
        <f>IFERROR(F53/1.13,0)</f>
        <v/>
      </c>
      <c r="H53" s="36" t="n">
        <v>18</v>
      </c>
      <c r="I53" s="37" t="n">
        <v>0.00388014658331537</v>
      </c>
      <c r="J53" s="38">
        <f>IFERROR(F53/H53,0)</f>
        <v/>
      </c>
      <c r="K53" s="31" t="n">
        <v>50.0008169864195</v>
      </c>
      <c r="L53" s="31" t="n">
        <v>187.41949126967</v>
      </c>
      <c r="M53" s="38">
        <f>IFERROR(L53/K53,0)</f>
        <v/>
      </c>
      <c r="N53" s="31" t="n">
        <v>8.015063591291231</v>
      </c>
      <c r="O53" s="31" t="n">
        <v>15.8893166630739</v>
      </c>
      <c r="P53" s="38">
        <f>IFERROR(O53/N53,0)</f>
        <v/>
      </c>
      <c r="Q53" s="31" t="n">
        <v>58.015881</v>
      </c>
      <c r="R53" s="31" t="n">
        <v>203.308808</v>
      </c>
      <c r="S53" s="38">
        <f>IFERROR(R53/Q53,0)</f>
        <v/>
      </c>
      <c r="T53" s="39">
        <f>IFERROR(Q53/SUMIF($A:$A,A53,$Q:$Q),0)</f>
        <v/>
      </c>
      <c r="U53" s="39">
        <f>IFERROR(Q53/F53,0)</f>
        <v/>
      </c>
      <c r="V53" s="35">
        <f>F53-R53</f>
        <v/>
      </c>
      <c r="W53" s="39">
        <f>IFERROR(V53/F53,0)</f>
        <v/>
      </c>
      <c r="X53" s="29" t="n">
        <v>7.41496</v>
      </c>
      <c r="Y53" s="31" t="n">
        <v>54.966</v>
      </c>
      <c r="Z53" s="39">
        <f>IFERROR(Y53/G53,0)</f>
        <v/>
      </c>
      <c r="AA53" s="35">
        <f>Y53-K53/1.06</f>
        <v/>
      </c>
      <c r="AB53" s="39">
        <f>IFERROR(AA53/G53,0)</f>
        <v/>
      </c>
      <c r="AC53" s="31" t="n">
        <v>-6.761208</v>
      </c>
      <c r="AD53" s="39">
        <f>IFERROR(AC53/G53,0)</f>
        <v/>
      </c>
    </row>
    <row r="54">
      <c r="A54" s="27" t="inlineStr">
        <is>
          <t>5.25-5.31</t>
        </is>
      </c>
      <c r="B54" s="27" t="inlineStr">
        <is>
          <t>5.25-5.31</t>
        </is>
      </c>
      <c r="C54" s="34" t="n">
        <v>898076297965</v>
      </c>
      <c r="D54" s="27" t="inlineStr">
        <is>
          <t>番茄牛肉</t>
        </is>
      </c>
      <c r="E54" s="27" t="inlineStr">
        <is>
          <t>进口正品意面风味奶香番茄牛肉味意式拌面营多捞面早餐儿童宝妈餐</t>
        </is>
      </c>
      <c r="F54" s="31" t="n">
        <v>308.57</v>
      </c>
      <c r="G54" s="35">
        <f>IFERROR(F54/1.13,0)</f>
        <v/>
      </c>
      <c r="H54" s="36" t="n">
        <v>15</v>
      </c>
      <c r="I54" s="37" t="n">
        <v>0.003233455486096141</v>
      </c>
      <c r="J54" s="38">
        <f>IFERROR(F54/H54,0)</f>
        <v/>
      </c>
      <c r="K54" s="31" t="n">
        <v>28.5723474886829</v>
      </c>
      <c r="L54" s="31" t="n">
        <v>196.616242724725</v>
      </c>
      <c r="M54" s="38">
        <f>IFERROR(L54/K54,0)</f>
        <v/>
      </c>
      <c r="N54" s="31" t="n">
        <v>6.67921965940935</v>
      </c>
      <c r="O54" s="31" t="n">
        <v>13.2410972192283</v>
      </c>
      <c r="P54" s="38">
        <f>IFERROR(O54/N54,0)</f>
        <v/>
      </c>
      <c r="Q54" s="31" t="n">
        <v>35.251567</v>
      </c>
      <c r="R54" s="31" t="n">
        <v>209.85734</v>
      </c>
      <c r="S54" s="38">
        <f>IFERROR(R54/Q54,0)</f>
        <v/>
      </c>
      <c r="T54" s="39">
        <f>IFERROR(Q54/SUMIF($A:$A,A54,$Q:$Q),0)</f>
        <v/>
      </c>
      <c r="U54" s="39">
        <f>IFERROR(Q54/F54,0)</f>
        <v/>
      </c>
      <c r="V54" s="35">
        <f>F54-R54</f>
        <v/>
      </c>
      <c r="W54" s="39">
        <f>IFERROR(V54/F54,0)</f>
        <v/>
      </c>
      <c r="X54" s="29" t="n">
        <v>6.179133</v>
      </c>
      <c r="Y54" s="31" t="n">
        <v>26.627</v>
      </c>
      <c r="Z54" s="39">
        <f>IFERROR(Y54/G54,0)</f>
        <v/>
      </c>
      <c r="AA54" s="35">
        <f>Y54-K54/1.06</f>
        <v/>
      </c>
      <c r="AB54" s="39">
        <f>IFERROR(AA54/G54,0)</f>
        <v/>
      </c>
      <c r="AC54" s="31" t="n">
        <v>-12.458567</v>
      </c>
      <c r="AD54" s="39">
        <f>IFERROR(AC54/G54,0)</f>
        <v/>
      </c>
    </row>
    <row r="55">
      <c r="A55" s="27" t="inlineStr">
        <is>
          <t>5.25-5.31</t>
        </is>
      </c>
      <c r="B55" s="27" t="inlineStr">
        <is>
          <t>5.25-5.31</t>
        </is>
      </c>
      <c r="C55" s="34" t="n">
        <v>969433743398</v>
      </c>
      <c r="D55" s="27" t="inlineStr">
        <is>
          <t>韩蘑菇</t>
        </is>
      </c>
      <c r="E55" s="27" t="inlineStr">
        <is>
          <t>新品营多捞面韩式辣蘑菇汤面泡面方便面速食干拌面宿舍宵夜旅行</t>
        </is>
      </c>
      <c r="F55" s="31" t="n">
        <v>252.3</v>
      </c>
      <c r="G55" s="35">
        <f>IFERROR(F55/1.13,0)</f>
        <v/>
      </c>
      <c r="H55" s="36" t="n">
        <v>13</v>
      </c>
      <c r="I55" s="37" t="n">
        <v>0.002802328087949989</v>
      </c>
      <c r="J55" s="38">
        <f>IFERROR(F55/H55,0)</f>
        <v/>
      </c>
      <c r="K55" s="31" t="n">
        <v>110.040034490192</v>
      </c>
      <c r="L55" s="31" t="n">
        <v>222.950743694762</v>
      </c>
      <c r="M55" s="38">
        <f>IFERROR(L55/K55,0)</f>
        <v/>
      </c>
      <c r="N55" s="31" t="n">
        <v>5.78865703815477</v>
      </c>
      <c r="O55" s="31" t="n">
        <v>11.4756175899978</v>
      </c>
      <c r="P55" s="38">
        <f>IFERROR(O55/N55,0)</f>
        <v/>
      </c>
      <c r="Q55" s="31" t="n">
        <v>115.828692</v>
      </c>
      <c r="R55" s="31" t="n">
        <v>234.426361</v>
      </c>
      <c r="S55" s="38">
        <f>IFERROR(R55/Q55,0)</f>
        <v/>
      </c>
      <c r="T55" s="39">
        <f>IFERROR(Q55/SUMIF($A:$A,A55,$Q:$Q),0)</f>
        <v/>
      </c>
      <c r="U55" s="39">
        <f>IFERROR(Q55/F55,0)</f>
        <v/>
      </c>
      <c r="V55" s="35">
        <f>F55-R55</f>
        <v/>
      </c>
      <c r="W55" s="39">
        <f>IFERROR(V55/F55,0)</f>
        <v/>
      </c>
      <c r="X55" s="29" t="n">
        <v>5.355249</v>
      </c>
      <c r="Y55" s="31" t="n">
        <v>31.473</v>
      </c>
      <c r="Z55" s="39">
        <f>IFERROR(Y55/G55,0)</f>
        <v/>
      </c>
      <c r="AA55" s="35">
        <f>Y55-K55/1.06</f>
        <v/>
      </c>
      <c r="AB55" s="39">
        <f>IFERROR(AA55/G55,0)</f>
        <v/>
      </c>
      <c r="AC55" s="31" t="n">
        <v>-82.851472</v>
      </c>
      <c r="AD55" s="39">
        <f>IFERROR(AC55/G55,0)</f>
        <v/>
      </c>
    </row>
    <row r="56">
      <c r="A56" s="27" t="inlineStr">
        <is>
          <t>5.25-5.31</t>
        </is>
      </c>
      <c r="B56" s="27" t="inlineStr">
        <is>
          <t>5.25-5.31</t>
        </is>
      </c>
      <c r="C56" s="34" t="n">
        <v>969423151512</v>
      </c>
      <c r="D56" s="27" t="inlineStr">
        <is>
          <t>日韩混搭</t>
        </is>
      </c>
      <c r="E56" s="27" t="inlineStr">
        <is>
          <t>营多捞面甜辣炸鸡火鸡面辣蘑菇泡面方便面速食干拌面宿舍宵夜旅行</t>
        </is>
      </c>
      <c r="F56" s="31" t="n">
        <v>288.18</v>
      </c>
      <c r="G56" s="35">
        <f>IFERROR(F56/1.13,0)</f>
        <v/>
      </c>
      <c r="H56" s="36" t="n">
        <v>12</v>
      </c>
      <c r="I56" s="37" t="n">
        <v>0.002586764388876913</v>
      </c>
      <c r="J56" s="38">
        <f>IFERROR(F56/H56,0)</f>
        <v/>
      </c>
      <c r="K56" s="31" t="n">
        <v>49.6638779909463</v>
      </c>
      <c r="L56" s="31" t="n">
        <v>173.15299417978</v>
      </c>
      <c r="M56" s="38">
        <f>IFERROR(L56/K56,0)</f>
        <v/>
      </c>
      <c r="N56" s="31" t="n">
        <v>5.34337572752748</v>
      </c>
      <c r="O56" s="31" t="n">
        <v>10.5928777753826</v>
      </c>
      <c r="P56" s="38">
        <f>IFERROR(O56/N56,0)</f>
        <v/>
      </c>
      <c r="Q56" s="31" t="n">
        <v>55.007254</v>
      </c>
      <c r="R56" s="31" t="n">
        <v>183.745872</v>
      </c>
      <c r="S56" s="38">
        <f>IFERROR(R56/Q56,0)</f>
        <v/>
      </c>
      <c r="T56" s="39">
        <f>IFERROR(Q56/SUMIF($A:$A,A56,$Q:$Q),0)</f>
        <v/>
      </c>
      <c r="U56" s="39">
        <f>IFERROR(Q56/F56,0)</f>
        <v/>
      </c>
      <c r="V56" s="35">
        <f>F56-R56</f>
        <v/>
      </c>
      <c r="W56" s="39">
        <f>IFERROR(V56/F56,0)</f>
        <v/>
      </c>
      <c r="X56" s="29" t="n">
        <v>4.943307</v>
      </c>
      <c r="Y56" s="31" t="n">
        <v>43.553</v>
      </c>
      <c r="Z56" s="39">
        <f>IFERROR(Y56/G56,0)</f>
        <v/>
      </c>
      <c r="AA56" s="35">
        <f>Y56-K56/1.06</f>
        <v/>
      </c>
      <c r="AB56" s="39">
        <f>IFERROR(AA56/G56,0)</f>
        <v/>
      </c>
      <c r="AC56" s="31" t="n">
        <v>-13.004133</v>
      </c>
      <c r="AD56" s="39">
        <f>IFERROR(AC56/G56,0)</f>
        <v/>
      </c>
    </row>
    <row r="57">
      <c r="A57" s="27" t="inlineStr">
        <is>
          <t>5.25-5.31</t>
        </is>
      </c>
      <c r="B57" s="27" t="inlineStr">
        <is>
          <t>5.25-5.31</t>
        </is>
      </c>
      <c r="C57" s="34" t="n">
        <v>649729851594</v>
      </c>
      <c r="D57" s="27" t="inlineStr">
        <is>
          <t>小规格</t>
        </is>
      </c>
      <c r="E57" s="27" t="inlineStr">
        <is>
          <t>营多捞面袋装8包装泡面宿舍速食面热干面干拌面方便面火鸡面食品</t>
        </is>
      </c>
      <c r="F57" s="31" t="n">
        <v>267.75</v>
      </c>
      <c r="G57" s="35">
        <f>IFERROR(F57/1.13,0)</f>
        <v/>
      </c>
      <c r="H57" s="36" t="n">
        <v>12</v>
      </c>
      <c r="I57" s="37" t="n">
        <v>0.002586764388876913</v>
      </c>
      <c r="J57" s="38">
        <f>IFERROR(F57/H57,0)</f>
        <v/>
      </c>
      <c r="K57" s="31" t="n">
        <v>14.3538779909463</v>
      </c>
      <c r="L57" s="31" t="n">
        <v>55.8529941797801</v>
      </c>
      <c r="M57" s="38">
        <f>IFERROR(L57/K57,0)</f>
        <v/>
      </c>
      <c r="N57" s="31" t="n">
        <v>5.34337572752748</v>
      </c>
      <c r="O57" s="31" t="n">
        <v>10.5928777753826</v>
      </c>
      <c r="P57" s="38">
        <f>IFERROR(O57/N57,0)</f>
        <v/>
      </c>
      <c r="Q57" s="31" t="n">
        <v>19.697254</v>
      </c>
      <c r="R57" s="31" t="n">
        <v>66.44587199999999</v>
      </c>
      <c r="S57" s="38">
        <f>IFERROR(R57/Q57,0)</f>
        <v/>
      </c>
      <c r="T57" s="39">
        <f>IFERROR(Q57/SUMIF($A:$A,A57,$Q:$Q),0)</f>
        <v/>
      </c>
      <c r="U57" s="39">
        <f>IFERROR(Q57/F57,0)</f>
        <v/>
      </c>
      <c r="V57" s="35">
        <f>F57-R57</f>
        <v/>
      </c>
      <c r="W57" s="39">
        <f>IFERROR(V57/F57,0)</f>
        <v/>
      </c>
      <c r="X57" s="29" t="n">
        <v>4.943307</v>
      </c>
      <c r="Y57" s="31" t="n">
        <v>42.262</v>
      </c>
      <c r="Z57" s="39">
        <f>IFERROR(Y57/G57,0)</f>
        <v/>
      </c>
      <c r="AA57" s="35">
        <f>Y57-K57/1.06</f>
        <v/>
      </c>
      <c r="AB57" s="39">
        <f>IFERROR(AA57/G57,0)</f>
        <v/>
      </c>
      <c r="AC57" s="31" t="n">
        <v>19.016188</v>
      </c>
      <c r="AD57" s="39">
        <f>IFERROR(AC57/G57,0)</f>
        <v/>
      </c>
    </row>
    <row r="58">
      <c r="A58" s="27" t="inlineStr">
        <is>
          <t>5.25-5.31</t>
        </is>
      </c>
      <c r="B58" s="27" t="inlineStr">
        <is>
          <t>5.25-5.31</t>
        </is>
      </c>
      <c r="C58" s="34" t="n">
        <v>886856687067</v>
      </c>
      <c r="D58" s="27" t="inlineStr">
        <is>
          <t>大骨</t>
        </is>
      </c>
      <c r="E58" s="27" t="inlineStr">
        <is>
          <t>营多捞面牛系列大骨牛肉味方便面食品泡面拉面汤面宿舍宵夜旅行</t>
        </is>
      </c>
      <c r="F58" s="31" t="n">
        <v>183.45</v>
      </c>
      <c r="G58" s="35">
        <f>IFERROR(F58/1.13,0)</f>
        <v/>
      </c>
      <c r="H58" s="36" t="n">
        <v>9</v>
      </c>
      <c r="I58" s="37" t="n">
        <v>0.001940073291657685</v>
      </c>
      <c r="J58" s="38">
        <f>IFERROR(F58/H58,0)</f>
        <v/>
      </c>
      <c r="K58" s="31" t="n">
        <v>11.8154084932097</v>
      </c>
      <c r="L58" s="31" t="n">
        <v>106.059745634835</v>
      </c>
      <c r="M58" s="38">
        <f>IFERROR(L58/K58,0)</f>
        <v/>
      </c>
      <c r="N58" s="31" t="n">
        <v>4.00753179564561</v>
      </c>
      <c r="O58" s="31" t="n">
        <v>7.94465833153697</v>
      </c>
      <c r="P58" s="38">
        <f>IFERROR(O58/N58,0)</f>
        <v/>
      </c>
      <c r="Q58" s="31" t="n">
        <v>15.82294</v>
      </c>
      <c r="R58" s="31" t="n">
        <v>114.004404</v>
      </c>
      <c r="S58" s="38">
        <f>IFERROR(R58/Q58,0)</f>
        <v/>
      </c>
      <c r="T58" s="39">
        <f>IFERROR(Q58/SUMIF($A:$A,A58,$Q:$Q),0)</f>
        <v/>
      </c>
      <c r="U58" s="39">
        <f>IFERROR(Q58/F58,0)</f>
        <v/>
      </c>
      <c r="V58" s="35">
        <f>F58-R58</f>
        <v/>
      </c>
      <c r="W58" s="39">
        <f>IFERROR(V58/F58,0)</f>
        <v/>
      </c>
      <c r="X58" s="29" t="n">
        <v>3.70748</v>
      </c>
      <c r="Y58" s="31" t="n">
        <v>19.411</v>
      </c>
      <c r="Z58" s="39">
        <f>IFERROR(Y58/G58,0)</f>
        <v/>
      </c>
      <c r="AA58" s="35">
        <f>Y58-K58/1.06</f>
        <v/>
      </c>
      <c r="AB58" s="39">
        <f>IFERROR(AA58/G58,0)</f>
        <v/>
      </c>
      <c r="AC58" s="31" t="n">
        <v>0.986075</v>
      </c>
      <c r="AD58" s="39">
        <f>IFERROR(AC58/G58,0)</f>
        <v/>
      </c>
    </row>
    <row r="59">
      <c r="A59" s="27" t="inlineStr">
        <is>
          <t>5.25-5.31</t>
        </is>
      </c>
      <c r="B59" s="27" t="inlineStr">
        <is>
          <t>5.25-5.31</t>
        </is>
      </c>
      <c r="C59" s="34" t="n">
        <v>648604228786</v>
      </c>
      <c r="D59" s="27" t="inlineStr">
        <is>
          <t>杯面混搭</t>
        </is>
      </c>
      <c r="E59" s="27" t="inlineStr">
        <is>
          <t>INDOMIE营多日式杯面原味经典泡面整箱批发速食宿舍旅行宵夜宿舍</t>
        </is>
      </c>
      <c r="F59" s="31" t="n">
        <v>166.75</v>
      </c>
      <c r="G59" s="35">
        <f>IFERROR(F59/1.13,0)</f>
        <v/>
      </c>
      <c r="H59" s="36" t="n">
        <v>6</v>
      </c>
      <c r="I59" s="37" t="n">
        <v>0.001293382194438456</v>
      </c>
      <c r="J59" s="38">
        <f>IFERROR(F59/H59,0)</f>
        <v/>
      </c>
      <c r="K59" s="31" t="n">
        <v>11.4469389954732</v>
      </c>
      <c r="L59" s="31" t="n">
        <v>47.45649708989</v>
      </c>
      <c r="M59" s="38">
        <f>IFERROR(L59/K59,0)</f>
        <v/>
      </c>
      <c r="N59" s="31" t="n">
        <v>2.67168786376374</v>
      </c>
      <c r="O59" s="31" t="n">
        <v>5.29643888769131</v>
      </c>
      <c r="P59" s="38">
        <f>IFERROR(O59/N59,0)</f>
        <v/>
      </c>
      <c r="Q59" s="31" t="n">
        <v>14.118627</v>
      </c>
      <c r="R59" s="31" t="n">
        <v>52.752936</v>
      </c>
      <c r="S59" s="38">
        <f>IFERROR(R59/Q59,0)</f>
        <v/>
      </c>
      <c r="T59" s="39">
        <f>IFERROR(Q59/SUMIF($A:$A,A59,$Q:$Q),0)</f>
        <v/>
      </c>
      <c r="U59" s="39">
        <f>IFERROR(Q59/F59,0)</f>
        <v/>
      </c>
      <c r="V59" s="35">
        <f>F59-R59</f>
        <v/>
      </c>
      <c r="W59" s="39">
        <f>IFERROR(V59/F59,0)</f>
        <v/>
      </c>
      <c r="X59" s="29" t="n">
        <v>2.471653</v>
      </c>
      <c r="Y59" s="31" t="n">
        <v>21.368</v>
      </c>
      <c r="Z59" s="39">
        <f>IFERROR(Y59/G59,0)</f>
        <v/>
      </c>
      <c r="AA59" s="35">
        <f>Y59-K59/1.06</f>
        <v/>
      </c>
      <c r="AB59" s="39">
        <f>IFERROR(AA59/G59,0)</f>
        <v/>
      </c>
      <c r="AC59" s="31" t="n">
        <v>5.716792</v>
      </c>
      <c r="AD59" s="39">
        <f>IFERROR(AC59/G59,0)</f>
        <v/>
      </c>
    </row>
    <row r="60">
      <c r="A60" s="27" t="inlineStr">
        <is>
          <t>5.25-5.31</t>
        </is>
      </c>
      <c r="B60" s="27" t="inlineStr">
        <is>
          <t>5.25-5.31</t>
        </is>
      </c>
      <c r="C60" s="34" t="n">
        <v>976479938842</v>
      </c>
      <c r="D60" s="27" t="inlineStr">
        <is>
          <t>【U选】原味5</t>
        </is>
      </c>
      <c r="E60" s="27" t="inlineStr">
        <is>
          <t>【天猫U选】indomie营多大骨牛肉味捞面拌面5包</t>
        </is>
      </c>
      <c r="F60" s="31" t="n">
        <v>47.72</v>
      </c>
      <c r="G60" s="35">
        <f>IFERROR(F60/1.13,0)</f>
        <v/>
      </c>
      <c r="H60" s="36" t="n">
        <v>5</v>
      </c>
      <c r="I60" s="37" t="n">
        <v>0.001077818495365381</v>
      </c>
      <c r="J60" s="38">
        <f>IFERROR(F60/H60,0)</f>
        <v/>
      </c>
      <c r="K60" s="31" t="n">
        <v>1.18078249622763</v>
      </c>
      <c r="L60" s="31" t="n">
        <v>4.63874757490837</v>
      </c>
      <c r="M60" s="38">
        <f>IFERROR(L60/K60,0)</f>
        <v/>
      </c>
      <c r="N60" s="31" t="n">
        <v>2.22640655313645</v>
      </c>
      <c r="O60" s="31" t="n">
        <v>4.41369907307609</v>
      </c>
      <c r="P60" s="38">
        <f>IFERROR(O60/N60,0)</f>
        <v/>
      </c>
      <c r="Q60" s="31" t="n">
        <v>3.407189</v>
      </c>
      <c r="R60" s="31" t="n">
        <v>9.052447000000001</v>
      </c>
      <c r="S60" s="38">
        <f>IFERROR(R60/Q60,0)</f>
        <v/>
      </c>
      <c r="T60" s="39">
        <f>IFERROR(Q60/SUMIF($A:$A,A60,$Q:$Q),0)</f>
        <v/>
      </c>
      <c r="U60" s="39">
        <f>IFERROR(Q60/F60,0)</f>
        <v/>
      </c>
      <c r="V60" s="35">
        <f>F60-R60</f>
        <v/>
      </c>
      <c r="W60" s="39">
        <f>IFERROR(V60/F60,0)</f>
        <v/>
      </c>
      <c r="X60" s="29" t="n">
        <v>2.059711</v>
      </c>
      <c r="Y60" s="31" t="n">
        <v>-15.273</v>
      </c>
      <c r="Z60" s="39">
        <f>IFERROR(Y60/G60,0)</f>
        <v/>
      </c>
      <c r="AA60" s="35">
        <f>Y60-K60/1.06</f>
        <v/>
      </c>
      <c r="AB60" s="39">
        <f>IFERROR(AA60/G60,0)</f>
        <v/>
      </c>
      <c r="AC60" s="31" t="n">
        <v>-20.430453</v>
      </c>
      <c r="AD60" s="39">
        <f>IFERROR(AC60/G60,0)</f>
        <v/>
      </c>
    </row>
    <row r="61">
      <c r="A61" s="27" t="inlineStr">
        <is>
          <t>5.25-5.31</t>
        </is>
      </c>
      <c r="B61" s="27" t="inlineStr">
        <is>
          <t>5.25-5.31</t>
        </is>
      </c>
      <c r="C61" s="34" t="n">
        <v>773972883430</v>
      </c>
      <c r="D61" s="27" t="inlineStr">
        <is>
          <t>日式袋面</t>
        </is>
      </c>
      <c r="E61" s="27" t="inlineStr">
        <is>
          <t>营多捞面韩式火鸡面辣蘑菇汤面袋装泡面辣味速食方便面宿舍宵夜面</t>
        </is>
      </c>
      <c r="F61" s="31" t="n">
        <v>120.41</v>
      </c>
      <c r="G61" s="35">
        <f>IFERROR(F61/1.13,0)</f>
        <v/>
      </c>
      <c r="H61" s="36" t="n">
        <v>5</v>
      </c>
      <c r="I61" s="37" t="n">
        <v>0.001077818495365381</v>
      </c>
      <c r="J61" s="38">
        <f>IFERROR(F61/H61,0)</f>
        <v/>
      </c>
      <c r="K61" s="31" t="n">
        <v>4.67078249622763</v>
      </c>
      <c r="L61" s="31" t="n">
        <v>78.3387475749084</v>
      </c>
      <c r="M61" s="38">
        <f>IFERROR(L61/K61,0)</f>
        <v/>
      </c>
      <c r="N61" s="31" t="n">
        <v>2.22640655313645</v>
      </c>
      <c r="O61" s="31" t="n">
        <v>4.41369907307609</v>
      </c>
      <c r="P61" s="38">
        <f>IFERROR(O61/N61,0)</f>
        <v/>
      </c>
      <c r="Q61" s="31" t="n">
        <v>6.897189</v>
      </c>
      <c r="R61" s="31" t="n">
        <v>82.752447</v>
      </c>
      <c r="S61" s="38">
        <f>IFERROR(R61/Q61,0)</f>
        <v/>
      </c>
      <c r="T61" s="39">
        <f>IFERROR(Q61/SUMIF($A:$A,A61,$Q:$Q),0)</f>
        <v/>
      </c>
      <c r="U61" s="39">
        <f>IFERROR(Q61/F61,0)</f>
        <v/>
      </c>
      <c r="V61" s="35">
        <f>F61-R61</f>
        <v/>
      </c>
      <c r="W61" s="39">
        <f>IFERROR(V61/F61,0)</f>
        <v/>
      </c>
      <c r="X61" s="29" t="n">
        <v>2.059711</v>
      </c>
      <c r="Y61" s="31" t="n">
        <v>15.545</v>
      </c>
      <c r="Z61" s="39">
        <f>IFERROR(Y61/G61,0)</f>
        <v/>
      </c>
      <c r="AA61" s="35">
        <f>Y61-K61/1.06</f>
        <v/>
      </c>
      <c r="AB61" s="39">
        <f>IFERROR(AA61/G61,0)</f>
        <v/>
      </c>
      <c r="AC61" s="31" t="n">
        <v>7.095094</v>
      </c>
      <c r="AD61" s="39">
        <f>IFERROR(AC61/G61,0)</f>
        <v/>
      </c>
    </row>
    <row r="62">
      <c r="A62" s="27" t="inlineStr">
        <is>
          <t>5.25-5.31</t>
        </is>
      </c>
      <c r="B62" s="27" t="inlineStr">
        <is>
          <t>5.25-5.31</t>
        </is>
      </c>
      <c r="C62" s="34" t="n">
        <v>976466902934</v>
      </c>
      <c r="D62" s="27" t="inlineStr">
        <is>
          <t>【U选】日式原杯1+日式辣杯1</t>
        </is>
      </c>
      <c r="E62" s="27" t="inlineStr">
        <is>
          <t>【天猫U选】indomie营多捞面辣火鸡味日式鸡肉原味杯面</t>
        </is>
      </c>
      <c r="F62" s="31" t="n">
        <v>38.62</v>
      </c>
      <c r="G62" s="35">
        <f>IFERROR(F62/1.13,0)</f>
        <v/>
      </c>
      <c r="H62" s="36" t="n">
        <v>4</v>
      </c>
      <c r="I62" s="37" t="n">
        <v>0.0008622547962923044</v>
      </c>
      <c r="J62" s="38">
        <f>IFERROR(F62/H62,0)</f>
        <v/>
      </c>
      <c r="K62" s="31" t="n">
        <v>0.944625996982104</v>
      </c>
      <c r="L62" s="31" t="n">
        <v>3.7109980599267</v>
      </c>
      <c r="M62" s="38">
        <f>IFERROR(L62/K62,0)</f>
        <v/>
      </c>
      <c r="N62" s="31" t="n">
        <v>1.78112524250916</v>
      </c>
      <c r="O62" s="31" t="n">
        <v>3.53095925846087</v>
      </c>
      <c r="P62" s="38">
        <f>IFERROR(O62/N62,0)</f>
        <v/>
      </c>
      <c r="Q62" s="31" t="n">
        <v>2.725751</v>
      </c>
      <c r="R62" s="31" t="n">
        <v>7.241957</v>
      </c>
      <c r="S62" s="38">
        <f>IFERROR(R62/Q62,0)</f>
        <v/>
      </c>
      <c r="T62" s="39">
        <f>IFERROR(Q62/SUMIF($A:$A,A62,$Q:$Q),0)</f>
        <v/>
      </c>
      <c r="U62" s="39">
        <f>IFERROR(Q62/F62,0)</f>
        <v/>
      </c>
      <c r="V62" s="35">
        <f>F62-R62</f>
        <v/>
      </c>
      <c r="W62" s="39">
        <f>IFERROR(V62/F62,0)</f>
        <v/>
      </c>
      <c r="X62" s="29" t="n">
        <v>1.647769</v>
      </c>
      <c r="Y62" s="31" t="n">
        <v>-6.24</v>
      </c>
      <c r="Z62" s="39">
        <f>IFERROR(Y62/G62,0)</f>
        <v/>
      </c>
      <c r="AA62" s="35">
        <f>Y62-K62/1.06</f>
        <v/>
      </c>
      <c r="AB62" s="39">
        <f>IFERROR(AA62/G62,0)</f>
        <v/>
      </c>
      <c r="AC62" s="31" t="n">
        <v>-10.365962</v>
      </c>
      <c r="AD62" s="39">
        <f>IFERROR(AC62/G62,0)</f>
        <v/>
      </c>
    </row>
    <row r="63">
      <c r="A63" s="27" t="inlineStr">
        <is>
          <t>5.25-5.31</t>
        </is>
      </c>
      <c r="B63" s="27" t="inlineStr">
        <is>
          <t>5.25-5.31</t>
        </is>
      </c>
      <c r="C63" s="34" t="n">
        <v>949962665617</v>
      </c>
      <c r="D63" s="27" t="inlineStr">
        <is>
          <t>组合</t>
        </is>
      </c>
      <c r="E63" s="27" t="inlineStr">
        <is>
          <t>营多捞面多口味袋装泡面拌面速食面干拌面方便面宿舍宵夜速食旅行</t>
        </is>
      </c>
      <c r="F63" s="31" t="n">
        <v>105.47</v>
      </c>
      <c r="G63" s="35">
        <f>IFERROR(F63/1.13,0)</f>
        <v/>
      </c>
      <c r="H63" s="36" t="n">
        <v>4</v>
      </c>
      <c r="I63" s="37" t="n">
        <v>0.0008622547962923044</v>
      </c>
      <c r="J63" s="38">
        <f>IFERROR(F63/H63,0)</f>
        <v/>
      </c>
      <c r="K63" s="31" t="n">
        <v>84.3146259969821</v>
      </c>
      <c r="L63" s="31" t="n">
        <v>128.340998059927</v>
      </c>
      <c r="M63" s="38">
        <f>IFERROR(L63/K63,0)</f>
        <v/>
      </c>
      <c r="N63" s="31" t="n">
        <v>1.78112524250916</v>
      </c>
      <c r="O63" s="31" t="n">
        <v>3.53095925846087</v>
      </c>
      <c r="P63" s="38">
        <f>IFERROR(O63/N63,0)</f>
        <v/>
      </c>
      <c r="Q63" s="31" t="n">
        <v>86.09575100000001</v>
      </c>
      <c r="R63" s="31" t="n">
        <v>131.871957</v>
      </c>
      <c r="S63" s="38">
        <f>IFERROR(R63/Q63,0)</f>
        <v/>
      </c>
      <c r="T63" s="39">
        <f>IFERROR(Q63/SUMIF($A:$A,A63,$Q:$Q),0)</f>
        <v/>
      </c>
      <c r="U63" s="39">
        <f>IFERROR(Q63/F63,0)</f>
        <v/>
      </c>
      <c r="V63" s="35">
        <f>F63-R63</f>
        <v/>
      </c>
      <c r="W63" s="39">
        <f>IFERROR(V63/F63,0)</f>
        <v/>
      </c>
      <c r="X63" s="29" t="n">
        <v>1.647769</v>
      </c>
      <c r="Y63" s="31" t="n">
        <v>13.312</v>
      </c>
      <c r="Z63" s="39">
        <f>IFERROR(Y63/G63,0)</f>
        <v/>
      </c>
      <c r="AA63" s="35">
        <f>Y63-K63/1.06</f>
        <v/>
      </c>
      <c r="AB63" s="39">
        <f>IFERROR(AA63/G63,0)</f>
        <v/>
      </c>
      <c r="AC63" s="31" t="n">
        <v>-69.464906</v>
      </c>
      <c r="AD63" s="39">
        <f>IFERROR(AC63/G63,0)</f>
        <v/>
      </c>
    </row>
    <row r="64">
      <c r="A64" s="27" t="inlineStr">
        <is>
          <t>5.25-5.31</t>
        </is>
      </c>
      <c r="B64" s="27" t="inlineStr">
        <is>
          <t>5.25-5.31</t>
        </is>
      </c>
      <c r="C64" s="34" t="n">
        <v>937005385662</v>
      </c>
      <c r="D64" s="27" t="inlineStr">
        <is>
          <t>日式袋面</t>
        </is>
      </c>
      <c r="E64" s="27" t="inlineStr">
        <is>
          <t>进口营多正品捞面日式鸡肉鸡汤辛辣味袋装泡面辣味速食方便面汤面</t>
        </is>
      </c>
      <c r="F64" s="31" t="n">
        <v>92.59999999999999</v>
      </c>
      <c r="G64" s="35">
        <f>IFERROR(F64/1.13,0)</f>
        <v/>
      </c>
      <c r="H64" s="36" t="n">
        <v>4</v>
      </c>
      <c r="I64" s="37" t="n">
        <v>0.0008622547962923044</v>
      </c>
      <c r="J64" s="38">
        <f>IFERROR(F64/H64,0)</f>
        <v/>
      </c>
      <c r="K64" s="31" t="n">
        <v>39.6446259969821</v>
      </c>
      <c r="L64" s="31" t="n">
        <v>51.7209980599267</v>
      </c>
      <c r="M64" s="38">
        <f>IFERROR(L64/K64,0)</f>
        <v/>
      </c>
      <c r="N64" s="31" t="n">
        <v>1.78112524250916</v>
      </c>
      <c r="O64" s="31" t="n">
        <v>3.53095925846087</v>
      </c>
      <c r="P64" s="38">
        <f>IFERROR(O64/N64,0)</f>
        <v/>
      </c>
      <c r="Q64" s="31" t="n">
        <v>41.425751</v>
      </c>
      <c r="R64" s="31" t="n">
        <v>55.251957</v>
      </c>
      <c r="S64" s="38">
        <f>IFERROR(R64/Q64,0)</f>
        <v/>
      </c>
      <c r="T64" s="39">
        <f>IFERROR(Q64/SUMIF($A:$A,A64,$Q:$Q),0)</f>
        <v/>
      </c>
      <c r="U64" s="39">
        <f>IFERROR(Q64/F64,0)</f>
        <v/>
      </c>
      <c r="V64" s="35">
        <f>F64-R64</f>
        <v/>
      </c>
      <c r="W64" s="39">
        <f>IFERROR(V64/F64,0)</f>
        <v/>
      </c>
      <c r="X64" s="29" t="n">
        <v>1.647769</v>
      </c>
      <c r="Y64" s="31" t="n">
        <v>14.561</v>
      </c>
      <c r="Z64" s="39">
        <f>IFERROR(Y64/G64,0)</f>
        <v/>
      </c>
      <c r="AA64" s="35">
        <f>Y64-K64/1.06</f>
        <v/>
      </c>
      <c r="AB64" s="39">
        <f>IFERROR(AA64/G64,0)</f>
        <v/>
      </c>
      <c r="AC64" s="31" t="n">
        <v>-26.074396</v>
      </c>
      <c r="AD64" s="39">
        <f>IFERROR(AC64/G64,0)</f>
        <v/>
      </c>
    </row>
    <row r="65">
      <c r="A65" s="27" t="inlineStr">
        <is>
          <t>5.25-5.31</t>
        </is>
      </c>
      <c r="B65" s="27" t="inlineStr">
        <is>
          <t>5.25-5.31</t>
        </is>
      </c>
      <c r="C65" s="34" t="n">
        <v>885645733215</v>
      </c>
      <c r="D65" s="27" t="inlineStr">
        <is>
          <t>大骨牛肉</t>
        </is>
      </c>
      <c r="E65" s="27" t="inlineStr">
        <is>
          <t>进口营多大骨番茄牛肉味营多捞面意式泡面宿舍宿舍宵夜速食方便面</t>
        </is>
      </c>
      <c r="F65" s="31" t="n">
        <v>76.67</v>
      </c>
      <c r="G65" s="35">
        <f>IFERROR(F65/1.13,0)</f>
        <v/>
      </c>
      <c r="H65" s="36" t="n">
        <v>4</v>
      </c>
      <c r="I65" s="37" t="n">
        <v>0.0008622547962923044</v>
      </c>
      <c r="J65" s="38">
        <f>IFERROR(F65/H65,0)</f>
        <v/>
      </c>
      <c r="K65" s="31" t="n">
        <v>3.0246259969821</v>
      </c>
      <c r="L65" s="31" t="n">
        <v>3.7109980599267</v>
      </c>
      <c r="M65" s="38">
        <f>IFERROR(L65/K65,0)</f>
        <v/>
      </c>
      <c r="N65" s="31" t="n">
        <v>1.78112524250916</v>
      </c>
      <c r="O65" s="31" t="n">
        <v>3.53095925846087</v>
      </c>
      <c r="P65" s="38">
        <f>IFERROR(O65/N65,0)</f>
        <v/>
      </c>
      <c r="Q65" s="31" t="n">
        <v>4.805751</v>
      </c>
      <c r="R65" s="31" t="n">
        <v>7.241957</v>
      </c>
      <c r="S65" s="38">
        <f>IFERROR(R65/Q65,0)</f>
        <v/>
      </c>
      <c r="T65" s="39">
        <f>IFERROR(Q65/SUMIF($A:$A,A65,$Q:$Q),0)</f>
        <v/>
      </c>
      <c r="U65" s="39">
        <f>IFERROR(Q65/F65,0)</f>
        <v/>
      </c>
      <c r="V65" s="35">
        <f>F65-R65</f>
        <v/>
      </c>
      <c r="W65" s="39">
        <f>IFERROR(V65/F65,0)</f>
        <v/>
      </c>
      <c r="X65" s="29" t="n">
        <v>1.647769</v>
      </c>
      <c r="Y65" s="31" t="n">
        <v>6.746</v>
      </c>
      <c r="Z65" s="39">
        <f>IFERROR(Y65/G65,0)</f>
        <v/>
      </c>
      <c r="AA65" s="35">
        <f>Y65-K65/1.06</f>
        <v/>
      </c>
      <c r="AB65" s="39">
        <f>IFERROR(AA65/G65,0)</f>
        <v/>
      </c>
      <c r="AC65" s="31" t="n">
        <v>0.6577730000000001</v>
      </c>
      <c r="AD65" s="39">
        <f>IFERROR(AC65/G65,0)</f>
        <v/>
      </c>
    </row>
    <row r="66">
      <c r="A66" s="27" t="inlineStr">
        <is>
          <t>5.25-5.31</t>
        </is>
      </c>
      <c r="B66" s="27" t="inlineStr">
        <is>
          <t>5.25-5.31</t>
        </is>
      </c>
      <c r="C66" s="34" t="n">
        <v>1028450344901</v>
      </c>
      <c r="D66" s="27" t="inlineStr">
        <is>
          <t>韩式火鸡</t>
        </is>
      </c>
      <c r="E66" s="27" t="inlineStr">
        <is>
          <t>营多韩式火鸡面袋装拌面干拌面泡面方便面速食面宿舍宵夜旅行</t>
        </is>
      </c>
      <c r="F66" s="31" t="n">
        <v>96.63</v>
      </c>
      <c r="G66" s="35">
        <f>IFERROR(F66/1.13,0)</f>
        <v/>
      </c>
      <c r="H66" s="36" t="n">
        <v>4</v>
      </c>
      <c r="I66" s="37" t="n">
        <v>0.0008622547962923044</v>
      </c>
      <c r="J66" s="38">
        <f>IFERROR(F66/H66,0)</f>
        <v/>
      </c>
      <c r="K66" s="31" t="n">
        <v>5.3046259969821</v>
      </c>
      <c r="L66" s="31" t="n">
        <v>3.7109980599267</v>
      </c>
      <c r="M66" s="38">
        <f>IFERROR(L66/K66,0)</f>
        <v/>
      </c>
      <c r="N66" s="31" t="n">
        <v>1.78112524250916</v>
      </c>
      <c r="O66" s="31" t="n">
        <v>3.53095925846087</v>
      </c>
      <c r="P66" s="38">
        <f>IFERROR(O66/N66,0)</f>
        <v/>
      </c>
      <c r="Q66" s="31" t="n">
        <v>7.085751</v>
      </c>
      <c r="R66" s="31" t="n">
        <v>7.241957</v>
      </c>
      <c r="S66" s="38">
        <f>IFERROR(R66/Q66,0)</f>
        <v/>
      </c>
      <c r="T66" s="39">
        <f>IFERROR(Q66/SUMIF($A:$A,A66,$Q:$Q),0)</f>
        <v/>
      </c>
      <c r="U66" s="39">
        <f>IFERROR(Q66/F66,0)</f>
        <v/>
      </c>
      <c r="V66" s="35">
        <f>F66-R66</f>
        <v/>
      </c>
      <c r="W66" s="39">
        <f>IFERROR(V66/F66,0)</f>
        <v/>
      </c>
      <c r="X66" s="29" t="n">
        <v>1.647769</v>
      </c>
      <c r="Y66" s="31" t="n">
        <v>9.231</v>
      </c>
      <c r="Z66" s="39">
        <f>IFERROR(Y66/G66,0)</f>
        <v/>
      </c>
      <c r="AA66" s="35">
        <f>Y66-K66/1.06</f>
        <v/>
      </c>
      <c r="AB66" s="39">
        <f>IFERROR(AA66/G66,0)</f>
        <v/>
      </c>
      <c r="AC66" s="31" t="n">
        <v>0.99183</v>
      </c>
      <c r="AD66" s="39">
        <f>IFERROR(AC66/G66,0)</f>
        <v/>
      </c>
    </row>
    <row r="67">
      <c r="A67" s="27" t="inlineStr">
        <is>
          <t>5.25-5.31</t>
        </is>
      </c>
      <c r="B67" s="27" t="inlineStr">
        <is>
          <t>5.25-5.31</t>
        </is>
      </c>
      <c r="C67" s="34" t="n">
        <v>971242260371</v>
      </c>
      <c r="D67" s="27" t="inlineStr">
        <is>
          <t>韩式袋面</t>
        </is>
      </c>
      <c r="E67" s="27" t="inlineStr">
        <is>
          <t>新品营多捞面韩式辣蘑菇汤面泡面方便面速食干拌面宿舍宵夜旅行</t>
        </is>
      </c>
      <c r="F67" s="31" t="n">
        <v>49.29</v>
      </c>
      <c r="G67" s="35">
        <f>IFERROR(F67/1.13,0)</f>
        <v/>
      </c>
      <c r="H67" s="36" t="n">
        <v>3</v>
      </c>
      <c r="I67" s="37" t="n">
        <v>0.0006466910972192282</v>
      </c>
      <c r="J67" s="38">
        <f>IFERROR(F67/H67,0)</f>
        <v/>
      </c>
      <c r="K67" s="31" t="n">
        <v>61.9384694977366</v>
      </c>
      <c r="L67" s="31" t="n">
        <v>262.273248544945</v>
      </c>
      <c r="M67" s="38">
        <f>IFERROR(L67/K67,0)</f>
        <v/>
      </c>
      <c r="N67" s="31" t="n">
        <v>1.33584393188187</v>
      </c>
      <c r="O67" s="31" t="n">
        <v>2.64821944384566</v>
      </c>
      <c r="P67" s="38">
        <f>IFERROR(O67/N67,0)</f>
        <v/>
      </c>
      <c r="Q67" s="31" t="n">
        <v>63.274313</v>
      </c>
      <c r="R67" s="31" t="n">
        <v>264.921468</v>
      </c>
      <c r="S67" s="38">
        <f>IFERROR(R67/Q67,0)</f>
        <v/>
      </c>
      <c r="T67" s="39">
        <f>IFERROR(Q67/SUMIF($A:$A,A67,$Q:$Q),0)</f>
        <v/>
      </c>
      <c r="U67" s="39">
        <f>IFERROR(Q67/F67,0)</f>
        <v/>
      </c>
      <c r="V67" s="35">
        <f>F67-R67</f>
        <v/>
      </c>
      <c r="W67" s="39">
        <f>IFERROR(V67/F67,0)</f>
        <v/>
      </c>
      <c r="X67" s="29" t="n">
        <v>1.235827</v>
      </c>
      <c r="Y67" s="31" t="n">
        <v>4.184</v>
      </c>
      <c r="Z67" s="39">
        <f>IFERROR(Y67/G67,0)</f>
        <v/>
      </c>
      <c r="AA67" s="35">
        <f>Y67-K67/1.06</f>
        <v/>
      </c>
      <c r="AB67" s="39">
        <f>IFERROR(AA67/G67,0)</f>
        <v/>
      </c>
      <c r="AC67" s="31" t="n">
        <v>-56.674623</v>
      </c>
      <c r="AD67" s="39">
        <f>IFERROR(AC67/G67,0)</f>
        <v/>
      </c>
    </row>
    <row r="68">
      <c r="A68" s="27" t="inlineStr">
        <is>
          <t>5.25-5.31</t>
        </is>
      </c>
      <c r="B68" s="27" t="inlineStr">
        <is>
          <t>5.25-5.31</t>
        </is>
      </c>
      <c r="C68" s="34" t="n">
        <v>916072786304</v>
      </c>
      <c r="D68" s="27" t="inlineStr">
        <is>
          <t>小规格</t>
        </is>
      </c>
      <c r="E68" s="27" t="inlineStr">
        <is>
          <t>营多印尼进口营多捞面方便面火鸡面干拌面10包宿舍速食泡面夜宵</t>
        </is>
      </c>
      <c r="F68" s="31" t="n">
        <v>59.43</v>
      </c>
      <c r="G68" s="35">
        <f>IFERROR(F68/1.13,0)</f>
        <v/>
      </c>
      <c r="H68" s="36" t="n">
        <v>3</v>
      </c>
      <c r="I68" s="37" t="n">
        <v>0.0006466910972192282</v>
      </c>
      <c r="J68" s="38">
        <f>IFERROR(F68/H68,0)</f>
        <v/>
      </c>
      <c r="K68" s="31" t="n">
        <v>1.72846949773658</v>
      </c>
      <c r="L68" s="31" t="n">
        <v>2.78324854494502</v>
      </c>
      <c r="M68" s="38">
        <f>IFERROR(L68/K68,0)</f>
        <v/>
      </c>
      <c r="N68" s="31" t="n">
        <v>1.33584393188187</v>
      </c>
      <c r="O68" s="31" t="n">
        <v>2.64821944384566</v>
      </c>
      <c r="P68" s="38">
        <f>IFERROR(O68/N68,0)</f>
        <v/>
      </c>
      <c r="Q68" s="31" t="n">
        <v>3.064313</v>
      </c>
      <c r="R68" s="31" t="n">
        <v>5.431468</v>
      </c>
      <c r="S68" s="38">
        <f>IFERROR(R68/Q68,0)</f>
        <v/>
      </c>
      <c r="T68" s="39">
        <f>IFERROR(Q68/SUMIF($A:$A,A68,$Q:$Q),0)</f>
        <v/>
      </c>
      <c r="U68" s="39">
        <f>IFERROR(Q68/F68,0)</f>
        <v/>
      </c>
      <c r="V68" s="35">
        <f>F68-R68</f>
        <v/>
      </c>
      <c r="W68" s="39">
        <f>IFERROR(V68/F68,0)</f>
        <v/>
      </c>
      <c r="X68" s="29" t="n">
        <v>1.235827</v>
      </c>
      <c r="Y68" s="31" t="n">
        <v>3.496</v>
      </c>
      <c r="Z68" s="39">
        <f>IFERROR(Y68/G68,0)</f>
        <v/>
      </c>
      <c r="AA68" s="35">
        <f>Y68-K68/1.06</f>
        <v/>
      </c>
      <c r="AB68" s="39">
        <f>IFERROR(AA68/G68,0)</f>
        <v/>
      </c>
      <c r="AC68" s="31" t="n">
        <v>-0.560736</v>
      </c>
      <c r="AD68" s="39">
        <f>IFERROR(AC68/G68,0)</f>
        <v/>
      </c>
    </row>
    <row r="69">
      <c r="A69" s="27" t="inlineStr">
        <is>
          <t>5.25-5.31</t>
        </is>
      </c>
      <c r="B69" s="27" t="inlineStr">
        <is>
          <t>5.25-5.31</t>
        </is>
      </c>
      <c r="C69" s="34" t="n">
        <v>903183018417</v>
      </c>
      <c r="D69" s="27" t="inlineStr">
        <is>
          <t>七口味混搭</t>
        </is>
      </c>
      <c r="E69" s="27" t="inlineStr">
        <is>
          <t>进口营多捞面汤面拌面七口味混合方便面速拉面宿舍拌面泡面食食品</t>
        </is>
      </c>
      <c r="F69" s="31" t="n">
        <v>57.82</v>
      </c>
      <c r="G69" s="35">
        <f>IFERROR(F69/1.13,0)</f>
        <v/>
      </c>
      <c r="H69" s="36" t="n">
        <v>3</v>
      </c>
      <c r="I69" s="37" t="n">
        <v>0.0006466910972192282</v>
      </c>
      <c r="J69" s="38">
        <f>IFERROR(F69/H69,0)</f>
        <v/>
      </c>
      <c r="K69" s="31" t="n">
        <v>15.4584694977366</v>
      </c>
      <c r="L69" s="31" t="n">
        <v>21.243248544945</v>
      </c>
      <c r="M69" s="38">
        <f>IFERROR(L69/K69,0)</f>
        <v/>
      </c>
      <c r="N69" s="31" t="n">
        <v>1.33584393188187</v>
      </c>
      <c r="O69" s="31" t="n">
        <v>2.64821944384566</v>
      </c>
      <c r="P69" s="38">
        <f>IFERROR(O69/N69,0)</f>
        <v/>
      </c>
      <c r="Q69" s="31" t="n">
        <v>16.794313</v>
      </c>
      <c r="R69" s="31" t="n">
        <v>23.891468</v>
      </c>
      <c r="S69" s="38">
        <f>IFERROR(R69/Q69,0)</f>
        <v/>
      </c>
      <c r="T69" s="39">
        <f>IFERROR(Q69/SUMIF($A:$A,A69,$Q:$Q),0)</f>
        <v/>
      </c>
      <c r="U69" s="39">
        <f>IFERROR(Q69/F69,0)</f>
        <v/>
      </c>
      <c r="V69" s="35">
        <f>F69-R69</f>
        <v/>
      </c>
      <c r="W69" s="39">
        <f>IFERROR(V69/F69,0)</f>
        <v/>
      </c>
      <c r="X69" s="29" t="n">
        <v>1.235827</v>
      </c>
      <c r="Y69" s="31" t="n">
        <v>4.48</v>
      </c>
      <c r="Z69" s="39">
        <f>IFERROR(Y69/G69,0)</f>
        <v/>
      </c>
      <c r="AA69" s="35">
        <f>Y69-K69/1.06</f>
        <v/>
      </c>
      <c r="AB69" s="39">
        <f>IFERROR(AA69/G69,0)</f>
        <v/>
      </c>
      <c r="AC69" s="31" t="n">
        <v>-12.529566</v>
      </c>
      <c r="AD69" s="39">
        <f>IFERROR(AC69/G69,0)</f>
        <v/>
      </c>
    </row>
    <row r="70">
      <c r="A70" s="27" t="inlineStr">
        <is>
          <t>5.25-5.31</t>
        </is>
      </c>
      <c r="B70" s="27" t="inlineStr">
        <is>
          <t>5.25-5.31</t>
        </is>
      </c>
      <c r="C70" s="34" t="n">
        <v>775016827115</v>
      </c>
      <c r="D70" s="27" t="inlineStr">
        <is>
          <t>杯面混搭</t>
        </is>
      </c>
      <c r="E70" s="27" t="inlineStr">
        <is>
          <t>进口营多原味杯面日式杯面韩式杯面泡面方便面汤面宿舍速食夜宵</t>
        </is>
      </c>
      <c r="F70" s="31" t="n">
        <v>82.91</v>
      </c>
      <c r="G70" s="35">
        <f>IFERROR(F70/1.13,0)</f>
        <v/>
      </c>
      <c r="H70" s="36" t="n">
        <v>3</v>
      </c>
      <c r="I70" s="37" t="n">
        <v>0.0006466910972192282</v>
      </c>
      <c r="J70" s="38">
        <f>IFERROR(F70/H70,0)</f>
        <v/>
      </c>
      <c r="K70" s="31" t="n">
        <v>5.59846949773658</v>
      </c>
      <c r="L70" s="31" t="n">
        <v>2.78324854494502</v>
      </c>
      <c r="M70" s="38">
        <f>IFERROR(L70/K70,0)</f>
        <v/>
      </c>
      <c r="N70" s="31" t="n">
        <v>1.33584393188187</v>
      </c>
      <c r="O70" s="31" t="n">
        <v>2.64821944384566</v>
      </c>
      <c r="P70" s="38">
        <f>IFERROR(O70/N70,0)</f>
        <v/>
      </c>
      <c r="Q70" s="31" t="n">
        <v>6.934313</v>
      </c>
      <c r="R70" s="31" t="n">
        <v>5.431468</v>
      </c>
      <c r="S70" s="38">
        <f>IFERROR(R70/Q70,0)</f>
        <v/>
      </c>
      <c r="T70" s="39">
        <f>IFERROR(Q70/SUMIF($A:$A,A70,$Q:$Q),0)</f>
        <v/>
      </c>
      <c r="U70" s="39">
        <f>IFERROR(Q70/F70,0)</f>
        <v/>
      </c>
      <c r="V70" s="35">
        <f>F70-R70</f>
        <v/>
      </c>
      <c r="W70" s="39">
        <f>IFERROR(V70/F70,0)</f>
        <v/>
      </c>
      <c r="X70" s="29" t="n">
        <v>1.235827</v>
      </c>
      <c r="Y70" s="31" t="n">
        <v>10.303</v>
      </c>
      <c r="Z70" s="39">
        <f>IFERROR(Y70/G70,0)</f>
        <v/>
      </c>
      <c r="AA70" s="35">
        <f>Y70-K70/1.06</f>
        <v/>
      </c>
      <c r="AB70" s="39">
        <f>IFERROR(AA70/G70,0)</f>
        <v/>
      </c>
      <c r="AC70" s="31" t="n">
        <v>2.595321</v>
      </c>
      <c r="AD70" s="39">
        <f>IFERROR(AC70/G70,0)</f>
        <v/>
      </c>
    </row>
    <row r="71">
      <c r="A71" s="27" t="inlineStr">
        <is>
          <t>5.25-5.31</t>
        </is>
      </c>
      <c r="B71" s="27" t="inlineStr">
        <is>
          <t>5.25-5.31</t>
        </is>
      </c>
      <c r="C71" s="34" t="n">
        <v>976467954327</v>
      </c>
      <c r="D71" s="27" t="inlineStr">
        <is>
          <t>日韩杯面</t>
        </is>
      </c>
      <c r="E71" s="27" t="inlineStr">
        <is>
          <t>【天猫U选】indomie营多捞面辣蘑菇味日式辣味杯面</t>
        </is>
      </c>
      <c r="F71" s="31" t="n">
        <v>18.55</v>
      </c>
      <c r="G71" s="35">
        <f>IFERROR(F71/1.13,0)</f>
        <v/>
      </c>
      <c r="H71" s="36" t="n">
        <v>2</v>
      </c>
      <c r="I71" s="37" t="n">
        <v>0.0004311273981461522</v>
      </c>
      <c r="J71" s="38">
        <f>IFERROR(F71/H71,0)</f>
        <v/>
      </c>
      <c r="K71" s="31" t="n">
        <v>0.472312998491052</v>
      </c>
      <c r="L71" s="31" t="n">
        <v>1.85549902996335</v>
      </c>
      <c r="M71" s="38">
        <f>IFERROR(L71/K71,0)</f>
        <v/>
      </c>
      <c r="N71" s="31" t="n">
        <v>0.890562621254581</v>
      </c>
      <c r="O71" s="31" t="n">
        <v>1.76547962923044</v>
      </c>
      <c r="P71" s="38">
        <f>IFERROR(O71/N71,0)</f>
        <v/>
      </c>
      <c r="Q71" s="31" t="n">
        <v>1.362876</v>
      </c>
      <c r="R71" s="31" t="n">
        <v>3.620979</v>
      </c>
      <c r="S71" s="38">
        <f>IFERROR(R71/Q71,0)</f>
        <v/>
      </c>
      <c r="T71" s="39">
        <f>IFERROR(Q71/SUMIF($A:$A,A71,$Q:$Q),0)</f>
        <v/>
      </c>
      <c r="U71" s="39">
        <f>IFERROR(Q71/F71,0)</f>
        <v/>
      </c>
      <c r="V71" s="35">
        <f>F71-R71</f>
        <v/>
      </c>
      <c r="W71" s="39">
        <f>IFERROR(V71/F71,0)</f>
        <v/>
      </c>
      <c r="X71" s="29" t="n">
        <v>0.8238839999999999</v>
      </c>
      <c r="Y71" s="31" t="n">
        <v>-3.742</v>
      </c>
      <c r="Z71" s="39">
        <f>IFERROR(Y71/G71,0)</f>
        <v/>
      </c>
      <c r="AA71" s="35">
        <f>Y71-K71/1.06</f>
        <v/>
      </c>
      <c r="AB71" s="39">
        <f>IFERROR(AA71/G71,0)</f>
        <v/>
      </c>
      <c r="AC71" s="31" t="n">
        <v>-5.804981</v>
      </c>
      <c r="AD71" s="39">
        <f>IFERROR(AC71/G71,0)</f>
        <v/>
      </c>
    </row>
    <row r="72">
      <c r="A72" s="27" t="inlineStr">
        <is>
          <t>5.25-5.31</t>
        </is>
      </c>
      <c r="B72" s="27" t="inlineStr">
        <is>
          <t>5.25-5.31</t>
        </is>
      </c>
      <c r="C72" s="34" t="n">
        <v>965545088099</v>
      </c>
      <c r="D72" s="27" t="inlineStr">
        <is>
          <t>十口味混搭</t>
        </is>
      </c>
      <c r="E72" s="27" t="inlineStr">
        <is>
          <t>营多捞面多口味袋装泡面拌面速食面干拌面方便面速食宵夜宿舍旅行</t>
        </is>
      </c>
      <c r="F72" s="31" t="n">
        <v>67.01000000000001</v>
      </c>
      <c r="G72" s="35">
        <f>IFERROR(F72/1.13,0)</f>
        <v/>
      </c>
      <c r="H72" s="36" t="n">
        <v>2</v>
      </c>
      <c r="I72" s="37" t="n">
        <v>0.0004311273981461522</v>
      </c>
      <c r="J72" s="38">
        <f>IFERROR(F72/H72,0)</f>
        <v/>
      </c>
      <c r="K72" s="31" t="n">
        <v>1.76231299849105</v>
      </c>
      <c r="L72" s="31" t="n">
        <v>1.85549902996335</v>
      </c>
      <c r="M72" s="38">
        <f>IFERROR(L72/K72,0)</f>
        <v/>
      </c>
      <c r="N72" s="31" t="n">
        <v>0.890562621254581</v>
      </c>
      <c r="O72" s="31" t="n">
        <v>1.76547962923044</v>
      </c>
      <c r="P72" s="38">
        <f>IFERROR(O72/N72,0)</f>
        <v/>
      </c>
      <c r="Q72" s="31" t="n">
        <v>2.652876</v>
      </c>
      <c r="R72" s="31" t="n">
        <v>3.620979</v>
      </c>
      <c r="S72" s="38">
        <f>IFERROR(R72/Q72,0)</f>
        <v/>
      </c>
      <c r="T72" s="39">
        <f>IFERROR(Q72/SUMIF($A:$A,A72,$Q:$Q),0)</f>
        <v/>
      </c>
      <c r="U72" s="39">
        <f>IFERROR(Q72/F72,0)</f>
        <v/>
      </c>
      <c r="V72" s="35">
        <f>F72-R72</f>
        <v/>
      </c>
      <c r="W72" s="39">
        <f>IFERROR(V72/F72,0)</f>
        <v/>
      </c>
      <c r="X72" s="29" t="n">
        <v>0.8238839999999999</v>
      </c>
      <c r="Y72" s="31" t="n">
        <v>16.695</v>
      </c>
      <c r="Z72" s="39">
        <f>IFERROR(Y72/G72,0)</f>
        <v/>
      </c>
      <c r="AA72" s="35">
        <f>Y72-K72/1.06</f>
        <v/>
      </c>
      <c r="AB72" s="39">
        <f>IFERROR(AA72/G72,0)</f>
        <v/>
      </c>
      <c r="AC72" s="31" t="n">
        <v>13.415038</v>
      </c>
      <c r="AD72" s="39">
        <f>IFERROR(AC72/G72,0)</f>
        <v/>
      </c>
    </row>
    <row r="73">
      <c r="A73" s="27" t="inlineStr">
        <is>
          <t>5.25-5.31</t>
        </is>
      </c>
      <c r="B73" s="27" t="inlineStr">
        <is>
          <t>5.25-5.31</t>
        </is>
      </c>
      <c r="C73" s="34" t="n">
        <v>947413291596</v>
      </c>
      <c r="D73" s="27" t="inlineStr">
        <is>
          <t>杯面</t>
        </is>
      </c>
      <c r="E73" s="27" t="inlineStr">
        <is>
          <t>营多捞面杯装方便面泡面速食干拌面原味整箱批发印尼进口桶装拌面</t>
        </is>
      </c>
      <c r="F73" s="31" t="n">
        <v>51.51</v>
      </c>
      <c r="G73" s="35">
        <f>IFERROR(F73/1.13,0)</f>
        <v/>
      </c>
      <c r="H73" s="36" t="n">
        <v>2</v>
      </c>
      <c r="I73" s="37" t="n">
        <v>0.0004311273981461522</v>
      </c>
      <c r="J73" s="38">
        <f>IFERROR(F73/H73,0)</f>
        <v/>
      </c>
      <c r="K73" s="31" t="n">
        <v>7.90231299849105</v>
      </c>
      <c r="L73" s="31" t="n">
        <v>53.3654990299633</v>
      </c>
      <c r="M73" s="38">
        <f>IFERROR(L73/K73,0)</f>
        <v/>
      </c>
      <c r="N73" s="31" t="n">
        <v>0.890562621254581</v>
      </c>
      <c r="O73" s="31" t="n">
        <v>1.76547962923044</v>
      </c>
      <c r="P73" s="38">
        <f>IFERROR(O73/N73,0)</f>
        <v/>
      </c>
      <c r="Q73" s="31" t="n">
        <v>8.792876</v>
      </c>
      <c r="R73" s="31" t="n">
        <v>55.130979</v>
      </c>
      <c r="S73" s="38">
        <f>IFERROR(R73/Q73,0)</f>
        <v/>
      </c>
      <c r="T73" s="39">
        <f>IFERROR(Q73/SUMIF($A:$A,A73,$Q:$Q),0)</f>
        <v/>
      </c>
      <c r="U73" s="39">
        <f>IFERROR(Q73/F73,0)</f>
        <v/>
      </c>
      <c r="V73" s="35">
        <f>F73-R73</f>
        <v/>
      </c>
      <c r="W73" s="39">
        <f>IFERROR(V73/F73,0)</f>
        <v/>
      </c>
      <c r="X73" s="29" t="n">
        <v>0.8238839999999999</v>
      </c>
      <c r="Y73" s="31" t="n">
        <v>3.787</v>
      </c>
      <c r="Z73" s="39">
        <f>IFERROR(Y73/G73,0)</f>
        <v/>
      </c>
      <c r="AA73" s="35">
        <f>Y73-K73/1.06</f>
        <v/>
      </c>
      <c r="AB73" s="39">
        <f>IFERROR(AA73/G73,0)</f>
        <v/>
      </c>
      <c r="AC73" s="31" t="n">
        <v>-5.285415</v>
      </c>
      <c r="AD73" s="39">
        <f>IFERROR(AC73/G73,0)</f>
        <v/>
      </c>
    </row>
    <row r="74">
      <c r="A74" s="27" t="inlineStr">
        <is>
          <t>5.25-5.31</t>
        </is>
      </c>
      <c r="B74" s="27" t="inlineStr">
        <is>
          <t>5.25-5.31</t>
        </is>
      </c>
      <c r="C74" s="34" t="n">
        <v>975092562679</v>
      </c>
      <c r="D74" s="27" t="inlineStr">
        <is>
          <t>杯面混搭</t>
        </is>
      </c>
      <c r="E74" s="27" t="inlineStr">
        <is>
          <t>营多韩式甜辣炸鸡火鸡面辣蘑菇杯面拌面泡面方便面速食宵夜旅行</t>
        </is>
      </c>
      <c r="F74" s="31" t="n">
        <v>23.61</v>
      </c>
      <c r="G74" s="35">
        <f>IFERROR(F74/1.13,0)</f>
        <v/>
      </c>
      <c r="H74" s="36" t="n">
        <v>1</v>
      </c>
      <c r="I74" s="37" t="n">
        <v>0.0002155636990730761</v>
      </c>
      <c r="J74" s="38">
        <f>IFERROR(F74/H74,0)</f>
        <v/>
      </c>
      <c r="K74" s="31" t="n">
        <v>1.25615649924553</v>
      </c>
      <c r="L74" s="31" t="n">
        <v>0.927749514981674</v>
      </c>
      <c r="M74" s="38">
        <f>IFERROR(L74/K74,0)</f>
        <v/>
      </c>
      <c r="N74" s="31" t="n">
        <v>0.44528131062729</v>
      </c>
      <c r="O74" s="31" t="n">
        <v>0.882739814615219</v>
      </c>
      <c r="P74" s="38">
        <f>IFERROR(O74/N74,0)</f>
        <v/>
      </c>
      <c r="Q74" s="31" t="n">
        <v>1.701438</v>
      </c>
      <c r="R74" s="31" t="n">
        <v>1.810489</v>
      </c>
      <c r="S74" s="38">
        <f>IFERROR(R74/Q74,0)</f>
        <v/>
      </c>
      <c r="T74" s="39">
        <f>IFERROR(Q74/SUMIF($A:$A,A74,$Q:$Q),0)</f>
        <v/>
      </c>
      <c r="U74" s="39">
        <f>IFERROR(Q74/F74,0)</f>
        <v/>
      </c>
      <c r="V74" s="35">
        <f>F74-R74</f>
        <v/>
      </c>
      <c r="W74" s="39">
        <f>IFERROR(V74/F74,0)</f>
        <v/>
      </c>
      <c r="X74" s="29" t="n">
        <v>0.411942</v>
      </c>
      <c r="Y74" s="31" t="n">
        <v>4.145</v>
      </c>
      <c r="Z74" s="39">
        <f>IFERROR(Y74/G74,0)</f>
        <v/>
      </c>
      <c r="AA74" s="35">
        <f>Y74-K74/1.06</f>
        <v/>
      </c>
      <c r="AB74" s="39">
        <f>IFERROR(AA74/G74,0)</f>
        <v/>
      </c>
      <c r="AC74" s="31" t="n">
        <v>2.151245</v>
      </c>
      <c r="AD74" s="39">
        <f>IFERROR(AC74/G74,0)</f>
        <v/>
      </c>
    </row>
    <row r="75">
      <c r="A75" s="27" t="inlineStr">
        <is>
          <t>5.25-5.31</t>
        </is>
      </c>
      <c r="B75" s="27" t="inlineStr">
        <is>
          <t>5.25-5.31</t>
        </is>
      </c>
      <c r="C75" s="34" t="n">
        <v>898120785283</v>
      </c>
      <c r="D75" s="27" t="inlineStr">
        <is>
          <t>番茄</t>
        </is>
      </c>
      <c r="E75" s="27" t="inlineStr">
        <is>
          <t>进口意大利面风味奶香番茄牛肉味意式营多早餐儿童宝妈家庭餐拌面</t>
        </is>
      </c>
      <c r="F75" s="31" t="n">
        <v>22.38</v>
      </c>
      <c r="G75" s="35">
        <f>IFERROR(F75/1.13,0)</f>
        <v/>
      </c>
      <c r="H75" s="36" t="n">
        <v>1</v>
      </c>
      <c r="I75" s="37" t="n">
        <v>0.0002155636990730761</v>
      </c>
      <c r="J75" s="38">
        <f>IFERROR(F75/H75,0)</f>
        <v/>
      </c>
      <c r="K75" s="31" t="n">
        <v>4.02615649924553</v>
      </c>
      <c r="L75" s="31" t="n">
        <v>23.3077495149817</v>
      </c>
      <c r="M75" s="38">
        <f>IFERROR(L75/K75,0)</f>
        <v/>
      </c>
      <c r="N75" s="31" t="n">
        <v>0.44528131062729</v>
      </c>
      <c r="O75" s="31" t="n">
        <v>0.882739814615219</v>
      </c>
      <c r="P75" s="38">
        <f>IFERROR(O75/N75,0)</f>
        <v/>
      </c>
      <c r="Q75" s="31" t="n">
        <v>4.471438</v>
      </c>
      <c r="R75" s="31" t="n">
        <v>24.190489</v>
      </c>
      <c r="S75" s="38">
        <f>IFERROR(R75/Q75,0)</f>
        <v/>
      </c>
      <c r="T75" s="39">
        <f>IFERROR(Q75/SUMIF($A:$A,A75,$Q:$Q),0)</f>
        <v/>
      </c>
      <c r="U75" s="39">
        <f>IFERROR(Q75/F75,0)</f>
        <v/>
      </c>
      <c r="V75" s="35">
        <f>F75-R75</f>
        <v/>
      </c>
      <c r="W75" s="39">
        <f>IFERROR(V75/F75,0)</f>
        <v/>
      </c>
      <c r="X75" s="29" t="n">
        <v>0.411942</v>
      </c>
      <c r="Y75" s="31" t="n">
        <v>1.177</v>
      </c>
      <c r="Z75" s="39">
        <f>IFERROR(Y75/G75,0)</f>
        <v/>
      </c>
      <c r="AA75" s="35">
        <f>Y75-K75/1.06</f>
        <v/>
      </c>
      <c r="AB75" s="39">
        <f>IFERROR(AA75/G75,0)</f>
        <v/>
      </c>
      <c r="AC75" s="31" t="n">
        <v>-3.429962</v>
      </c>
      <c r="AD75" s="39">
        <f>IFERROR(AC75/G75,0)</f>
        <v/>
      </c>
    </row>
    <row r="76">
      <c r="A76" s="27" t="inlineStr">
        <is>
          <t>5.25-5.31</t>
        </is>
      </c>
      <c r="B76" s="27" t="inlineStr">
        <is>
          <t>5.25-5.31</t>
        </is>
      </c>
      <c r="C76" s="34" t="n">
        <v>869217868453</v>
      </c>
      <c r="D76" s="27" t="inlineStr">
        <is>
          <t>韩式杯面</t>
        </is>
      </c>
      <c r="E76" s="27" t="inlineStr">
        <is>
          <t>营多捞面韩式甜辣炸鸡辣蘑菇杯面方便面拌面泡面宿舍速食面</t>
        </is>
      </c>
      <c r="F76" s="31" t="n">
        <v>27.25</v>
      </c>
      <c r="G76" s="35">
        <f>IFERROR(F76/1.13,0)</f>
        <v/>
      </c>
      <c r="H76" s="36" t="n">
        <v>1</v>
      </c>
      <c r="I76" s="37" t="n">
        <v>0.0002155636990730761</v>
      </c>
      <c r="J76" s="38">
        <f>IFERROR(F76/H76,0)</f>
        <v/>
      </c>
      <c r="K76" s="31" t="n">
        <v>3.58615649924553</v>
      </c>
      <c r="L76" s="31" t="n">
        <v>0.927749514981674</v>
      </c>
      <c r="M76" s="38">
        <f>IFERROR(L76/K76,0)</f>
        <v/>
      </c>
      <c r="N76" s="31" t="n">
        <v>0.44528131062729</v>
      </c>
      <c r="O76" s="31" t="n">
        <v>0.882739814615219</v>
      </c>
      <c r="P76" s="38">
        <f>IFERROR(O76/N76,0)</f>
        <v/>
      </c>
      <c r="Q76" s="31" t="n">
        <v>4.031438</v>
      </c>
      <c r="R76" s="31" t="n">
        <v>1.810489</v>
      </c>
      <c r="S76" s="38">
        <f>IFERROR(R76/Q76,0)</f>
        <v/>
      </c>
      <c r="T76" s="39">
        <f>IFERROR(Q76/SUMIF($A:$A,A76,$Q:$Q),0)</f>
        <v/>
      </c>
      <c r="U76" s="39">
        <f>IFERROR(Q76/F76,0)</f>
        <v/>
      </c>
      <c r="V76" s="35">
        <f>F76-R76</f>
        <v/>
      </c>
      <c r="W76" s="39">
        <f>IFERROR(V76/F76,0)</f>
        <v/>
      </c>
      <c r="X76" s="29" t="n">
        <v>0.411942</v>
      </c>
      <c r="Y76" s="31" t="n">
        <v>3.118</v>
      </c>
      <c r="Z76" s="39">
        <f>IFERROR(Y76/G76,0)</f>
        <v/>
      </c>
      <c r="AA76" s="35">
        <f>Y76-K76/1.06</f>
        <v/>
      </c>
      <c r="AB76" s="39">
        <f>IFERROR(AA76/G76,0)</f>
        <v/>
      </c>
      <c r="AC76" s="31" t="n">
        <v>-1.073868</v>
      </c>
      <c r="AD76" s="39">
        <f>IFERROR(AC76/G76,0)</f>
        <v/>
      </c>
    </row>
    <row r="77">
      <c r="A77" s="27" t="inlineStr">
        <is>
          <t>5.25-5.31</t>
        </is>
      </c>
      <c r="B77" s="27" t="inlineStr">
        <is>
          <t>5.25-5.31</t>
        </is>
      </c>
      <c r="C77" s="34" t="n">
        <v>754828376158</v>
      </c>
      <c r="D77" s="27" t="inlineStr">
        <is>
          <t>六口味混搭</t>
        </is>
      </c>
      <c r="E77" s="27" t="inlineStr">
        <is>
          <t>进口营多捞面汤面拌面六口味混合方便面速食食品泡面</t>
        </is>
      </c>
      <c r="F77" s="31" t="n">
        <v>16.9</v>
      </c>
      <c r="G77" s="35">
        <f>IFERROR(F77/1.13,0)</f>
        <v/>
      </c>
      <c r="H77" s="36" t="n">
        <v>1</v>
      </c>
      <c r="I77" s="37" t="n">
        <v>0.0002155636990730761</v>
      </c>
      <c r="J77" s="38">
        <f>IFERROR(F77/H77,0)</f>
        <v/>
      </c>
      <c r="K77" s="31" t="n">
        <v>0.806156499245526</v>
      </c>
      <c r="L77" s="31" t="n">
        <v>0.927749514981674</v>
      </c>
      <c r="M77" s="38">
        <f>IFERROR(L77/K77,0)</f>
        <v/>
      </c>
      <c r="N77" s="31" t="n">
        <v>0.44528131062729</v>
      </c>
      <c r="O77" s="31" t="n">
        <v>0.882739814615219</v>
      </c>
      <c r="P77" s="38">
        <f>IFERROR(O77/N77,0)</f>
        <v/>
      </c>
      <c r="Q77" s="31" t="n">
        <v>1.251438</v>
      </c>
      <c r="R77" s="31" t="n">
        <v>1.810489</v>
      </c>
      <c r="S77" s="38">
        <f>IFERROR(R77/Q77,0)</f>
        <v/>
      </c>
      <c r="T77" s="39">
        <f>IFERROR(Q77/SUMIF($A:$A,A77,$Q:$Q),0)</f>
        <v/>
      </c>
      <c r="U77" s="39">
        <f>IFERROR(Q77/F77,0)</f>
        <v/>
      </c>
      <c r="V77" s="35">
        <f>F77-R77</f>
        <v/>
      </c>
      <c r="W77" s="39">
        <f>IFERROR(V77/F77,0)</f>
        <v/>
      </c>
      <c r="X77" s="29" t="n">
        <v>0.411942</v>
      </c>
      <c r="Y77" s="31" t="n">
        <v>1.49</v>
      </c>
      <c r="Z77" s="39">
        <f>IFERROR(Y77/G77,0)</f>
        <v/>
      </c>
      <c r="AA77" s="35">
        <f>Y77-K77/1.06</f>
        <v/>
      </c>
      <c r="AB77" s="39">
        <f>IFERROR(AA77/G77,0)</f>
        <v/>
      </c>
      <c r="AC77" s="31" t="n">
        <v>-0.079226</v>
      </c>
      <c r="AD77" s="39">
        <f>IFERROR(AC77/G77,0)</f>
        <v/>
      </c>
    </row>
    <row r="78">
      <c r="A78" s="27" t="inlineStr">
        <is>
          <t>5.25-5.31</t>
        </is>
      </c>
      <c r="B78" s="27" t="inlineStr">
        <is>
          <t>5.25-5.31</t>
        </is>
      </c>
      <c r="C78" s="34" t="n">
        <v>649731447266</v>
      </c>
      <c r="D78" s="27" t="inlineStr">
        <is>
          <t>20包经典/牛系列</t>
        </is>
      </c>
      <c r="E78" s="27" t="inlineStr">
        <is>
          <t>营多印尼进口营多捞面方便面火鸡面干拌面20包宿舍速食泡面夜宵</t>
        </is>
      </c>
      <c r="F78" s="31" t="n">
        <v>48.8</v>
      </c>
      <c r="G78" s="35">
        <f>IFERROR(F78/1.13,0)</f>
        <v/>
      </c>
      <c r="H78" s="36" t="n">
        <v>1</v>
      </c>
      <c r="I78" s="37" t="n">
        <v>0.0002155636990730761</v>
      </c>
      <c r="J78" s="38">
        <f>IFERROR(F78/H78,0)</f>
        <v/>
      </c>
      <c r="K78" s="31" t="n">
        <v>15.5661564992455</v>
      </c>
      <c r="L78" s="31" t="n">
        <v>0.927749514981674</v>
      </c>
      <c r="M78" s="38">
        <f>IFERROR(L78/K78,0)</f>
        <v/>
      </c>
      <c r="N78" s="31" t="n">
        <v>0.44528131062729</v>
      </c>
      <c r="O78" s="31" t="n">
        <v>0.882739814615219</v>
      </c>
      <c r="P78" s="38">
        <f>IFERROR(O78/N78,0)</f>
        <v/>
      </c>
      <c r="Q78" s="31" t="n">
        <v>16.011438</v>
      </c>
      <c r="R78" s="31" t="n">
        <v>1.810489</v>
      </c>
      <c r="S78" s="38">
        <f>IFERROR(R78/Q78,0)</f>
        <v/>
      </c>
      <c r="T78" s="39">
        <f>IFERROR(Q78/SUMIF($A:$A,A78,$Q:$Q),0)</f>
        <v/>
      </c>
      <c r="U78" s="39">
        <f>IFERROR(Q78/F78,0)</f>
        <v/>
      </c>
      <c r="V78" s="35">
        <f>F78-R78</f>
        <v/>
      </c>
      <c r="W78" s="39">
        <f>IFERROR(V78/F78,0)</f>
        <v/>
      </c>
      <c r="X78" s="29" t="n">
        <v>0.411942</v>
      </c>
      <c r="Y78" s="31" t="n">
        <v>10.213</v>
      </c>
      <c r="Z78" s="39">
        <f>IFERROR(Y78/G78,0)</f>
        <v/>
      </c>
      <c r="AA78" s="35">
        <f>Y78-K78/1.06</f>
        <v/>
      </c>
      <c r="AB78" s="39">
        <f>IFERROR(AA78/G78,0)</f>
        <v/>
      </c>
      <c r="AC78" s="31" t="n">
        <v>-5.280755</v>
      </c>
      <c r="AD78" s="39">
        <f>IFERROR(AC78/G78,0)</f>
        <v/>
      </c>
    </row>
    <row r="79">
      <c r="A79" s="27" t="inlineStr">
        <is>
          <t>6.15-6.21</t>
        </is>
      </c>
      <c r="B79" s="27" t="inlineStr">
        <is>
          <t>6.15-6.21</t>
        </is>
      </c>
      <c r="C79" s="34" t="n">
        <v>649361890551</v>
      </c>
      <c r="D79" s="27" t="inlineStr">
        <is>
          <t>袋面次链接</t>
        </is>
      </c>
      <c r="E79" s="27" t="inlineStr">
        <is>
          <t>营多捞面印尼进口Indomie网红夜宵早餐方便面火鸡面泡面拌面</t>
        </is>
      </c>
      <c r="F79" s="31" t="n">
        <v>24398.0900000003</v>
      </c>
      <c r="G79" s="35">
        <f>IFERROR(F79/1.13,0)</f>
        <v/>
      </c>
      <c r="H79" s="36" t="n">
        <v>1311</v>
      </c>
      <c r="I79" s="37" t="n">
        <v>0.3413173652694611</v>
      </c>
      <c r="J79" s="38">
        <f>IFERROR(F79/H79,0)</f>
        <v/>
      </c>
      <c r="K79" s="31" t="n">
        <v>4515.02616766467</v>
      </c>
      <c r="L79" s="31" t="n">
        <v>18942.3613173653</v>
      </c>
      <c r="M79" s="38">
        <f>IFERROR(L79/K79,0)</f>
        <v/>
      </c>
      <c r="N79" s="31" t="n">
        <v>698.540119760479</v>
      </c>
      <c r="O79" s="31" t="n">
        <v>1509.6774251497</v>
      </c>
      <c r="P79" s="38">
        <f>IFERROR(O79/N79,0)</f>
        <v/>
      </c>
      <c r="Q79" s="31" t="n">
        <v>5213.566287</v>
      </c>
      <c r="R79" s="31" t="n">
        <v>20452.038743</v>
      </c>
      <c r="S79" s="38">
        <f>IFERROR(R79/Q79,0)</f>
        <v/>
      </c>
      <c r="T79" s="39">
        <f>IFERROR(Q79/SUMIF($A:$A,A79,$Q:$Q),0)</f>
        <v/>
      </c>
      <c r="U79" s="39">
        <f>IFERROR(Q79/F79,0)</f>
        <v/>
      </c>
      <c r="V79" s="35">
        <f>F79-R79</f>
        <v/>
      </c>
      <c r="W79" s="39">
        <f>IFERROR(V79/F79,0)</f>
        <v/>
      </c>
      <c r="X79" s="29" t="n">
        <v>1230.449102</v>
      </c>
      <c r="Y79" s="31" t="n">
        <v>2293.63</v>
      </c>
      <c r="Z79" s="39">
        <f>IFERROR(Y79/G79,0)</f>
        <v/>
      </c>
      <c r="AA79" s="35">
        <f>Y79-K79/1.06</f>
        <v/>
      </c>
      <c r="AB79" s="39">
        <f>IFERROR(AA79/G79,0)</f>
        <v/>
      </c>
      <c r="AC79" s="31" t="n">
        <v>-3785.629801</v>
      </c>
      <c r="AD79" s="39">
        <f>IFERROR(AC79/G79,0)</f>
        <v/>
      </c>
    </row>
    <row r="80">
      <c r="A80" s="27" t="inlineStr">
        <is>
          <t>6.15-6.21</t>
        </is>
      </c>
      <c r="B80" s="27" t="inlineStr">
        <is>
          <t>6.15-6.21</t>
        </is>
      </c>
      <c r="C80" s="34" t="n">
        <v>668566625747</v>
      </c>
      <c r="D80" s="27" t="inlineStr">
        <is>
          <t>袋面主链接</t>
        </is>
      </c>
      <c r="E80" s="27" t="inlineStr">
        <is>
          <t>印尼营多捞面进口网红泡面袋装方便面速食食品拉面火鸡面拌面整箱</t>
        </is>
      </c>
      <c r="F80" s="31" t="n">
        <v>30425.7500000004</v>
      </c>
      <c r="G80" s="35">
        <f>IFERROR(F80/1.13,0)</f>
        <v/>
      </c>
      <c r="H80" s="36" t="n">
        <v>1178</v>
      </c>
      <c r="I80" s="37" t="n">
        <v>0.3066909658942983</v>
      </c>
      <c r="J80" s="38">
        <f>IFERROR(F80/H80,0)</f>
        <v/>
      </c>
      <c r="K80" s="31" t="n">
        <v>4022.74322311898</v>
      </c>
      <c r="L80" s="31" t="n">
        <v>18336.4684300963</v>
      </c>
      <c r="M80" s="38">
        <f>IFERROR(L80/K80,0)</f>
        <v/>
      </c>
      <c r="N80" s="31" t="n">
        <v>627.673730799271</v>
      </c>
      <c r="O80" s="31" t="n">
        <v>1356.52174433741</v>
      </c>
      <c r="P80" s="38">
        <f>IFERROR(O80/N80,0)</f>
        <v/>
      </c>
      <c r="Q80" s="31" t="n">
        <v>4650.416954</v>
      </c>
      <c r="R80" s="31" t="n">
        <v>19692.990174</v>
      </c>
      <c r="S80" s="38">
        <f>IFERROR(R80/Q80,0)</f>
        <v/>
      </c>
      <c r="T80" s="39">
        <f>IFERROR(Q80/SUMIF($A:$A,A80,$Q:$Q),0)</f>
        <v/>
      </c>
      <c r="U80" s="39">
        <f>IFERROR(Q80/F80,0)</f>
        <v/>
      </c>
      <c r="V80" s="35">
        <f>F80-R80</f>
        <v/>
      </c>
      <c r="W80" s="39">
        <f>IFERROR(V80/F80,0)</f>
        <v/>
      </c>
      <c r="X80" s="29" t="n">
        <v>1105.620932</v>
      </c>
      <c r="Y80" s="31" t="n">
        <v>4055.61000000003</v>
      </c>
      <c r="Z80" s="39">
        <f>IFERROR(Y80/G80,0)</f>
        <v/>
      </c>
      <c r="AA80" s="35">
        <f>Y80-K80/1.06</f>
        <v/>
      </c>
      <c r="AB80" s="39">
        <f>IFERROR(AA80/G80,0)</f>
        <v/>
      </c>
      <c r="AC80" s="31" t="n">
        <v>-1374.614421</v>
      </c>
      <c r="AD80" s="39">
        <f>IFERROR(AC80/G80,0)</f>
        <v/>
      </c>
    </row>
    <row r="81">
      <c r="A81" s="27" t="inlineStr">
        <is>
          <t>6.15-6.21</t>
        </is>
      </c>
      <c r="B81" s="27" t="inlineStr">
        <is>
          <t>6.15-6.21</t>
        </is>
      </c>
      <c r="C81" s="34" t="n">
        <v>649735171438</v>
      </c>
      <c r="D81" s="27" t="inlineStr">
        <is>
          <t>杯面主链接</t>
        </is>
      </c>
      <c r="E81" s="27" t="inlineStr">
        <is>
          <t>印尼进口indomie营多捞面杯面速食泡面干拌面盒桶装方便面火鸡面</t>
        </is>
      </c>
      <c r="F81" s="31" t="n">
        <v>13687.77</v>
      </c>
      <c r="G81" s="35">
        <f>IFERROR(F81/1.13,0)</f>
        <v/>
      </c>
      <c r="H81" s="36" t="n">
        <v>538</v>
      </c>
      <c r="I81" s="37" t="n">
        <v>0.1400676907055454</v>
      </c>
      <c r="J81" s="38">
        <f>IFERROR(F81/H81,0)</f>
        <v/>
      </c>
      <c r="K81" s="31" t="n">
        <v>2676.85755011716</v>
      </c>
      <c r="L81" s="31" t="n">
        <v>8537.00919812549</v>
      </c>
      <c r="M81" s="38">
        <f>IFERROR(L81/K81,0)</f>
        <v/>
      </c>
      <c r="N81" s="31" t="n">
        <v>286.662535797969</v>
      </c>
      <c r="O81" s="31" t="n">
        <v>619.532002082791</v>
      </c>
      <c r="P81" s="38">
        <f>IFERROR(O81/N81,0)</f>
        <v/>
      </c>
      <c r="Q81" s="31" t="n">
        <v>2963.520086</v>
      </c>
      <c r="R81" s="31" t="n">
        <v>9156.5412</v>
      </c>
      <c r="S81" s="38">
        <f>IFERROR(R81/Q81,0)</f>
        <v/>
      </c>
      <c r="T81" s="39">
        <f>IFERROR(Q81/SUMIF($A:$A,A81,$Q:$Q),0)</f>
        <v/>
      </c>
      <c r="U81" s="39">
        <f>IFERROR(Q81/F81,0)</f>
        <v/>
      </c>
      <c r="V81" s="35">
        <f>F81-R81</f>
        <v/>
      </c>
      <c r="W81" s="39">
        <f>IFERROR(V81/F81,0)</f>
        <v/>
      </c>
      <c r="X81" s="29" t="n">
        <v>504.944025</v>
      </c>
      <c r="Y81" s="31" t="n">
        <v>1555.11</v>
      </c>
      <c r="Z81" s="39">
        <f>IFERROR(Y81/G81,0)</f>
        <v/>
      </c>
      <c r="AA81" s="35">
        <f>Y81-K81/1.06</f>
        <v/>
      </c>
      <c r="AB81" s="39">
        <f>IFERROR(AA81/G81,0)</f>
        <v/>
      </c>
      <c r="AC81" s="31" t="n">
        <v>-1717.025954</v>
      </c>
      <c r="AD81" s="39">
        <f>IFERROR(AC81/G81,0)</f>
        <v/>
      </c>
    </row>
    <row r="82">
      <c r="A82" s="27" t="inlineStr">
        <is>
          <t>6.15-6.21</t>
        </is>
      </c>
      <c r="B82" s="27" t="inlineStr">
        <is>
          <t>6.15-6.21</t>
        </is>
      </c>
      <c r="C82" s="34" t="n">
        <v>648600900806</v>
      </c>
      <c r="D82" s="27" t="inlineStr">
        <is>
          <t>30包</t>
        </is>
      </c>
      <c r="E82" s="27" t="inlineStr">
        <is>
          <t>进口营多捞面一整箱30包网红速食方便面宿舍速食泡面干拌面拉面</t>
        </is>
      </c>
      <c r="F82" s="31" t="n">
        <v>9519.49</v>
      </c>
      <c r="G82" s="35">
        <f>IFERROR(F82/1.13,0)</f>
        <v/>
      </c>
      <c r="H82" s="36" t="n">
        <v>140</v>
      </c>
      <c r="I82" s="37" t="n">
        <v>0.0364488414475397</v>
      </c>
      <c r="J82" s="38">
        <f>IFERROR(F82/H82,0)</f>
        <v/>
      </c>
      <c r="K82" s="31" t="n">
        <v>1924.11467846915</v>
      </c>
      <c r="L82" s="31" t="n">
        <v>9062.475144493619</v>
      </c>
      <c r="M82" s="38">
        <f>IFERROR(L82/K82,0)</f>
        <v/>
      </c>
      <c r="N82" s="31" t="n">
        <v>74.5961989065348</v>
      </c>
      <c r="O82" s="31" t="n">
        <v>161.216506118198</v>
      </c>
      <c r="P82" s="38">
        <f>IFERROR(O82/N82,0)</f>
        <v/>
      </c>
      <c r="Q82" s="31" t="n">
        <v>1998.710877</v>
      </c>
      <c r="R82" s="31" t="n">
        <v>9223.691650999999</v>
      </c>
      <c r="S82" s="38">
        <f>IFERROR(R82/Q82,0)</f>
        <v/>
      </c>
      <c r="T82" s="39">
        <f>IFERROR(Q82/SUMIF($A:$A,A82,$Q:$Q),0)</f>
        <v/>
      </c>
      <c r="U82" s="39">
        <f>IFERROR(Q82/F82,0)</f>
        <v/>
      </c>
      <c r="V82" s="35">
        <f>F82-R82</f>
        <v/>
      </c>
      <c r="W82" s="39">
        <f>IFERROR(V82/F82,0)</f>
        <v/>
      </c>
      <c r="X82" s="29" t="n">
        <v>131.398073</v>
      </c>
      <c r="Y82" s="31" t="n">
        <v>1772.264</v>
      </c>
      <c r="Z82" s="39">
        <f>IFERROR(Y82/G82,0)</f>
        <v/>
      </c>
      <c r="AA82" s="35">
        <f>Y82-K82/1.06</f>
        <v/>
      </c>
      <c r="AB82" s="39">
        <f>IFERROR(AA82/G82,0)</f>
        <v/>
      </c>
      <c r="AC82" s="31" t="n">
        <v>-237.272746</v>
      </c>
      <c r="AD82" s="39">
        <f>IFERROR(AC82/G82,0)</f>
        <v/>
      </c>
    </row>
    <row r="83">
      <c r="A83" s="27" t="inlineStr">
        <is>
          <t>6.15-6.21</t>
        </is>
      </c>
      <c r="B83" s="27" t="inlineStr">
        <is>
          <t>6.15-6.21</t>
        </is>
      </c>
      <c r="C83" s="34" t="n">
        <v>648598580775</v>
      </c>
      <c r="D83" s="27" t="inlineStr">
        <is>
          <t>15包</t>
        </is>
      </c>
      <c r="E83" s="27" t="inlineStr">
        <is>
          <t>进口营多捞面15包Indomie方便面干拌面夜宵方便速食五连包85g*5</t>
        </is>
      </c>
      <c r="F83" s="31" t="n">
        <v>3581.48</v>
      </c>
      <c r="G83" s="35">
        <f>IFERROR(F83/1.13,0)</f>
        <v/>
      </c>
      <c r="H83" s="36" t="n">
        <v>98</v>
      </c>
      <c r="I83" s="37" t="n">
        <v>0.02551418901327779</v>
      </c>
      <c r="J83" s="38">
        <f>IFERROR(F83/H83,0)</f>
        <v/>
      </c>
      <c r="K83" s="31" t="n">
        <v>638.484274928404</v>
      </c>
      <c r="L83" s="31" t="n">
        <v>1958.69160114554</v>
      </c>
      <c r="M83" s="38">
        <f>IFERROR(L83/K83,0)</f>
        <v/>
      </c>
      <c r="N83" s="31" t="n">
        <v>52.2173392345743</v>
      </c>
      <c r="O83" s="31" t="n">
        <v>112.851554282739</v>
      </c>
      <c r="P83" s="38">
        <f>IFERROR(O83/N83,0)</f>
        <v/>
      </c>
      <c r="Q83" s="31" t="n">
        <v>690.7016139999999</v>
      </c>
      <c r="R83" s="31" t="n">
        <v>2071.543155</v>
      </c>
      <c r="S83" s="38">
        <f>IFERROR(R83/Q83,0)</f>
        <v/>
      </c>
      <c r="T83" s="39">
        <f>IFERROR(Q83/SUMIF($A:$A,A83,$Q:$Q),0)</f>
        <v/>
      </c>
      <c r="U83" s="39">
        <f>IFERROR(Q83/F83,0)</f>
        <v/>
      </c>
      <c r="V83" s="35">
        <f>F83-R83</f>
        <v/>
      </c>
      <c r="W83" s="39">
        <f>IFERROR(V83/F83,0)</f>
        <v/>
      </c>
      <c r="X83" s="29" t="n">
        <v>91.978651</v>
      </c>
      <c r="Y83" s="31" t="n">
        <v>632.5890000000001</v>
      </c>
      <c r="Z83" s="39">
        <f>IFERROR(Y83/G83,0)</f>
        <v/>
      </c>
      <c r="AA83" s="35">
        <f>Y83-K83/1.06</f>
        <v/>
      </c>
      <c r="AB83" s="39">
        <f>IFERROR(AA83/G83,0)</f>
        <v/>
      </c>
      <c r="AC83" s="31" t="n">
        <v>-105.788609</v>
      </c>
      <c r="AD83" s="39">
        <f>IFERROR(AC83/G83,0)</f>
        <v/>
      </c>
    </row>
    <row r="84">
      <c r="A84" s="27" t="inlineStr">
        <is>
          <t>6.15-6.21</t>
        </is>
      </c>
      <c r="B84" s="27" t="inlineStr">
        <is>
          <t>6.15-6.21</t>
        </is>
      </c>
      <c r="C84" s="34" t="n">
        <v>649014937782</v>
      </c>
      <c r="D84" s="27" t="inlineStr">
        <is>
          <t>24包</t>
        </is>
      </c>
      <c r="E84" s="27" t="inlineStr">
        <is>
          <t>印尼营多捞面干拌面一整箱24袋装批发泡面宿舍速食方便面火鸡面</t>
        </is>
      </c>
      <c r="F84" s="31" t="n">
        <v>5442.37</v>
      </c>
      <c r="G84" s="35">
        <f>IFERROR(F84/1.13,0)</f>
        <v/>
      </c>
      <c r="H84" s="36" t="n">
        <v>97</v>
      </c>
      <c r="I84" s="37" t="n">
        <v>0.02525384014579536</v>
      </c>
      <c r="J84" s="38">
        <f>IFERROR(F84/H84,0)</f>
        <v/>
      </c>
      <c r="K84" s="31" t="n">
        <v>1064.78831293934</v>
      </c>
      <c r="L84" s="31" t="n">
        <v>3507.10699297058</v>
      </c>
      <c r="M84" s="38">
        <f>IFERROR(L84/K84,0)</f>
        <v/>
      </c>
      <c r="N84" s="31" t="n">
        <v>51.6845092423848</v>
      </c>
      <c r="O84" s="31" t="n">
        <v>111.700007810466</v>
      </c>
      <c r="P84" s="38">
        <f>IFERROR(O84/N84,0)</f>
        <v/>
      </c>
      <c r="Q84" s="31" t="n">
        <v>1116.472822</v>
      </c>
      <c r="R84" s="31" t="n">
        <v>3618.807001</v>
      </c>
      <c r="S84" s="38">
        <f>IFERROR(R84/Q84,0)</f>
        <v/>
      </c>
      <c r="T84" s="39">
        <f>IFERROR(Q84/SUMIF($A:$A,A84,$Q:$Q),0)</f>
        <v/>
      </c>
      <c r="U84" s="39">
        <f>IFERROR(Q84/F84,0)</f>
        <v/>
      </c>
      <c r="V84" s="35">
        <f>F84-R84</f>
        <v/>
      </c>
      <c r="W84" s="39">
        <f>IFERROR(V84/F84,0)</f>
        <v/>
      </c>
      <c r="X84" s="29" t="n">
        <v>91.040094</v>
      </c>
      <c r="Y84" s="31" t="n">
        <v>1057.52</v>
      </c>
      <c r="Z84" s="39">
        <f>IFERROR(Y84/G84,0)</f>
        <v/>
      </c>
      <c r="AA84" s="35">
        <f>Y84-K84/1.06</f>
        <v/>
      </c>
      <c r="AB84" s="39">
        <f>IFERROR(AA84/G84,0)</f>
        <v/>
      </c>
      <c r="AC84" s="31" t="n">
        <v>-81.643128</v>
      </c>
      <c r="AD84" s="39">
        <f>IFERROR(AC84/G84,0)</f>
        <v/>
      </c>
    </row>
    <row r="85">
      <c r="A85" s="27" t="inlineStr">
        <is>
          <t>6.15-6.21</t>
        </is>
      </c>
      <c r="B85" s="27" t="inlineStr">
        <is>
          <t>6.15-6.21</t>
        </is>
      </c>
      <c r="C85" s="34" t="n">
        <v>649369494424</v>
      </c>
      <c r="D85" s="27" t="inlineStr">
        <is>
          <t>24包经典/牛系列</t>
        </is>
      </c>
      <c r="E85" s="27" t="inlineStr">
        <is>
          <t>营多捞面干拌面一整箱24袋装批发泡面混搭宿舍速食方便面火鸡面</t>
        </is>
      </c>
      <c r="F85" s="31" t="n">
        <v>5009.1</v>
      </c>
      <c r="G85" s="35">
        <f>IFERROR(F85/1.13,0)</f>
        <v/>
      </c>
      <c r="H85" s="36" t="n">
        <v>90</v>
      </c>
      <c r="I85" s="37" t="n">
        <v>0.02343139807341838</v>
      </c>
      <c r="J85" s="38">
        <f>IFERROR(F85/H85,0)</f>
        <v/>
      </c>
      <c r="K85" s="31" t="n">
        <v>1002.26657901588</v>
      </c>
      <c r="L85" s="31" t="n">
        <v>3255.7547357459</v>
      </c>
      <c r="M85" s="38">
        <f>IFERROR(L85/K85,0)</f>
        <v/>
      </c>
      <c r="N85" s="31" t="n">
        <v>47.9546992970581</v>
      </c>
      <c r="O85" s="31" t="n">
        <v>103.639182504556</v>
      </c>
      <c r="P85" s="38">
        <f>IFERROR(O85/N85,0)</f>
        <v/>
      </c>
      <c r="Q85" s="31" t="n">
        <v>1050.221278</v>
      </c>
      <c r="R85" s="31" t="n">
        <v>3359.393918</v>
      </c>
      <c r="S85" s="38">
        <f>IFERROR(R85/Q85,0)</f>
        <v/>
      </c>
      <c r="T85" s="39">
        <f>IFERROR(Q85/SUMIF($A:$A,A85,$Q:$Q),0)</f>
        <v/>
      </c>
      <c r="U85" s="39">
        <f>IFERROR(Q85/F85,0)</f>
        <v/>
      </c>
      <c r="V85" s="35">
        <f>F85-R85</f>
        <v/>
      </c>
      <c r="W85" s="39">
        <f>IFERROR(V85/F85,0)</f>
        <v/>
      </c>
      <c r="X85" s="29" t="n">
        <v>84.47019</v>
      </c>
      <c r="Y85" s="31" t="n">
        <v>960.803000000001</v>
      </c>
      <c r="Z85" s="39">
        <f>IFERROR(Y85/G85,0)</f>
        <v/>
      </c>
      <c r="AA85" s="35">
        <f>Y85-K85/1.06</f>
        <v/>
      </c>
      <c r="AB85" s="39">
        <f>IFERROR(AA85/G85,0)</f>
        <v/>
      </c>
      <c r="AC85" s="31" t="n">
        <v>-109.660649</v>
      </c>
      <c r="AD85" s="39">
        <f>IFERROR(AC85/G85,0)</f>
        <v/>
      </c>
    </row>
    <row r="86">
      <c r="A86" s="27" t="inlineStr">
        <is>
          <t>6.15-6.21</t>
        </is>
      </c>
      <c r="B86" s="27" t="inlineStr">
        <is>
          <t>6.15-6.21</t>
        </is>
      </c>
      <c r="C86" s="34" t="n">
        <v>929504658691</v>
      </c>
      <c r="D86" s="27" t="inlineStr">
        <is>
          <t>日式袋面</t>
        </is>
      </c>
      <c r="E86" s="27" t="inlineStr">
        <is>
          <t>营多捞面日式鸡肉汤面原味辛辣味袋装泡面方便面速食宿舍夜宵食品</t>
        </is>
      </c>
      <c r="F86" s="31" t="n">
        <v>1235.51</v>
      </c>
      <c r="G86" s="35">
        <f>IFERROR(F86/1.13,0)</f>
        <v/>
      </c>
      <c r="H86" s="36" t="n">
        <v>59</v>
      </c>
      <c r="I86" s="37" t="n">
        <v>0.01536058318146316</v>
      </c>
      <c r="J86" s="38">
        <f>IFERROR(F86/H86,0)</f>
        <v/>
      </c>
      <c r="K86" s="31" t="n">
        <v>468.491757354856</v>
      </c>
      <c r="L86" s="31" t="n">
        <v>1408.55188232231</v>
      </c>
      <c r="M86" s="38">
        <f>IFERROR(L86/K86,0)</f>
        <v/>
      </c>
      <c r="N86" s="31" t="n">
        <v>31.4369695391825</v>
      </c>
      <c r="O86" s="31" t="n">
        <v>67.9412418640979</v>
      </c>
      <c r="P86" s="38">
        <f>IFERROR(O86/N86,0)</f>
        <v/>
      </c>
      <c r="Q86" s="31" t="n">
        <v>499.928727</v>
      </c>
      <c r="R86" s="31" t="n">
        <v>1476.493124</v>
      </c>
      <c r="S86" s="38">
        <f>IFERROR(R86/Q86,0)</f>
        <v/>
      </c>
      <c r="T86" s="39">
        <f>IFERROR(Q86/SUMIF($A:$A,A86,$Q:$Q),0)</f>
        <v/>
      </c>
      <c r="U86" s="39">
        <f>IFERROR(Q86/F86,0)</f>
        <v/>
      </c>
      <c r="V86" s="35">
        <f>F86-R86</f>
        <v/>
      </c>
      <c r="W86" s="39">
        <f>IFERROR(V86/F86,0)</f>
        <v/>
      </c>
      <c r="X86" s="29" t="n">
        <v>55.374902</v>
      </c>
      <c r="Y86" s="31" t="n">
        <v>176.283</v>
      </c>
      <c r="Z86" s="39">
        <f>IFERROR(Y86/G86,0)</f>
        <v/>
      </c>
      <c r="AA86" s="35">
        <f>Y86-K86/1.06</f>
        <v/>
      </c>
      <c r="AB86" s="39">
        <f>IFERROR(AA86/G86,0)</f>
        <v/>
      </c>
      <c r="AC86" s="31" t="n">
        <v>-347.588348</v>
      </c>
      <c r="AD86" s="39">
        <f>IFERROR(AC86/G86,0)</f>
        <v/>
      </c>
    </row>
    <row r="87">
      <c r="A87" s="27" t="inlineStr">
        <is>
          <t>6.15-6.21</t>
        </is>
      </c>
      <c r="B87" s="27" t="inlineStr">
        <is>
          <t>6.15-6.21</t>
        </is>
      </c>
      <c r="C87" s="34" t="n">
        <v>744317232690</v>
      </c>
      <c r="D87" s="27" t="inlineStr">
        <is>
          <t>多规格</t>
        </is>
      </c>
      <c r="E87" s="27" t="inlineStr">
        <is>
          <t>营多捞面汤面清香牛肉味方便面泡面速食食品泡面拉面整箱旅行宿舍</t>
        </is>
      </c>
      <c r="F87" s="31" t="n">
        <v>830.34</v>
      </c>
      <c r="G87" s="35">
        <f>IFERROR(F87/1.13,0)</f>
        <v/>
      </c>
      <c r="H87" s="36" t="n">
        <v>57</v>
      </c>
      <c r="I87" s="37" t="n">
        <v>0.01483988544649831</v>
      </c>
      <c r="J87" s="38">
        <f>IFERROR(F87/H87,0)</f>
        <v/>
      </c>
      <c r="K87" s="31" t="n">
        <v>48.7898333767248</v>
      </c>
      <c r="L87" s="31" t="n">
        <v>167.312665972403</v>
      </c>
      <c r="M87" s="38">
        <f>IFERROR(L87/K87,0)</f>
        <v/>
      </c>
      <c r="N87" s="31" t="n">
        <v>30.3713095548034</v>
      </c>
      <c r="O87" s="31" t="n">
        <v>65.63814891955219</v>
      </c>
      <c r="P87" s="38">
        <f>IFERROR(O87/N87,0)</f>
        <v/>
      </c>
      <c r="Q87" s="31" t="n">
        <v>79.161143</v>
      </c>
      <c r="R87" s="31" t="n">
        <v>232.950815</v>
      </c>
      <c r="S87" s="38">
        <f>IFERROR(R87/Q87,0)</f>
        <v/>
      </c>
      <c r="T87" s="39">
        <f>IFERROR(Q87/SUMIF($A:$A,A87,$Q:$Q),0)</f>
        <v/>
      </c>
      <c r="U87" s="39">
        <f>IFERROR(Q87/F87,0)</f>
        <v/>
      </c>
      <c r="V87" s="35">
        <f>F87-R87</f>
        <v/>
      </c>
      <c r="W87" s="39">
        <f>IFERROR(V87/F87,0)</f>
        <v/>
      </c>
      <c r="X87" s="29" t="n">
        <v>53.497787</v>
      </c>
      <c r="Y87" s="31" t="n">
        <v>170.991</v>
      </c>
      <c r="Z87" s="39">
        <f>IFERROR(Y87/G87,0)</f>
        <v/>
      </c>
      <c r="AA87" s="35">
        <f>Y87-K87/1.06</f>
        <v/>
      </c>
      <c r="AB87" s="39">
        <f>IFERROR(AA87/G87,0)</f>
        <v/>
      </c>
      <c r="AC87" s="31" t="n">
        <v>45.841066</v>
      </c>
      <c r="AD87" s="39">
        <f>IFERROR(AC87/G87,0)</f>
        <v/>
      </c>
    </row>
    <row r="88">
      <c r="A88" s="27" t="inlineStr">
        <is>
          <t>6.15-6.21</t>
        </is>
      </c>
      <c r="B88" s="27" t="inlineStr">
        <is>
          <t>6.15-6.21</t>
        </is>
      </c>
      <c r="C88" s="34" t="n">
        <v>648681860568</v>
      </c>
      <c r="D88" s="27" t="inlineStr">
        <is>
          <t>杯面次链接</t>
        </is>
      </c>
      <c r="E88" s="27" t="inlineStr">
        <is>
          <t>营多捞面杯装方便面泡面速食干拌面原味整箱批发印尼进口桶装拌面</t>
        </is>
      </c>
      <c r="F88" s="31" t="n">
        <v>1344.68</v>
      </c>
      <c r="G88" s="35">
        <f>IFERROR(F88/1.13,0)</f>
        <v/>
      </c>
      <c r="H88" s="36" t="n">
        <v>50</v>
      </c>
      <c r="I88" s="37" t="n">
        <v>0.01301744337412132</v>
      </c>
      <c r="J88" s="38">
        <f>IFERROR(F88/H88,0)</f>
        <v/>
      </c>
      <c r="K88" s="31" t="n">
        <v>294.548099453267</v>
      </c>
      <c r="L88" s="31" t="n">
        <v>1303.74040874772</v>
      </c>
      <c r="M88" s="38">
        <f>IFERROR(L88/K88,0)</f>
        <v/>
      </c>
      <c r="N88" s="31" t="n">
        <v>26.6414996094767</v>
      </c>
      <c r="O88" s="31" t="n">
        <v>57.5773236136423</v>
      </c>
      <c r="P88" s="38">
        <f>IFERROR(O88/N88,0)</f>
        <v/>
      </c>
      <c r="Q88" s="31" t="n">
        <v>321.189599</v>
      </c>
      <c r="R88" s="31" t="n">
        <v>1361.317732</v>
      </c>
      <c r="S88" s="38">
        <f>IFERROR(R88/Q88,0)</f>
        <v/>
      </c>
      <c r="T88" s="39">
        <f>IFERROR(Q88/SUMIF($A:$A,A88,$Q:$Q),0)</f>
        <v/>
      </c>
      <c r="U88" s="39">
        <f>IFERROR(Q88/F88,0)</f>
        <v/>
      </c>
      <c r="V88" s="35">
        <f>F88-R88</f>
        <v/>
      </c>
      <c r="W88" s="39">
        <f>IFERROR(V88/F88,0)</f>
        <v/>
      </c>
      <c r="X88" s="29" t="n">
        <v>46.927883</v>
      </c>
      <c r="Y88" s="31" t="n">
        <v>167.839</v>
      </c>
      <c r="Z88" s="39">
        <f>IFERROR(Y88/G88,0)</f>
        <v/>
      </c>
      <c r="AA88" s="35">
        <f>Y88-K88/1.06</f>
        <v/>
      </c>
      <c r="AB88" s="39">
        <f>IFERROR(AA88/G88,0)</f>
        <v/>
      </c>
      <c r="AC88" s="31" t="n">
        <v>-179.441644</v>
      </c>
      <c r="AD88" s="39">
        <f>IFERROR(AC88/G88,0)</f>
        <v/>
      </c>
    </row>
    <row r="89">
      <c r="A89" s="27" t="inlineStr">
        <is>
          <t>6.15-6.21</t>
        </is>
      </c>
      <c r="B89" s="27" t="inlineStr">
        <is>
          <t>6.15-6.21</t>
        </is>
      </c>
      <c r="C89" s="34" t="n">
        <v>766165464414</v>
      </c>
      <c r="D89" s="27" t="inlineStr">
        <is>
          <t>12包</t>
        </is>
      </c>
      <c r="E89" s="27" t="inlineStr">
        <is>
          <t>营多印尼进口营多捞面方便面火鸡面干拌面12包宿舍速食泡面夜宵</t>
        </is>
      </c>
      <c r="F89" s="31" t="n">
        <v>1419.38</v>
      </c>
      <c r="G89" s="35">
        <f>IFERROR(F89/1.13,0)</f>
        <v/>
      </c>
      <c r="H89" s="36" t="n">
        <v>48</v>
      </c>
      <c r="I89" s="37" t="n">
        <v>0.01249674563915647</v>
      </c>
      <c r="J89" s="38">
        <f>IFERROR(F89/H89,0)</f>
        <v/>
      </c>
      <c r="K89" s="31" t="n">
        <v>77.9561754751367</v>
      </c>
      <c r="L89" s="31" t="n">
        <v>195.781192397813</v>
      </c>
      <c r="M89" s="38">
        <f>IFERROR(L89/K89,0)</f>
        <v/>
      </c>
      <c r="N89" s="31" t="n">
        <v>25.5758396250976</v>
      </c>
      <c r="O89" s="31" t="n">
        <v>55.2742306690966</v>
      </c>
      <c r="P89" s="38">
        <f>IFERROR(O89/N89,0)</f>
        <v/>
      </c>
      <c r="Q89" s="31" t="n">
        <v>103.532015</v>
      </c>
      <c r="R89" s="31" t="n">
        <v>251.055423</v>
      </c>
      <c r="S89" s="38">
        <f>IFERROR(R89/Q89,0)</f>
        <v/>
      </c>
      <c r="T89" s="39">
        <f>IFERROR(Q89/SUMIF($A:$A,A89,$Q:$Q),0)</f>
        <v/>
      </c>
      <c r="U89" s="39">
        <f>IFERROR(Q89/F89,0)</f>
        <v/>
      </c>
      <c r="V89" s="35">
        <f>F89-R89</f>
        <v/>
      </c>
      <c r="W89" s="39">
        <f>IFERROR(V89/F89,0)</f>
        <v/>
      </c>
      <c r="X89" s="29" t="n">
        <v>45.050768</v>
      </c>
      <c r="Y89" s="31" t="n">
        <v>207.093</v>
      </c>
      <c r="Z89" s="39">
        <f>IFERROR(Y89/G89,0)</f>
        <v/>
      </c>
      <c r="AA89" s="35">
        <f>Y89-K89/1.06</f>
        <v/>
      </c>
      <c r="AB89" s="39">
        <f>IFERROR(AA89/G89,0)</f>
        <v/>
      </c>
      <c r="AC89" s="31" t="n">
        <v>66.920563</v>
      </c>
      <c r="AD89" s="39">
        <f>IFERROR(AC89/G89,0)</f>
        <v/>
      </c>
    </row>
    <row r="90">
      <c r="A90" s="27" t="inlineStr">
        <is>
          <t>6.15-6.21</t>
        </is>
      </c>
      <c r="B90" s="27" t="inlineStr">
        <is>
          <t>6.15-6.21</t>
        </is>
      </c>
      <c r="C90" s="34" t="n">
        <v>1013887677295</v>
      </c>
      <c r="D90" s="27" t="inlineStr">
        <is>
          <t>混搭5杯</t>
        </is>
      </c>
      <c r="E90" s="27" t="inlineStr">
        <is>
          <t>进口营多原味杯面日式杯面韩式杯面泡面方便面汤面宿舍速食夜宵</t>
        </is>
      </c>
      <c r="F90" s="31" t="n">
        <v>1250.13</v>
      </c>
      <c r="G90" s="35">
        <f>IFERROR(F90/1.13,0)</f>
        <v/>
      </c>
      <c r="H90" s="36" t="n">
        <v>48</v>
      </c>
      <c r="I90" s="37" t="n">
        <v>0.01249674563915647</v>
      </c>
      <c r="J90" s="38">
        <f>IFERROR(F90/H90,0)</f>
        <v/>
      </c>
      <c r="K90" s="31" t="n">
        <v>231.016175475137</v>
      </c>
      <c r="L90" s="31" t="n">
        <v>745.211192397813</v>
      </c>
      <c r="M90" s="38">
        <f>IFERROR(L90/K90,0)</f>
        <v/>
      </c>
      <c r="N90" s="31" t="n">
        <v>25.5758396250976</v>
      </c>
      <c r="O90" s="31" t="n">
        <v>55.2742306690966</v>
      </c>
      <c r="P90" s="38">
        <f>IFERROR(O90/N90,0)</f>
        <v/>
      </c>
      <c r="Q90" s="31" t="n">
        <v>256.592015</v>
      </c>
      <c r="R90" s="31" t="n">
        <v>800.485423</v>
      </c>
      <c r="S90" s="38">
        <f>IFERROR(R90/Q90,0)</f>
        <v/>
      </c>
      <c r="T90" s="39">
        <f>IFERROR(Q90/SUMIF($A:$A,A90,$Q:$Q),0)</f>
        <v/>
      </c>
      <c r="U90" s="39">
        <f>IFERROR(Q90/F90,0)</f>
        <v/>
      </c>
      <c r="V90" s="35">
        <f>F90-R90</f>
        <v/>
      </c>
      <c r="W90" s="39">
        <f>IFERROR(V90/F90,0)</f>
        <v/>
      </c>
      <c r="X90" s="29" t="n">
        <v>45.050768</v>
      </c>
      <c r="Y90" s="31" t="n">
        <v>130.131</v>
      </c>
      <c r="Z90" s="39">
        <f>IFERROR(Y90/G90,0)</f>
        <v/>
      </c>
      <c r="AA90" s="35">
        <f>Y90-K90/1.06</f>
        <v/>
      </c>
      <c r="AB90" s="39">
        <f>IFERROR(AA90/G90,0)</f>
        <v/>
      </c>
      <c r="AC90" s="31" t="n">
        <v>-154.437663</v>
      </c>
      <c r="AD90" s="39">
        <f>IFERROR(AC90/G90,0)</f>
        <v/>
      </c>
    </row>
    <row r="91">
      <c r="A91" s="27" t="inlineStr">
        <is>
          <t>6.15-6.21</t>
        </is>
      </c>
      <c r="B91" s="27" t="inlineStr">
        <is>
          <t>6.15-6.21</t>
        </is>
      </c>
      <c r="C91" s="34" t="n">
        <v>735014804839</v>
      </c>
      <c r="D91" s="27" t="inlineStr">
        <is>
          <t>24/30包</t>
        </is>
      </c>
      <c r="E91" s="27" t="inlineStr">
        <is>
          <t>进口营多捞面多口味Indomie网红方便面干拌面泡面30包整箱批发面</t>
        </is>
      </c>
      <c r="F91" s="31" t="n">
        <v>1900.41</v>
      </c>
      <c r="G91" s="35">
        <f>IFERROR(F91/1.13,0)</f>
        <v/>
      </c>
      <c r="H91" s="36" t="n">
        <v>28</v>
      </c>
      <c r="I91" s="37" t="n">
        <v>0.00728976828950794</v>
      </c>
      <c r="J91" s="38">
        <f>IFERROR(F91/H91,0)</f>
        <v/>
      </c>
      <c r="K91" s="31" t="n">
        <v>225.51693569383</v>
      </c>
      <c r="L91" s="31" t="n">
        <v>1147.87902889872</v>
      </c>
      <c r="M91" s="38">
        <f>IFERROR(L91/K91,0)</f>
        <v/>
      </c>
      <c r="N91" s="31" t="n">
        <v>14.919239781307</v>
      </c>
      <c r="O91" s="31" t="n">
        <v>32.2433012236397</v>
      </c>
      <c r="P91" s="38">
        <f>IFERROR(O91/N91,0)</f>
        <v/>
      </c>
      <c r="Q91" s="31" t="n">
        <v>240.436175</v>
      </c>
      <c r="R91" s="31" t="n">
        <v>1180.12233</v>
      </c>
      <c r="S91" s="38">
        <f>IFERROR(R91/Q91,0)</f>
        <v/>
      </c>
      <c r="T91" s="39">
        <f>IFERROR(Q91/SUMIF($A:$A,A91,$Q:$Q),0)</f>
        <v/>
      </c>
      <c r="U91" s="39">
        <f>IFERROR(Q91/F91,0)</f>
        <v/>
      </c>
      <c r="V91" s="35">
        <f>F91-R91</f>
        <v/>
      </c>
      <c r="W91" s="39">
        <f>IFERROR(V91/F91,0)</f>
        <v/>
      </c>
      <c r="X91" s="29" t="n">
        <v>26.279615</v>
      </c>
      <c r="Y91" s="31" t="n">
        <v>371.174</v>
      </c>
      <c r="Z91" s="39">
        <f>IFERROR(Y91/G91,0)</f>
        <v/>
      </c>
      <c r="AA91" s="35">
        <f>Y91-K91/1.06</f>
        <v/>
      </c>
      <c r="AB91" s="39">
        <f>IFERROR(AA91/G91,0)</f>
        <v/>
      </c>
      <c r="AC91" s="31" t="n">
        <v>119.55533</v>
      </c>
      <c r="AD91" s="39">
        <f>IFERROR(AC91/G91,0)</f>
        <v/>
      </c>
    </row>
    <row r="92">
      <c r="A92" s="27" t="inlineStr">
        <is>
          <t>6.15-6.21</t>
        </is>
      </c>
      <c r="B92" s="27" t="inlineStr">
        <is>
          <t>6.15-6.21</t>
        </is>
      </c>
      <c r="C92" s="34" t="n">
        <v>898076297965</v>
      </c>
      <c r="D92" s="27" t="inlineStr">
        <is>
          <t>番茄牛肉</t>
        </is>
      </c>
      <c r="E92" s="27" t="inlineStr">
        <is>
          <t>进口正品意面风味奶香番茄牛肉味意式拌面营多捞面早餐儿童宝妈餐</t>
        </is>
      </c>
      <c r="F92" s="31" t="n">
        <v>159.58</v>
      </c>
      <c r="G92" s="35">
        <f>IFERROR(F92/1.13,0)</f>
        <v/>
      </c>
      <c r="H92" s="36" t="n">
        <v>10</v>
      </c>
      <c r="I92" s="37" t="n">
        <v>0.002603488674824264</v>
      </c>
      <c r="J92" s="38">
        <f>IFERROR(F92/H92,0)</f>
        <v/>
      </c>
      <c r="K92" s="31" t="n">
        <v>13.0696198906535</v>
      </c>
      <c r="L92" s="31" t="n">
        <v>15.5260817495444</v>
      </c>
      <c r="M92" s="38">
        <f>IFERROR(L92/K92,0)</f>
        <v/>
      </c>
      <c r="N92" s="31" t="n">
        <v>5.32829992189534</v>
      </c>
      <c r="O92" s="31" t="n">
        <v>11.5154647227285</v>
      </c>
      <c r="P92" s="38">
        <f>IFERROR(O92/N92,0)</f>
        <v/>
      </c>
      <c r="Q92" s="31" t="n">
        <v>18.39792</v>
      </c>
      <c r="R92" s="31" t="n">
        <v>27.041546</v>
      </c>
      <c r="S92" s="38">
        <f>IFERROR(R92/Q92,0)</f>
        <v/>
      </c>
      <c r="T92" s="39">
        <f>IFERROR(Q92/SUMIF($A:$A,A92,$Q:$Q),0)</f>
        <v/>
      </c>
      <c r="U92" s="39">
        <f>IFERROR(Q92/F92,0)</f>
        <v/>
      </c>
      <c r="V92" s="35">
        <f>F92-R92</f>
        <v/>
      </c>
      <c r="W92" s="39">
        <f>IFERROR(V92/F92,0)</f>
        <v/>
      </c>
      <c r="X92" s="29" t="n">
        <v>9.385577</v>
      </c>
      <c r="Y92" s="31" t="n">
        <v>9.420999999999999</v>
      </c>
      <c r="Z92" s="39">
        <f>IFERROR(Y92/G92,0)</f>
        <v/>
      </c>
      <c r="AA92" s="35">
        <f>Y92-K92/1.06</f>
        <v/>
      </c>
      <c r="AB92" s="39">
        <f>IFERROR(AA92/G92,0)</f>
        <v/>
      </c>
      <c r="AC92" s="31" t="n">
        <v>-16.789846</v>
      </c>
      <c r="AD92" s="39">
        <f>IFERROR(AC92/G92,0)</f>
        <v/>
      </c>
    </row>
    <row r="93">
      <c r="A93" s="27" t="inlineStr">
        <is>
          <t>6.15-6.21</t>
        </is>
      </c>
      <c r="B93" s="27" t="inlineStr">
        <is>
          <t>6.15-6.21</t>
        </is>
      </c>
      <c r="C93" s="34" t="n">
        <v>969423151512</v>
      </c>
      <c r="D93" s="27" t="inlineStr">
        <is>
          <t>日韩混搭</t>
        </is>
      </c>
      <c r="E93" s="27" t="inlineStr">
        <is>
          <t>营多捞面甜辣炸鸡火鸡面辣蘑菇泡面方便面速食干拌面宿舍宵夜旅行</t>
        </is>
      </c>
      <c r="F93" s="31" t="n">
        <v>162.91</v>
      </c>
      <c r="G93" s="35">
        <f>IFERROR(F93/1.13,0)</f>
        <v/>
      </c>
      <c r="H93" s="36" t="n">
        <v>9</v>
      </c>
      <c r="I93" s="37" t="n">
        <v>0.002343139807341838</v>
      </c>
      <c r="J93" s="38">
        <f>IFERROR(F93/H93,0)</f>
        <v/>
      </c>
      <c r="K93" s="31" t="n">
        <v>44.3736579015881</v>
      </c>
      <c r="L93" s="31" t="n">
        <v>132.71147357459</v>
      </c>
      <c r="M93" s="38">
        <f>IFERROR(L93/K93,0)</f>
        <v/>
      </c>
      <c r="N93" s="31" t="n">
        <v>4.79546992970581</v>
      </c>
      <c r="O93" s="31" t="n">
        <v>10.3639182504556</v>
      </c>
      <c r="P93" s="38">
        <f>IFERROR(O93/N93,0)</f>
        <v/>
      </c>
      <c r="Q93" s="31" t="n">
        <v>49.169128</v>
      </c>
      <c r="R93" s="31" t="n">
        <v>143.075392</v>
      </c>
      <c r="S93" s="38">
        <f>IFERROR(R93/Q93,0)</f>
        <v/>
      </c>
      <c r="T93" s="39">
        <f>IFERROR(Q93/SUMIF($A:$A,A93,$Q:$Q),0)</f>
        <v/>
      </c>
      <c r="U93" s="39">
        <f>IFERROR(Q93/F93,0)</f>
        <v/>
      </c>
      <c r="V93" s="35">
        <f>F93-R93</f>
        <v/>
      </c>
      <c r="W93" s="39">
        <f>IFERROR(V93/F93,0)</f>
        <v/>
      </c>
      <c r="X93" s="29" t="n">
        <v>8.447018999999999</v>
      </c>
      <c r="Y93" s="31" t="n">
        <v>19.502</v>
      </c>
      <c r="Z93" s="39">
        <f>IFERROR(Y93/G93,0)</f>
        <v/>
      </c>
      <c r="AA93" s="35">
        <f>Y93-K93/1.06</f>
        <v/>
      </c>
      <c r="AB93" s="39">
        <f>IFERROR(AA93/G93,0)</f>
        <v/>
      </c>
      <c r="AC93" s="31" t="n">
        <v>-34.852856</v>
      </c>
      <c r="AD93" s="39">
        <f>IFERROR(AC93/G93,0)</f>
        <v/>
      </c>
    </row>
    <row r="94">
      <c r="A94" s="27" t="inlineStr">
        <is>
          <t>6.15-6.21</t>
        </is>
      </c>
      <c r="B94" s="27" t="inlineStr">
        <is>
          <t>6.15-6.21</t>
        </is>
      </c>
      <c r="C94" s="34" t="n">
        <v>886856687067</v>
      </c>
      <c r="D94" s="27" t="inlineStr">
        <is>
          <t>大骨</t>
        </is>
      </c>
      <c r="E94" s="27" t="inlineStr">
        <is>
          <t>营多捞面牛系列大骨牛肉味方便面食品泡面拉面汤面宿舍宵夜旅行</t>
        </is>
      </c>
      <c r="F94" s="31" t="n">
        <v>167.14</v>
      </c>
      <c r="G94" s="35">
        <f>IFERROR(F94/1.13,0)</f>
        <v/>
      </c>
      <c r="H94" s="36" t="n">
        <v>9</v>
      </c>
      <c r="I94" s="37" t="n">
        <v>0.002343139807341838</v>
      </c>
      <c r="J94" s="38">
        <f>IFERROR(F94/H94,0)</f>
        <v/>
      </c>
      <c r="K94" s="31" t="n">
        <v>8.573657901588129</v>
      </c>
      <c r="L94" s="31" t="n">
        <v>1.75147357459</v>
      </c>
      <c r="M94" s="38">
        <f>IFERROR(L94/K94,0)</f>
        <v/>
      </c>
      <c r="N94" s="31" t="n">
        <v>4.79546992970581</v>
      </c>
      <c r="O94" s="31" t="n">
        <v>10.3639182504556</v>
      </c>
      <c r="P94" s="38">
        <f>IFERROR(O94/N94,0)</f>
        <v/>
      </c>
      <c r="Q94" s="31" t="n">
        <v>13.369128</v>
      </c>
      <c r="R94" s="31" t="n">
        <v>12.115392</v>
      </c>
      <c r="S94" s="38">
        <f>IFERROR(R94/Q94,0)</f>
        <v/>
      </c>
      <c r="T94" s="39">
        <f>IFERROR(Q94/SUMIF($A:$A,A94,$Q:$Q),0)</f>
        <v/>
      </c>
      <c r="U94" s="39">
        <f>IFERROR(Q94/F94,0)</f>
        <v/>
      </c>
      <c r="V94" s="35">
        <f>F94-R94</f>
        <v/>
      </c>
      <c r="W94" s="39">
        <f>IFERROR(V94/F94,0)</f>
        <v/>
      </c>
      <c r="X94" s="29" t="n">
        <v>8.447018999999999</v>
      </c>
      <c r="Y94" s="31" t="n">
        <v>16.224</v>
      </c>
      <c r="Z94" s="39">
        <f>IFERROR(Y94/G94,0)</f>
        <v/>
      </c>
      <c r="AA94" s="35">
        <f>Y94-K94/1.06</f>
        <v/>
      </c>
      <c r="AB94" s="39">
        <f>IFERROR(AA94/G94,0)</f>
        <v/>
      </c>
      <c r="AC94" s="31" t="n">
        <v>-4.357271</v>
      </c>
      <c r="AD94" s="39">
        <f>IFERROR(AC94/G94,0)</f>
        <v/>
      </c>
    </row>
    <row r="95">
      <c r="A95" s="27" t="inlineStr">
        <is>
          <t>6.15-6.21</t>
        </is>
      </c>
      <c r="B95" s="27" t="inlineStr">
        <is>
          <t>6.15-6.21</t>
        </is>
      </c>
      <c r="C95" s="34" t="n">
        <v>976479938842</v>
      </c>
      <c r="D95" s="27" t="inlineStr">
        <is>
          <t>【U选】原味5</t>
        </is>
      </c>
      <c r="E95" s="27" t="inlineStr">
        <is>
          <t>【天猫U选】indomie营多大骨牛肉味捞面拌面5包</t>
        </is>
      </c>
      <c r="F95" s="31" t="n">
        <v>76.75</v>
      </c>
      <c r="G95" s="35">
        <f>IFERROR(F95/1.13,0)</f>
        <v/>
      </c>
      <c r="H95" s="36" t="n">
        <v>8</v>
      </c>
      <c r="I95" s="37" t="n">
        <v>0.002082790939859412</v>
      </c>
      <c r="J95" s="38">
        <f>IFERROR(F95/H95,0)</f>
        <v/>
      </c>
      <c r="K95" s="31" t="n">
        <v>1.64769591252279</v>
      </c>
      <c r="L95" s="31" t="n">
        <v>1.55686539963555</v>
      </c>
      <c r="M95" s="38">
        <f>IFERROR(L95/K95,0)</f>
        <v/>
      </c>
      <c r="N95" s="31" t="n">
        <v>4.26263993751627</v>
      </c>
      <c r="O95" s="31" t="n">
        <v>9.212371778182771</v>
      </c>
      <c r="P95" s="38">
        <f>IFERROR(O95/N95,0)</f>
        <v/>
      </c>
      <c r="Q95" s="31" t="n">
        <v>5.910336</v>
      </c>
      <c r="R95" s="31" t="n">
        <v>10.769237</v>
      </c>
      <c r="S95" s="38">
        <f>IFERROR(R95/Q95,0)</f>
        <v/>
      </c>
      <c r="T95" s="39">
        <f>IFERROR(Q95/SUMIF($A:$A,A95,$Q:$Q),0)</f>
        <v/>
      </c>
      <c r="U95" s="39">
        <f>IFERROR(Q95/F95,0)</f>
        <v/>
      </c>
      <c r="V95" s="35">
        <f>F95-R95</f>
        <v/>
      </c>
      <c r="W95" s="39">
        <f>IFERROR(V95/F95,0)</f>
        <v/>
      </c>
      <c r="X95" s="29" t="n">
        <v>7.508461</v>
      </c>
      <c r="Y95" s="31" t="n">
        <v>-24.114</v>
      </c>
      <c r="Z95" s="39">
        <f>IFERROR(Y95/G95,0)</f>
        <v/>
      </c>
      <c r="AA95" s="35">
        <f>Y95-K95/1.06</f>
        <v/>
      </c>
      <c r="AB95" s="39">
        <f>IFERROR(AA95/G95,0)</f>
        <v/>
      </c>
      <c r="AC95" s="31" t="n">
        <v>-36.773243</v>
      </c>
      <c r="AD95" s="39">
        <f>IFERROR(AC95/G95,0)</f>
        <v/>
      </c>
    </row>
    <row r="96">
      <c r="A96" s="27" t="inlineStr">
        <is>
          <t>6.15-6.21</t>
        </is>
      </c>
      <c r="B96" s="27" t="inlineStr">
        <is>
          <t>6.15-6.21</t>
        </is>
      </c>
      <c r="C96" s="34" t="n">
        <v>648604228786</v>
      </c>
      <c r="D96" s="27" t="inlineStr">
        <is>
          <t>杯面混搭</t>
        </is>
      </c>
      <c r="E96" s="27" t="inlineStr">
        <is>
          <t>INDOMIE营多日式杯面原味经典泡面整箱批发速食宿舍旅行宵夜宿舍</t>
        </is>
      </c>
      <c r="F96" s="31" t="n">
        <v>221.9</v>
      </c>
      <c r="G96" s="35">
        <f>IFERROR(F96/1.13,0)</f>
        <v/>
      </c>
      <c r="H96" s="36" t="n">
        <v>8</v>
      </c>
      <c r="I96" s="37" t="n">
        <v>0.002082790939859412</v>
      </c>
      <c r="J96" s="38">
        <f>IFERROR(F96/H96,0)</f>
        <v/>
      </c>
      <c r="K96" s="31" t="n">
        <v>11.4376959125228</v>
      </c>
      <c r="L96" s="31" t="n">
        <v>1.55686539963555</v>
      </c>
      <c r="M96" s="38">
        <f>IFERROR(L96/K96,0)</f>
        <v/>
      </c>
      <c r="N96" s="31" t="n">
        <v>4.26263993751627</v>
      </c>
      <c r="O96" s="31" t="n">
        <v>9.212371778182771</v>
      </c>
      <c r="P96" s="38">
        <f>IFERROR(O96/N96,0)</f>
        <v/>
      </c>
      <c r="Q96" s="31" t="n">
        <v>15.700336</v>
      </c>
      <c r="R96" s="31" t="n">
        <v>10.769237</v>
      </c>
      <c r="S96" s="38">
        <f>IFERROR(R96/Q96,0)</f>
        <v/>
      </c>
      <c r="T96" s="39">
        <f>IFERROR(Q96/SUMIF($A:$A,A96,$Q:$Q),0)</f>
        <v/>
      </c>
      <c r="U96" s="39">
        <f>IFERROR(Q96/F96,0)</f>
        <v/>
      </c>
      <c r="V96" s="35">
        <f>F96-R96</f>
        <v/>
      </c>
      <c r="W96" s="39">
        <f>IFERROR(V96/F96,0)</f>
        <v/>
      </c>
      <c r="X96" s="29" t="n">
        <v>7.508461</v>
      </c>
      <c r="Y96" s="31" t="n">
        <v>28.136</v>
      </c>
      <c r="Z96" s="39">
        <f>IFERROR(Y96/G96,0)</f>
        <v/>
      </c>
      <c r="AA96" s="35">
        <f>Y96-K96/1.06</f>
        <v/>
      </c>
      <c r="AB96" s="39">
        <f>IFERROR(AA96/G96,0)</f>
        <v/>
      </c>
      <c r="AC96" s="31" t="n">
        <v>6.240908</v>
      </c>
      <c r="AD96" s="39">
        <f>IFERROR(AC96/G96,0)</f>
        <v/>
      </c>
    </row>
    <row r="97">
      <c r="A97" s="27" t="inlineStr">
        <is>
          <t>6.15-6.21</t>
        </is>
      </c>
      <c r="B97" s="27" t="inlineStr">
        <is>
          <t>6.15-6.21</t>
        </is>
      </c>
      <c r="C97" s="34" t="n">
        <v>649729851594</v>
      </c>
      <c r="D97" s="27" t="inlineStr">
        <is>
          <t>小规格</t>
        </is>
      </c>
      <c r="E97" s="27" t="inlineStr">
        <is>
          <t>营多捞面袋装8包装泡面宿舍速食面热干面干拌面方便面火鸡面食品</t>
        </is>
      </c>
      <c r="F97" s="31" t="n">
        <v>130.95</v>
      </c>
      <c r="G97" s="35">
        <f>IFERROR(F97/1.13,0)</f>
        <v/>
      </c>
      <c r="H97" s="36" t="n">
        <v>6</v>
      </c>
      <c r="I97" s="37" t="n">
        <v>0.001562093204894559</v>
      </c>
      <c r="J97" s="38">
        <f>IFERROR(F97/H97,0)</f>
        <v/>
      </c>
      <c r="K97" s="31" t="n">
        <v>6.81577193439209</v>
      </c>
      <c r="L97" s="31" t="n">
        <v>1.16764904972666</v>
      </c>
      <c r="M97" s="38">
        <f>IFERROR(L97/K97,0)</f>
        <v/>
      </c>
      <c r="N97" s="31" t="n">
        <v>3.1969799531372</v>
      </c>
      <c r="O97" s="31" t="n">
        <v>6.90927883363707</v>
      </c>
      <c r="P97" s="38">
        <f>IFERROR(O97/N97,0)</f>
        <v/>
      </c>
      <c r="Q97" s="31" t="n">
        <v>10.012752</v>
      </c>
      <c r="R97" s="31" t="n">
        <v>8.076928000000001</v>
      </c>
      <c r="S97" s="38">
        <f>IFERROR(R97/Q97,0)</f>
        <v/>
      </c>
      <c r="T97" s="39">
        <f>IFERROR(Q97/SUMIF($A:$A,A97,$Q:$Q),0)</f>
        <v/>
      </c>
      <c r="U97" s="39">
        <f>IFERROR(Q97/F97,0)</f>
        <v/>
      </c>
      <c r="V97" s="35">
        <f>F97-R97</f>
        <v/>
      </c>
      <c r="W97" s="39">
        <f>IFERROR(V97/F97,0)</f>
        <v/>
      </c>
      <c r="X97" s="29" t="n">
        <v>5.631346</v>
      </c>
      <c r="Y97" s="31" t="n">
        <v>18.737</v>
      </c>
      <c r="Z97" s="39">
        <f>IFERROR(Y97/G97,0)</f>
        <v/>
      </c>
      <c r="AA97" s="35">
        <f>Y97-K97/1.06</f>
        <v/>
      </c>
      <c r="AB97" s="39">
        <f>IFERROR(AA97/G97,0)</f>
        <v/>
      </c>
      <c r="AC97" s="31" t="n">
        <v>3.978417</v>
      </c>
      <c r="AD97" s="39">
        <f>IFERROR(AC97/G97,0)</f>
        <v/>
      </c>
    </row>
    <row r="98">
      <c r="A98" s="27" t="inlineStr">
        <is>
          <t>6.15-6.21</t>
        </is>
      </c>
      <c r="B98" s="27" t="inlineStr">
        <is>
          <t>6.15-6.21</t>
        </is>
      </c>
      <c r="C98" s="34" t="n">
        <v>937005385662</v>
      </c>
      <c r="D98" s="27" t="inlineStr">
        <is>
          <t>日式袋面</t>
        </is>
      </c>
      <c r="E98" s="27" t="inlineStr">
        <is>
          <t>进口营多正品捞面日式鸡肉鸡汤辛辣味袋装泡面辣味速食方便面汤面</t>
        </is>
      </c>
      <c r="F98" s="31" t="n">
        <v>91</v>
      </c>
      <c r="G98" s="35">
        <f>IFERROR(F98/1.13,0)</f>
        <v/>
      </c>
      <c r="H98" s="36" t="n">
        <v>5</v>
      </c>
      <c r="I98" s="37" t="n">
        <v>0.001301744337412132</v>
      </c>
      <c r="J98" s="38">
        <f>IFERROR(F98/H98,0)</f>
        <v/>
      </c>
      <c r="K98" s="31" t="n">
        <v>40.3298099453267</v>
      </c>
      <c r="L98" s="31" t="n">
        <v>180.273040874772</v>
      </c>
      <c r="M98" s="38">
        <f>IFERROR(L98/K98,0)</f>
        <v/>
      </c>
      <c r="N98" s="31" t="n">
        <v>2.66414996094767</v>
      </c>
      <c r="O98" s="31" t="n">
        <v>5.75773236136423</v>
      </c>
      <c r="P98" s="38">
        <f>IFERROR(O98/N98,0)</f>
        <v/>
      </c>
      <c r="Q98" s="31" t="n">
        <v>42.99396</v>
      </c>
      <c r="R98" s="31" t="n">
        <v>186.030773</v>
      </c>
      <c r="S98" s="38">
        <f>IFERROR(R98/Q98,0)</f>
        <v/>
      </c>
      <c r="T98" s="39">
        <f>IFERROR(Q98/SUMIF($A:$A,A98,$Q:$Q),0)</f>
        <v/>
      </c>
      <c r="U98" s="39">
        <f>IFERROR(Q98/F98,0)</f>
        <v/>
      </c>
      <c r="V98" s="35">
        <f>F98-R98</f>
        <v/>
      </c>
      <c r="W98" s="39">
        <f>IFERROR(V98/F98,0)</f>
        <v/>
      </c>
      <c r="X98" s="29" t="n">
        <v>4.692788</v>
      </c>
      <c r="Y98" s="31" t="n">
        <v>8.720000000000001</v>
      </c>
      <c r="Z98" s="39">
        <f>IFERROR(Y98/G98,0)</f>
        <v/>
      </c>
      <c r="AA98" s="35">
        <f>Y98-K98/1.06</f>
        <v/>
      </c>
      <c r="AB98" s="39">
        <f>IFERROR(AA98/G98,0)</f>
        <v/>
      </c>
      <c r="AC98" s="31" t="n">
        <v>-36.267498</v>
      </c>
      <c r="AD98" s="39">
        <f>IFERROR(AC98/G98,0)</f>
        <v/>
      </c>
    </row>
    <row r="99">
      <c r="A99" s="27" t="inlineStr">
        <is>
          <t>6.15-6.21</t>
        </is>
      </c>
      <c r="B99" s="27" t="inlineStr">
        <is>
          <t>6.15-6.21</t>
        </is>
      </c>
      <c r="C99" s="34" t="n">
        <v>903183018417</v>
      </c>
      <c r="D99" s="27" t="inlineStr">
        <is>
          <t>七口味混搭</t>
        </is>
      </c>
      <c r="E99" s="27" t="inlineStr">
        <is>
          <t>进口营多捞面汤面拌面七口味混合方便面速拉面宿舍拌面泡面食食品</t>
        </is>
      </c>
      <c r="F99" s="31" t="n">
        <v>94.68000000000001</v>
      </c>
      <c r="G99" s="35">
        <f>IFERROR(F99/1.13,0)</f>
        <v/>
      </c>
      <c r="H99" s="36" t="n">
        <v>5</v>
      </c>
      <c r="I99" s="37" t="n">
        <v>0.001301744337412132</v>
      </c>
      <c r="J99" s="38">
        <f>IFERROR(F99/H99,0)</f>
        <v/>
      </c>
      <c r="K99" s="31" t="n">
        <v>3.78980994532674</v>
      </c>
      <c r="L99" s="31" t="n">
        <v>56.3430408747722</v>
      </c>
      <c r="M99" s="38">
        <f>IFERROR(L99/K99,0)</f>
        <v/>
      </c>
      <c r="N99" s="31" t="n">
        <v>2.66414996094767</v>
      </c>
      <c r="O99" s="31" t="n">
        <v>5.75773236136423</v>
      </c>
      <c r="P99" s="38">
        <f>IFERROR(O99/N99,0)</f>
        <v/>
      </c>
      <c r="Q99" s="31" t="n">
        <v>6.45396</v>
      </c>
      <c r="R99" s="31" t="n">
        <v>62.100773</v>
      </c>
      <c r="S99" s="38">
        <f>IFERROR(R99/Q99,0)</f>
        <v/>
      </c>
      <c r="T99" s="39">
        <f>IFERROR(Q99/SUMIF($A:$A,A99,$Q:$Q),0)</f>
        <v/>
      </c>
      <c r="U99" s="39">
        <f>IFERROR(Q99/F99,0)</f>
        <v/>
      </c>
      <c r="V99" s="35">
        <f>F99-R99</f>
        <v/>
      </c>
      <c r="W99" s="39">
        <f>IFERROR(V99/F99,0)</f>
        <v/>
      </c>
      <c r="X99" s="29" t="n">
        <v>4.692788</v>
      </c>
      <c r="Y99" s="31" t="n">
        <v>17.654</v>
      </c>
      <c r="Z99" s="39">
        <f>IFERROR(Y99/G99,0)</f>
        <v/>
      </c>
      <c r="AA99" s="35">
        <f>Y99-K99/1.06</f>
        <v/>
      </c>
      <c r="AB99" s="39">
        <f>IFERROR(AA99/G99,0)</f>
        <v/>
      </c>
      <c r="AC99" s="31" t="n">
        <v>7.1382</v>
      </c>
      <c r="AD99" s="39">
        <f>IFERROR(AC99/G99,0)</f>
        <v/>
      </c>
    </row>
    <row r="100">
      <c r="A100" s="27" t="inlineStr">
        <is>
          <t>6.15-6.21</t>
        </is>
      </c>
      <c r="B100" s="27" t="inlineStr">
        <is>
          <t>6.15-6.21</t>
        </is>
      </c>
      <c r="C100" s="34" t="n">
        <v>773972883430</v>
      </c>
      <c r="D100" s="27" t="inlineStr">
        <is>
          <t>日式袋面</t>
        </is>
      </c>
      <c r="E100" s="27" t="inlineStr">
        <is>
          <t>营多捞面韩式火鸡面辣蘑菇汤面袋装泡面辣味速食方便面宿舍宵夜面</t>
        </is>
      </c>
      <c r="F100" s="31" t="n">
        <v>102.88</v>
      </c>
      <c r="G100" s="35">
        <f>IFERROR(F100/1.13,0)</f>
        <v/>
      </c>
      <c r="H100" s="36" t="n">
        <v>5</v>
      </c>
      <c r="I100" s="37" t="n">
        <v>0.001301744337412132</v>
      </c>
      <c r="J100" s="38">
        <f>IFERROR(F100/H100,0)</f>
        <v/>
      </c>
      <c r="K100" s="31" t="n">
        <v>4.73980994532674</v>
      </c>
      <c r="L100" s="31" t="n">
        <v>32.7630408747722</v>
      </c>
      <c r="M100" s="38">
        <f>IFERROR(L100/K100,0)</f>
        <v/>
      </c>
      <c r="N100" s="31" t="n">
        <v>2.66414996094767</v>
      </c>
      <c r="O100" s="31" t="n">
        <v>5.75773236136423</v>
      </c>
      <c r="P100" s="38">
        <f>IFERROR(O100/N100,0)</f>
        <v/>
      </c>
      <c r="Q100" s="31" t="n">
        <v>7.40396</v>
      </c>
      <c r="R100" s="31" t="n">
        <v>38.520773</v>
      </c>
      <c r="S100" s="38">
        <f>IFERROR(R100/Q100,0)</f>
        <v/>
      </c>
      <c r="T100" s="39">
        <f>IFERROR(Q100/SUMIF($A:$A,A100,$Q:$Q),0)</f>
        <v/>
      </c>
      <c r="U100" s="39">
        <f>IFERROR(Q100/F100,0)</f>
        <v/>
      </c>
      <c r="V100" s="35">
        <f>F100-R100</f>
        <v/>
      </c>
      <c r="W100" s="39">
        <f>IFERROR(V100/F100,0)</f>
        <v/>
      </c>
      <c r="X100" s="29" t="n">
        <v>4.692788</v>
      </c>
      <c r="Y100" s="31" t="n">
        <v>11.47</v>
      </c>
      <c r="Z100" s="39">
        <f>IFERROR(Y100/G100,0)</f>
        <v/>
      </c>
      <c r="AA100" s="35">
        <f>Y100-K100/1.06</f>
        <v/>
      </c>
      <c r="AB100" s="39">
        <f>IFERROR(AA100/G100,0)</f>
        <v/>
      </c>
      <c r="AC100" s="31" t="n">
        <v>0.057973</v>
      </c>
      <c r="AD100" s="39">
        <f>IFERROR(AC100/G100,0)</f>
        <v/>
      </c>
    </row>
    <row r="101">
      <c r="A101" s="27" t="inlineStr">
        <is>
          <t>6.15-6.21</t>
        </is>
      </c>
      <c r="B101" s="27" t="inlineStr">
        <is>
          <t>6.15-6.21</t>
        </is>
      </c>
      <c r="C101" s="34" t="n">
        <v>649731447266</v>
      </c>
      <c r="D101" s="27" t="inlineStr">
        <is>
          <t>20包经典/牛系列</t>
        </is>
      </c>
      <c r="E101" s="27" t="inlineStr">
        <is>
          <t>营多印尼进口营多捞面方便面火鸡面干拌面20包宿舍速食泡面夜宵</t>
        </is>
      </c>
      <c r="F101" s="31" t="n">
        <v>227.99</v>
      </c>
      <c r="G101" s="35">
        <f>IFERROR(F101/1.13,0)</f>
        <v/>
      </c>
      <c r="H101" s="36" t="n">
        <v>5</v>
      </c>
      <c r="I101" s="37" t="n">
        <v>0.001301744337412132</v>
      </c>
      <c r="J101" s="38">
        <f>IFERROR(F101/H101,0)</f>
        <v/>
      </c>
      <c r="K101" s="31" t="n">
        <v>17.8598099453267</v>
      </c>
      <c r="L101" s="31" t="n">
        <v>26.2630408747722</v>
      </c>
      <c r="M101" s="38">
        <f>IFERROR(L101/K101,0)</f>
        <v/>
      </c>
      <c r="N101" s="31" t="n">
        <v>2.66414996094767</v>
      </c>
      <c r="O101" s="31" t="n">
        <v>5.75773236136423</v>
      </c>
      <c r="P101" s="38">
        <f>IFERROR(O101/N101,0)</f>
        <v/>
      </c>
      <c r="Q101" s="31" t="n">
        <v>20.52396</v>
      </c>
      <c r="R101" s="31" t="n">
        <v>32.020773</v>
      </c>
      <c r="S101" s="38">
        <f>IFERROR(R101/Q101,0)</f>
        <v/>
      </c>
      <c r="T101" s="39">
        <f>IFERROR(Q101/SUMIF($A:$A,A101,$Q:$Q),0)</f>
        <v/>
      </c>
      <c r="U101" s="39">
        <f>IFERROR(Q101/F101,0)</f>
        <v/>
      </c>
      <c r="V101" s="35">
        <f>F101-R101</f>
        <v/>
      </c>
      <c r="W101" s="39">
        <f>IFERROR(V101/F101,0)</f>
        <v/>
      </c>
      <c r="X101" s="29" t="n">
        <v>4.692788</v>
      </c>
      <c r="Y101" s="31" t="n">
        <v>37.497</v>
      </c>
      <c r="Z101" s="39">
        <f>IFERROR(Y101/G101,0)</f>
        <v/>
      </c>
      <c r="AA101" s="35">
        <f>Y101-K101/1.06</f>
        <v/>
      </c>
      <c r="AB101" s="39">
        <f>IFERROR(AA101/G101,0)</f>
        <v/>
      </c>
      <c r="AC101" s="31" t="n">
        <v>13.707615</v>
      </c>
      <c r="AD101" s="39">
        <f>IFERROR(AC101/G101,0)</f>
        <v/>
      </c>
    </row>
    <row r="102">
      <c r="A102" s="27" t="inlineStr">
        <is>
          <t>6.15-6.21</t>
        </is>
      </c>
      <c r="B102" s="27" t="inlineStr">
        <is>
          <t>6.15-6.21</t>
        </is>
      </c>
      <c r="C102" s="34" t="n">
        <v>971242260371</v>
      </c>
      <c r="D102" s="27" t="inlineStr">
        <is>
          <t>韩式袋面</t>
        </is>
      </c>
      <c r="E102" s="27" t="inlineStr">
        <is>
          <t>新品营多捞面韩式辣蘑菇汤面泡面方便面速食干拌面宿舍宵夜旅行</t>
        </is>
      </c>
      <c r="F102" s="31" t="n">
        <v>80.68000000000001</v>
      </c>
      <c r="G102" s="35">
        <f>IFERROR(F102/1.13,0)</f>
        <v/>
      </c>
      <c r="H102" s="36" t="n">
        <v>4</v>
      </c>
      <c r="I102" s="37" t="n">
        <v>0.001041395469929706</v>
      </c>
      <c r="J102" s="38">
        <f>IFERROR(F102/H102,0)</f>
        <v/>
      </c>
      <c r="K102" s="31" t="n">
        <v>18.4538479562614</v>
      </c>
      <c r="L102" s="31" t="n">
        <v>118.378432699818</v>
      </c>
      <c r="M102" s="38">
        <f>IFERROR(L102/K102,0)</f>
        <v/>
      </c>
      <c r="N102" s="31" t="n">
        <v>2.13131996875814</v>
      </c>
      <c r="O102" s="31" t="n">
        <v>4.60618588909138</v>
      </c>
      <c r="P102" s="38">
        <f>IFERROR(O102/N102,0)</f>
        <v/>
      </c>
      <c r="Q102" s="31" t="n">
        <v>20.585168</v>
      </c>
      <c r="R102" s="31" t="n">
        <v>122.984619</v>
      </c>
      <c r="S102" s="38">
        <f>IFERROR(R102/Q102,0)</f>
        <v/>
      </c>
      <c r="T102" s="39">
        <f>IFERROR(Q102/SUMIF($A:$A,A102,$Q:$Q),0)</f>
        <v/>
      </c>
      <c r="U102" s="39">
        <f>IFERROR(Q102/F102,0)</f>
        <v/>
      </c>
      <c r="V102" s="35">
        <f>F102-R102</f>
        <v/>
      </c>
      <c r="W102" s="39">
        <f>IFERROR(V102/F102,0)</f>
        <v/>
      </c>
      <c r="X102" s="29" t="n">
        <v>3.754231</v>
      </c>
      <c r="Y102" s="31" t="n">
        <v>11.4</v>
      </c>
      <c r="Z102" s="39">
        <f>IFERROR(Y102/G102,0)</f>
        <v/>
      </c>
      <c r="AA102" s="35">
        <f>Y102-K102/1.06</f>
        <v/>
      </c>
      <c r="AB102" s="39">
        <f>IFERROR(AA102/G102,0)</f>
        <v/>
      </c>
      <c r="AC102" s="31" t="n">
        <v>-11.561697</v>
      </c>
      <c r="AD102" s="39">
        <f>IFERROR(AC102/G102,0)</f>
        <v/>
      </c>
    </row>
    <row r="103">
      <c r="A103" s="27" t="inlineStr">
        <is>
          <t>6.15-6.21</t>
        </is>
      </c>
      <c r="B103" s="27" t="inlineStr">
        <is>
          <t>6.15-6.21</t>
        </is>
      </c>
      <c r="C103" s="34" t="n">
        <v>949962665617</v>
      </c>
      <c r="D103" s="27" t="inlineStr">
        <is>
          <t>组合</t>
        </is>
      </c>
      <c r="E103" s="27" t="inlineStr">
        <is>
          <t>营多捞面多口味袋装泡面拌面速食面干拌面方便面宿舍宵夜速食旅行</t>
        </is>
      </c>
      <c r="F103" s="31" t="n">
        <v>71.92</v>
      </c>
      <c r="G103" s="35">
        <f>IFERROR(F103/1.13,0)</f>
        <v/>
      </c>
      <c r="H103" s="36" t="n">
        <v>4</v>
      </c>
      <c r="I103" s="37" t="n">
        <v>0.001041395469929706</v>
      </c>
      <c r="J103" s="38">
        <f>IFERROR(F103/H103,0)</f>
        <v/>
      </c>
      <c r="K103" s="31" t="n">
        <v>47.9138479562614</v>
      </c>
      <c r="L103" s="31" t="n">
        <v>88.1484326998178</v>
      </c>
      <c r="M103" s="38">
        <f>IFERROR(L103/K103,0)</f>
        <v/>
      </c>
      <c r="N103" s="31" t="n">
        <v>2.13131996875814</v>
      </c>
      <c r="O103" s="31" t="n">
        <v>4.60618588909138</v>
      </c>
      <c r="P103" s="38">
        <f>IFERROR(O103/N103,0)</f>
        <v/>
      </c>
      <c r="Q103" s="31" t="n">
        <v>50.045168</v>
      </c>
      <c r="R103" s="31" t="n">
        <v>92.75461900000001</v>
      </c>
      <c r="S103" s="38">
        <f>IFERROR(R103/Q103,0)</f>
        <v/>
      </c>
      <c r="T103" s="39">
        <f>IFERROR(Q103/SUMIF($A:$A,A103,$Q:$Q),0)</f>
        <v/>
      </c>
      <c r="U103" s="39">
        <f>IFERROR(Q103/F103,0)</f>
        <v/>
      </c>
      <c r="V103" s="35">
        <f>F103-R103</f>
        <v/>
      </c>
      <c r="W103" s="39">
        <f>IFERROR(V103/F103,0)</f>
        <v/>
      </c>
      <c r="X103" s="29" t="n">
        <v>3.754231</v>
      </c>
      <c r="Y103" s="31" t="n">
        <v>5.715</v>
      </c>
      <c r="Z103" s="39">
        <f>IFERROR(Y103/G103,0)</f>
        <v/>
      </c>
      <c r="AA103" s="35">
        <f>Y103-K103/1.06</f>
        <v/>
      </c>
      <c r="AB103" s="39">
        <f>IFERROR(AA103/G103,0)</f>
        <v/>
      </c>
      <c r="AC103" s="31" t="n">
        <v>-45.03915</v>
      </c>
      <c r="AD103" s="39">
        <f>IFERROR(AC103/G103,0)</f>
        <v/>
      </c>
    </row>
    <row r="104">
      <c r="A104" s="27" t="inlineStr">
        <is>
          <t>6.15-6.21</t>
        </is>
      </c>
      <c r="B104" s="27" t="inlineStr">
        <is>
          <t>6.15-6.21</t>
        </is>
      </c>
      <c r="C104" s="34" t="n">
        <v>969433743398</v>
      </c>
      <c r="D104" s="27" t="inlineStr">
        <is>
          <t>韩蘑菇</t>
        </is>
      </c>
      <c r="E104" s="27" t="inlineStr">
        <is>
          <t>新品营多捞面韩式辣蘑菇汤面泡面方便面速食干拌面宿舍宵夜旅行</t>
        </is>
      </c>
      <c r="F104" s="31" t="n">
        <v>84.02</v>
      </c>
      <c r="G104" s="35">
        <f>IFERROR(F104/1.13,0)</f>
        <v/>
      </c>
      <c r="H104" s="36" t="n">
        <v>3</v>
      </c>
      <c r="I104" s="37" t="n">
        <v>0.0007810466024472793</v>
      </c>
      <c r="J104" s="38">
        <f>IFERROR(F104/H104,0)</f>
        <v/>
      </c>
      <c r="K104" s="31" t="n">
        <v>9.937885967196051</v>
      </c>
      <c r="L104" s="31" t="n">
        <v>90.1338245248633</v>
      </c>
      <c r="M104" s="38">
        <f>IFERROR(L104/K104,0)</f>
        <v/>
      </c>
      <c r="N104" s="31" t="n">
        <v>1.5984899765686</v>
      </c>
      <c r="O104" s="31" t="n">
        <v>3.45463941681854</v>
      </c>
      <c r="P104" s="38">
        <f>IFERROR(O104/N104,0)</f>
        <v/>
      </c>
      <c r="Q104" s="31" t="n">
        <v>11.536376</v>
      </c>
      <c r="R104" s="31" t="n">
        <v>93.588464</v>
      </c>
      <c r="S104" s="38">
        <f>IFERROR(R104/Q104,0)</f>
        <v/>
      </c>
      <c r="T104" s="39">
        <f>IFERROR(Q104/SUMIF($A:$A,A104,$Q:$Q),0)</f>
        <v/>
      </c>
      <c r="U104" s="39">
        <f>IFERROR(Q104/F104,0)</f>
        <v/>
      </c>
      <c r="V104" s="35">
        <f>F104-R104</f>
        <v/>
      </c>
      <c r="W104" s="39">
        <f>IFERROR(V104/F104,0)</f>
        <v/>
      </c>
      <c r="X104" s="29" t="n">
        <v>2.815673</v>
      </c>
      <c r="Y104" s="31" t="n">
        <v>15.365</v>
      </c>
      <c r="Z104" s="39">
        <f>IFERROR(Y104/G104,0)</f>
        <v/>
      </c>
      <c r="AA104" s="35">
        <f>Y104-K104/1.06</f>
        <v/>
      </c>
      <c r="AB104" s="39">
        <f>IFERROR(AA104/G104,0)</f>
        <v/>
      </c>
      <c r="AC104" s="31" t="n">
        <v>1.825331</v>
      </c>
      <c r="AD104" s="39">
        <f>IFERROR(AC104/G104,0)</f>
        <v/>
      </c>
    </row>
    <row r="105">
      <c r="A105" s="27" t="inlineStr">
        <is>
          <t>6.15-6.21</t>
        </is>
      </c>
      <c r="B105" s="27" t="inlineStr">
        <is>
          <t>6.15-6.21</t>
        </is>
      </c>
      <c r="C105" s="34" t="n">
        <v>898120785283</v>
      </c>
      <c r="D105" s="27" t="inlineStr">
        <is>
          <t>番茄</t>
        </is>
      </c>
      <c r="E105" s="27" t="inlineStr">
        <is>
          <t>进口意大利面风味奶香番茄牛肉味意式营多早餐儿童宝妈家庭餐拌面</t>
        </is>
      </c>
      <c r="F105" s="31" t="n">
        <v>65.7</v>
      </c>
      <c r="G105" s="35">
        <f>IFERROR(F105/1.13,0)</f>
        <v/>
      </c>
      <c r="H105" s="36" t="n">
        <v>3</v>
      </c>
      <c r="I105" s="37" t="n">
        <v>0.0007810466024472793</v>
      </c>
      <c r="J105" s="38">
        <f>IFERROR(F105/H105,0)</f>
        <v/>
      </c>
      <c r="K105" s="31" t="n">
        <v>1.14788596719604</v>
      </c>
      <c r="L105" s="31" t="n">
        <v>0.583824524863332</v>
      </c>
      <c r="M105" s="38">
        <f>IFERROR(L105/K105,0)</f>
        <v/>
      </c>
      <c r="N105" s="31" t="n">
        <v>1.5984899765686</v>
      </c>
      <c r="O105" s="31" t="n">
        <v>3.45463941681854</v>
      </c>
      <c r="P105" s="38">
        <f>IFERROR(O105/N105,0)</f>
        <v/>
      </c>
      <c r="Q105" s="31" t="n">
        <v>2.746376</v>
      </c>
      <c r="R105" s="31" t="n">
        <v>4.038464</v>
      </c>
      <c r="S105" s="38">
        <f>IFERROR(R105/Q105,0)</f>
        <v/>
      </c>
      <c r="T105" s="39">
        <f>IFERROR(Q105/SUMIF($A:$A,A105,$Q:$Q),0)</f>
        <v/>
      </c>
      <c r="U105" s="39">
        <f>IFERROR(Q105/F105,0)</f>
        <v/>
      </c>
      <c r="V105" s="35">
        <f>F105-R105</f>
        <v/>
      </c>
      <c r="W105" s="39">
        <f>IFERROR(V105/F105,0)</f>
        <v/>
      </c>
      <c r="X105" s="29" t="n">
        <v>2.815673</v>
      </c>
      <c r="Y105" s="31" t="n">
        <v>8.631</v>
      </c>
      <c r="Z105" s="39">
        <f>IFERROR(Y105/G105,0)</f>
        <v/>
      </c>
      <c r="AA105" s="35">
        <f>Y105-K105/1.06</f>
        <v/>
      </c>
      <c r="AB105" s="39">
        <f>IFERROR(AA105/G105,0)</f>
        <v/>
      </c>
      <c r="AC105" s="31" t="n">
        <v>3.383784</v>
      </c>
      <c r="AD105" s="39">
        <f>IFERROR(AC105/G105,0)</f>
        <v/>
      </c>
    </row>
    <row r="106">
      <c r="A106" s="27" t="inlineStr">
        <is>
          <t>6.15-6.21</t>
        </is>
      </c>
      <c r="B106" s="27" t="inlineStr">
        <is>
          <t>6.15-6.21</t>
        </is>
      </c>
      <c r="C106" s="34" t="n">
        <v>885645733215</v>
      </c>
      <c r="D106" s="27" t="inlineStr">
        <is>
          <t>大骨牛肉</t>
        </is>
      </c>
      <c r="E106" s="27" t="inlineStr">
        <is>
          <t>进口营多大骨番茄牛肉味营多捞面意式泡面宿舍宿舍宵夜速食方便面</t>
        </is>
      </c>
      <c r="F106" s="31" t="n">
        <v>41.06</v>
      </c>
      <c r="G106" s="35">
        <f>IFERROR(F106/1.13,0)</f>
        <v/>
      </c>
      <c r="H106" s="36" t="n">
        <v>3</v>
      </c>
      <c r="I106" s="37" t="n">
        <v>0.0007810466024472793</v>
      </c>
      <c r="J106" s="38">
        <f>IFERROR(F106/H106,0)</f>
        <v/>
      </c>
      <c r="K106" s="31" t="n">
        <v>2.31788596719604</v>
      </c>
      <c r="L106" s="31" t="n">
        <v>0.583824524863332</v>
      </c>
      <c r="M106" s="38">
        <f>IFERROR(L106/K106,0)</f>
        <v/>
      </c>
      <c r="N106" s="31" t="n">
        <v>1.5984899765686</v>
      </c>
      <c r="O106" s="31" t="n">
        <v>3.45463941681854</v>
      </c>
      <c r="P106" s="38">
        <f>IFERROR(O106/N106,0)</f>
        <v/>
      </c>
      <c r="Q106" s="31" t="n">
        <v>3.916376</v>
      </c>
      <c r="R106" s="31" t="n">
        <v>4.038464</v>
      </c>
      <c r="S106" s="38">
        <f>IFERROR(R106/Q106,0)</f>
        <v/>
      </c>
      <c r="T106" s="39">
        <f>IFERROR(Q106/SUMIF($A:$A,A106,$Q:$Q),0)</f>
        <v/>
      </c>
      <c r="U106" s="39">
        <f>IFERROR(Q106/F106,0)</f>
        <v/>
      </c>
      <c r="V106" s="35">
        <f>F106-R106</f>
        <v/>
      </c>
      <c r="W106" s="39">
        <f>IFERROR(V106/F106,0)</f>
        <v/>
      </c>
      <c r="X106" s="29" t="n">
        <v>2.815673</v>
      </c>
      <c r="Y106" s="31" t="n">
        <v>1.015</v>
      </c>
      <c r="Z106" s="39">
        <f>IFERROR(Y106/G106,0)</f>
        <v/>
      </c>
      <c r="AA106" s="35">
        <f>Y106-K106/1.06</f>
        <v/>
      </c>
      <c r="AB106" s="39">
        <f>IFERROR(AA106/G106,0)</f>
        <v/>
      </c>
      <c r="AC106" s="31" t="n">
        <v>-5.33599</v>
      </c>
      <c r="AD106" s="39">
        <f>IFERROR(AC106/G106,0)</f>
        <v/>
      </c>
    </row>
    <row r="107">
      <c r="A107" s="27" t="inlineStr">
        <is>
          <t>6.15-6.21</t>
        </is>
      </c>
      <c r="B107" s="27" t="inlineStr">
        <is>
          <t>6.15-6.21</t>
        </is>
      </c>
      <c r="C107" s="34" t="n">
        <v>1028450344901</v>
      </c>
      <c r="D107" s="27" t="inlineStr">
        <is>
          <t>韩式火鸡</t>
        </is>
      </c>
      <c r="E107" s="27" t="inlineStr">
        <is>
          <t>营多韩式火鸡面袋装拌面干拌面泡面方便面速食面宿舍宵夜旅行</t>
        </is>
      </c>
      <c r="F107" s="31" t="n">
        <v>69.56999999999999</v>
      </c>
      <c r="G107" s="35">
        <f>IFERROR(F107/1.13,0)</f>
        <v/>
      </c>
      <c r="H107" s="36" t="n">
        <v>3</v>
      </c>
      <c r="I107" s="37" t="n">
        <v>0.0007810466024472793</v>
      </c>
      <c r="J107" s="38">
        <f>IFERROR(F107/H107,0)</f>
        <v/>
      </c>
      <c r="K107" s="31" t="n">
        <v>3.61788596719604</v>
      </c>
      <c r="L107" s="31" t="n">
        <v>19.0438245248633</v>
      </c>
      <c r="M107" s="38">
        <f>IFERROR(L107/K107,0)</f>
        <v/>
      </c>
      <c r="N107" s="31" t="n">
        <v>1.5984899765686</v>
      </c>
      <c r="O107" s="31" t="n">
        <v>3.45463941681854</v>
      </c>
      <c r="P107" s="38">
        <f>IFERROR(O107/N107,0)</f>
        <v/>
      </c>
      <c r="Q107" s="31" t="n">
        <v>5.216376</v>
      </c>
      <c r="R107" s="31" t="n">
        <v>22.498464</v>
      </c>
      <c r="S107" s="38">
        <f>IFERROR(R107/Q107,0)</f>
        <v/>
      </c>
      <c r="T107" s="39">
        <f>IFERROR(Q107/SUMIF($A:$A,A107,$Q:$Q),0)</f>
        <v/>
      </c>
      <c r="U107" s="39">
        <f>IFERROR(Q107/F107,0)</f>
        <v/>
      </c>
      <c r="V107" s="35">
        <f>F107-R107</f>
        <v/>
      </c>
      <c r="W107" s="39">
        <f>IFERROR(V107/F107,0)</f>
        <v/>
      </c>
      <c r="X107" s="29" t="n">
        <v>2.815673</v>
      </c>
      <c r="Y107" s="31" t="n">
        <v>8.861000000000001</v>
      </c>
      <c r="Z107" s="39">
        <f>IFERROR(Y107/G107,0)</f>
        <v/>
      </c>
      <c r="AA107" s="35">
        <f>Y107-K107/1.06</f>
        <v/>
      </c>
      <c r="AB107" s="39">
        <f>IFERROR(AA107/G107,0)</f>
        <v/>
      </c>
      <c r="AC107" s="31" t="n">
        <v>1.283595</v>
      </c>
      <c r="AD107" s="39">
        <f>IFERROR(AC107/G107,0)</f>
        <v/>
      </c>
    </row>
    <row r="108">
      <c r="A108" s="27" t="inlineStr">
        <is>
          <t>6.15-6.21</t>
        </is>
      </c>
      <c r="B108" s="27" t="inlineStr">
        <is>
          <t>6.15-6.21</t>
        </is>
      </c>
      <c r="C108" s="34" t="n">
        <v>932687928859</v>
      </c>
      <c r="D108" s="27" t="inlineStr">
        <is>
          <t>8包组合</t>
        </is>
      </c>
      <c r="E108" s="27" t="inlineStr">
        <is>
          <t>营多捞面八口味袋装泡面拌面速食面干拌面方便面宿舍宵夜速食家用</t>
        </is>
      </c>
      <c r="F108" s="31" t="n">
        <v>54.24</v>
      </c>
      <c r="G108" s="35">
        <f>IFERROR(F108/1.13,0)</f>
        <v/>
      </c>
      <c r="H108" s="36" t="n">
        <v>2</v>
      </c>
      <c r="I108" s="37" t="n">
        <v>0.000520697734964853</v>
      </c>
      <c r="J108" s="38">
        <f>IFERROR(F108/H108,0)</f>
        <v/>
      </c>
      <c r="K108" s="31" t="n">
        <v>0.721923978130696</v>
      </c>
      <c r="L108" s="31" t="n">
        <v>0.389216349908888</v>
      </c>
      <c r="M108" s="38">
        <f>IFERROR(L108/K108,0)</f>
        <v/>
      </c>
      <c r="N108" s="31" t="n">
        <v>1.06565998437907</v>
      </c>
      <c r="O108" s="31" t="n">
        <v>2.30309294454569</v>
      </c>
      <c r="P108" s="38">
        <f>IFERROR(O108/N108,0)</f>
        <v/>
      </c>
      <c r="Q108" s="31" t="n">
        <v>1.787584</v>
      </c>
      <c r="R108" s="31" t="n">
        <v>2.692309</v>
      </c>
      <c r="S108" s="38">
        <f>IFERROR(R108/Q108,0)</f>
        <v/>
      </c>
      <c r="T108" s="39">
        <f>IFERROR(Q108/SUMIF($A:$A,A108,$Q:$Q),0)</f>
        <v/>
      </c>
      <c r="U108" s="39">
        <f>IFERROR(Q108/F108,0)</f>
        <v/>
      </c>
      <c r="V108" s="35">
        <f>F108-R108</f>
        <v/>
      </c>
      <c r="W108" s="39">
        <f>IFERROR(V108/F108,0)</f>
        <v/>
      </c>
      <c r="X108" s="29" t="n">
        <v>1.877115</v>
      </c>
      <c r="Y108" s="31" t="n">
        <v>9.538</v>
      </c>
      <c r="Z108" s="39">
        <f>IFERROR(Y108/G108,0)</f>
        <v/>
      </c>
      <c r="AA108" s="35">
        <f>Y108-K108/1.06</f>
        <v/>
      </c>
      <c r="AB108" s="39">
        <f>IFERROR(AA108/G108,0)</f>
        <v/>
      </c>
      <c r="AC108" s="31" t="n">
        <v>6.080737</v>
      </c>
      <c r="AD108" s="39">
        <f>IFERROR(AC108/G108,0)</f>
        <v/>
      </c>
    </row>
    <row r="109">
      <c r="A109" s="27" t="inlineStr">
        <is>
          <t>6.15-6.21</t>
        </is>
      </c>
      <c r="B109" s="27" t="inlineStr">
        <is>
          <t>6.15-6.21</t>
        </is>
      </c>
      <c r="C109" s="34" t="n">
        <v>976466902934</v>
      </c>
      <c r="D109" s="27" t="inlineStr">
        <is>
          <t>【U选】日式原杯1+日式辣杯1</t>
        </is>
      </c>
      <c r="E109" s="27" t="inlineStr">
        <is>
          <t>【天猫U选】indomie营多捞面辣火鸡味日式鸡肉原味杯面</t>
        </is>
      </c>
      <c r="F109" s="31" t="n">
        <v>18.81</v>
      </c>
      <c r="G109" s="35">
        <f>IFERROR(F109/1.13,0)</f>
        <v/>
      </c>
      <c r="H109" s="36" t="n">
        <v>2</v>
      </c>
      <c r="I109" s="37" t="n">
        <v>0.000520697734964853</v>
      </c>
      <c r="J109" s="38">
        <f>IFERROR(F109/H109,0)</f>
        <v/>
      </c>
      <c r="K109" s="31" t="n">
        <v>0.411923978130696</v>
      </c>
      <c r="L109" s="31" t="n">
        <v>0.389216349908888</v>
      </c>
      <c r="M109" s="38">
        <f>IFERROR(L109/K109,0)</f>
        <v/>
      </c>
      <c r="N109" s="31" t="n">
        <v>1.06565998437907</v>
      </c>
      <c r="O109" s="31" t="n">
        <v>2.30309294454569</v>
      </c>
      <c r="P109" s="38">
        <f>IFERROR(O109/N109,0)</f>
        <v/>
      </c>
      <c r="Q109" s="31" t="n">
        <v>1.477584</v>
      </c>
      <c r="R109" s="31" t="n">
        <v>2.692309</v>
      </c>
      <c r="S109" s="38">
        <f>IFERROR(R109/Q109,0)</f>
        <v/>
      </c>
      <c r="T109" s="39">
        <f>IFERROR(Q109/SUMIF($A:$A,A109,$Q:$Q),0)</f>
        <v/>
      </c>
      <c r="U109" s="39">
        <f>IFERROR(Q109/F109,0)</f>
        <v/>
      </c>
      <c r="V109" s="35">
        <f>F109-R109</f>
        <v/>
      </c>
      <c r="W109" s="39">
        <f>IFERROR(V109/F109,0)</f>
        <v/>
      </c>
      <c r="X109" s="29" t="n">
        <v>1.877115</v>
      </c>
      <c r="Y109" s="31" t="n">
        <v>-3.528</v>
      </c>
      <c r="Z109" s="39">
        <f>IFERROR(Y109/G109,0)</f>
        <v/>
      </c>
      <c r="AA109" s="35">
        <f>Y109-K109/1.06</f>
        <v/>
      </c>
      <c r="AB109" s="39">
        <f>IFERROR(AA109/G109,0)</f>
        <v/>
      </c>
      <c r="AC109" s="31" t="n">
        <v>-6.692811</v>
      </c>
      <c r="AD109" s="39">
        <f>IFERROR(AC109/G109,0)</f>
        <v/>
      </c>
    </row>
    <row r="110">
      <c r="A110" s="27" t="inlineStr">
        <is>
          <t>6.15-6.21</t>
        </is>
      </c>
      <c r="B110" s="27" t="inlineStr">
        <is>
          <t>6.15-6.21</t>
        </is>
      </c>
      <c r="C110" s="34" t="n">
        <v>947413291596</v>
      </c>
      <c r="D110" s="27" t="inlineStr">
        <is>
          <t>杯面</t>
        </is>
      </c>
      <c r="E110" s="27" t="inlineStr">
        <is>
          <t>营多捞面杯装方便面泡面速食干拌面原味整箱批发印尼进口桶装拌面</t>
        </is>
      </c>
      <c r="F110" s="31" t="n">
        <v>54.5</v>
      </c>
      <c r="G110" s="35">
        <f>IFERROR(F110/1.13,0)</f>
        <v/>
      </c>
      <c r="H110" s="36" t="n">
        <v>2</v>
      </c>
      <c r="I110" s="37" t="n">
        <v>0.000520697734964853</v>
      </c>
      <c r="J110" s="38">
        <f>IFERROR(F110/H110,0)</f>
        <v/>
      </c>
      <c r="K110" s="31" t="n">
        <v>9.6719239781307</v>
      </c>
      <c r="L110" s="31" t="n">
        <v>54.8892163499089</v>
      </c>
      <c r="M110" s="38">
        <f>IFERROR(L110/K110,0)</f>
        <v/>
      </c>
      <c r="N110" s="31" t="n">
        <v>1.06565998437907</v>
      </c>
      <c r="O110" s="31" t="n">
        <v>2.30309294454569</v>
      </c>
      <c r="P110" s="38">
        <f>IFERROR(O110/N110,0)</f>
        <v/>
      </c>
      <c r="Q110" s="31" t="n">
        <v>10.737584</v>
      </c>
      <c r="R110" s="31" t="n">
        <v>57.192309</v>
      </c>
      <c r="S110" s="38">
        <f>IFERROR(R110/Q110,0)</f>
        <v/>
      </c>
      <c r="T110" s="39">
        <f>IFERROR(Q110/SUMIF($A:$A,A110,$Q:$Q),0)</f>
        <v/>
      </c>
      <c r="U110" s="39">
        <f>IFERROR(Q110/F110,0)</f>
        <v/>
      </c>
      <c r="V110" s="35">
        <f>F110-R110</f>
        <v/>
      </c>
      <c r="W110" s="39">
        <f>IFERROR(V110/F110,0)</f>
        <v/>
      </c>
      <c r="X110" s="29" t="n">
        <v>1.877115</v>
      </c>
      <c r="Y110" s="31" t="n">
        <v>6.236</v>
      </c>
      <c r="Z110" s="39">
        <f>IFERROR(Y110/G110,0)</f>
        <v/>
      </c>
      <c r="AA110" s="35">
        <f>Y110-K110/1.06</f>
        <v/>
      </c>
      <c r="AB110" s="39">
        <f>IFERROR(AA110/G110,0)</f>
        <v/>
      </c>
      <c r="AC110" s="31" t="n">
        <v>-5.66466</v>
      </c>
      <c r="AD110" s="39">
        <f>IFERROR(AC110/G110,0)</f>
        <v/>
      </c>
    </row>
    <row r="111">
      <c r="A111" s="27" t="inlineStr">
        <is>
          <t>6.15-6.21</t>
        </is>
      </c>
      <c r="B111" s="27" t="inlineStr">
        <is>
          <t>6.15-6.21</t>
        </is>
      </c>
      <c r="C111" s="34" t="n">
        <v>1056927747753</v>
      </c>
      <c r="D111" s="27" t="inlineStr">
        <is>
          <t>巴东</t>
        </is>
      </c>
      <c r="E111" s="27" t="inlineStr">
        <is>
          <t>【新口味】印尼进口营多捞面巴东炖牛肉味泡面方便面宿舍速食宵夜</t>
        </is>
      </c>
      <c r="F111" s="31" t="n">
        <v>12.33</v>
      </c>
      <c r="G111" s="35">
        <f>IFERROR(F111/1.13,0)</f>
        <v/>
      </c>
      <c r="H111" s="36" t="n">
        <v>1</v>
      </c>
      <c r="I111" s="37" t="n">
        <v>0.0002603488674824265</v>
      </c>
      <c r="J111" s="38">
        <f>IFERROR(F111/H111,0)</f>
        <v/>
      </c>
      <c r="K111" s="31" t="n">
        <v>0.215961989065348</v>
      </c>
      <c r="L111" s="31" t="n">
        <v>0.194608174954444</v>
      </c>
      <c r="M111" s="38">
        <f>IFERROR(L111/K111,0)</f>
        <v/>
      </c>
      <c r="N111" s="31" t="n">
        <v>0.532829992189534</v>
      </c>
      <c r="O111" s="31" t="n">
        <v>1.15154647227285</v>
      </c>
      <c r="P111" s="38">
        <f>IFERROR(O111/N111,0)</f>
        <v/>
      </c>
      <c r="Q111" s="31" t="n">
        <v>0.748792</v>
      </c>
      <c r="R111" s="31" t="n">
        <v>1.346155</v>
      </c>
      <c r="S111" s="38">
        <f>IFERROR(R111/Q111,0)</f>
        <v/>
      </c>
      <c r="T111" s="39">
        <f>IFERROR(Q111/SUMIF($A:$A,A111,$Q:$Q),0)</f>
        <v/>
      </c>
      <c r="U111" s="39">
        <f>IFERROR(Q111/F111,0)</f>
        <v/>
      </c>
      <c r="V111" s="35">
        <f>F111-R111</f>
        <v/>
      </c>
      <c r="W111" s="39">
        <f>IFERROR(V111/F111,0)</f>
        <v/>
      </c>
      <c r="X111" s="29" t="n">
        <v>0.938558</v>
      </c>
      <c r="Y111" s="31" t="n">
        <v>-0.773</v>
      </c>
      <c r="Z111" s="39">
        <f>IFERROR(Y111/G111,0)</f>
        <v/>
      </c>
      <c r="AA111" s="35">
        <f>Y111-K111/1.06</f>
        <v/>
      </c>
      <c r="AB111" s="39">
        <f>IFERROR(AA111/G111,0)</f>
        <v/>
      </c>
      <c r="AC111" s="31" t="n">
        <v>-2.364839</v>
      </c>
      <c r="AD111" s="39">
        <f>IFERROR(AC111/G111,0)</f>
        <v/>
      </c>
    </row>
    <row r="112">
      <c r="A112" s="27" t="inlineStr">
        <is>
          <t>6.15-6.21</t>
        </is>
      </c>
      <c r="B112" s="27" t="inlineStr">
        <is>
          <t>6.15-6.21</t>
        </is>
      </c>
      <c r="C112" s="34" t="n">
        <v>975092562679</v>
      </c>
      <c r="D112" s="27" t="inlineStr">
        <is>
          <t>杯面混搭</t>
        </is>
      </c>
      <c r="E112" s="27" t="inlineStr">
        <is>
          <t>营多韩式甜辣炸鸡火鸡面辣蘑菇杯面拌面泡面方便面速食宵夜旅行</t>
        </is>
      </c>
      <c r="F112" s="31" t="n">
        <v>46.72</v>
      </c>
      <c r="G112" s="35">
        <f>IFERROR(F112/1.13,0)</f>
        <v/>
      </c>
      <c r="H112" s="36" t="n">
        <v>1</v>
      </c>
      <c r="I112" s="37" t="n">
        <v>0.0002603488674824265</v>
      </c>
      <c r="J112" s="38">
        <f>IFERROR(F112/H112,0)</f>
        <v/>
      </c>
      <c r="K112" s="31" t="n">
        <v>2.04596198906535</v>
      </c>
      <c r="L112" s="31" t="n">
        <v>46.9146081749544</v>
      </c>
      <c r="M112" s="38">
        <f>IFERROR(L112/K112,0)</f>
        <v/>
      </c>
      <c r="N112" s="31" t="n">
        <v>0.532829992189534</v>
      </c>
      <c r="O112" s="31" t="n">
        <v>1.15154647227285</v>
      </c>
      <c r="P112" s="38">
        <f>IFERROR(O112/N112,0)</f>
        <v/>
      </c>
      <c r="Q112" s="31" t="n">
        <v>2.578792</v>
      </c>
      <c r="R112" s="31" t="n">
        <v>48.066155</v>
      </c>
      <c r="S112" s="38">
        <f>IFERROR(R112/Q112,0)</f>
        <v/>
      </c>
      <c r="T112" s="39">
        <f>IFERROR(Q112/SUMIF($A:$A,A112,$Q:$Q),0)</f>
        <v/>
      </c>
      <c r="U112" s="39">
        <f>IFERROR(Q112/F112,0)</f>
        <v/>
      </c>
      <c r="V112" s="35">
        <f>F112-R112</f>
        <v/>
      </c>
      <c r="W112" s="39">
        <f>IFERROR(V112/F112,0)</f>
        <v/>
      </c>
      <c r="X112" s="29" t="n">
        <v>0.938558</v>
      </c>
      <c r="Y112" s="31" t="n">
        <v>14.079</v>
      </c>
      <c r="Z112" s="39">
        <f>IFERROR(Y112/G112,0)</f>
        <v/>
      </c>
      <c r="AA112" s="35">
        <f>Y112-K112/1.06</f>
        <v/>
      </c>
      <c r="AB112" s="39">
        <f>IFERROR(AA112/G112,0)</f>
        <v/>
      </c>
      <c r="AC112" s="31" t="n">
        <v>10.760746</v>
      </c>
      <c r="AD112" s="39">
        <f>IFERROR(AC112/G112,0)</f>
        <v/>
      </c>
    </row>
    <row r="113">
      <c r="A113" s="27" t="inlineStr">
        <is>
          <t>6.15-6.21</t>
        </is>
      </c>
      <c r="B113" s="27" t="inlineStr">
        <is>
          <t>6.15-6.21</t>
        </is>
      </c>
      <c r="C113" s="34" t="n">
        <v>775016827115</v>
      </c>
      <c r="D113" s="27" t="inlineStr">
        <is>
          <t>杯面混搭</t>
        </is>
      </c>
      <c r="E113" s="27" t="inlineStr">
        <is>
          <t>进口营多原味杯面日式杯面韩式杯面泡面方便面汤面宿舍速食夜宵</t>
        </is>
      </c>
      <c r="F113" s="31" t="n">
        <v>27.9</v>
      </c>
      <c r="G113" s="35">
        <f>IFERROR(F113/1.13,0)</f>
        <v/>
      </c>
      <c r="H113" s="36" t="n">
        <v>1</v>
      </c>
      <c r="I113" s="37" t="n">
        <v>0.0002603488674824265</v>
      </c>
      <c r="J113" s="38">
        <f>IFERROR(F113/H113,0)</f>
        <v/>
      </c>
      <c r="K113" s="31" t="n">
        <v>3.36596198906535</v>
      </c>
      <c r="L113" s="31" t="n">
        <v>0.194608174954444</v>
      </c>
      <c r="M113" s="38">
        <f>IFERROR(L113/K113,0)</f>
        <v/>
      </c>
      <c r="N113" s="31" t="n">
        <v>0.532829992189534</v>
      </c>
      <c r="O113" s="31" t="n">
        <v>1.15154647227285</v>
      </c>
      <c r="P113" s="38">
        <f>IFERROR(O113/N113,0)</f>
        <v/>
      </c>
      <c r="Q113" s="31" t="n">
        <v>3.898792</v>
      </c>
      <c r="R113" s="31" t="n">
        <v>1.346155</v>
      </c>
      <c r="S113" s="38">
        <f>IFERROR(R113/Q113,0)</f>
        <v/>
      </c>
      <c r="T113" s="39">
        <f>IFERROR(Q113/SUMIF($A:$A,A113,$Q:$Q),0)</f>
        <v/>
      </c>
      <c r="U113" s="39">
        <f>IFERROR(Q113/F113,0)</f>
        <v/>
      </c>
      <c r="V113" s="35">
        <f>F113-R113</f>
        <v/>
      </c>
      <c r="W113" s="39">
        <f>IFERROR(V113/F113,0)</f>
        <v/>
      </c>
      <c r="X113" s="29" t="n">
        <v>0.938558</v>
      </c>
      <c r="Y113" s="31" t="n">
        <v>3.65</v>
      </c>
      <c r="Z113" s="39">
        <f>IFERROR(Y113/G113,0)</f>
        <v/>
      </c>
      <c r="AA113" s="35">
        <f>Y113-K113/1.06</f>
        <v/>
      </c>
      <c r="AB113" s="39">
        <f>IFERROR(AA113/G113,0)</f>
        <v/>
      </c>
      <c r="AC113" s="31" t="n">
        <v>-0.913537</v>
      </c>
      <c r="AD113" s="39">
        <f>IFERROR(AC113/G113,0)</f>
        <v/>
      </c>
    </row>
    <row r="114">
      <c r="A114" s="27" t="inlineStr">
        <is>
          <t>6.22-6.28</t>
        </is>
      </c>
      <c r="B114" s="27" t="inlineStr">
        <is>
          <t>6.22-6.28</t>
        </is>
      </c>
      <c r="C114" s="34" t="n">
        <v>668566625747</v>
      </c>
      <c r="D114" s="27" t="inlineStr">
        <is>
          <t>袋面主链接</t>
        </is>
      </c>
      <c r="E114" s="27" t="inlineStr">
        <is>
          <t>印尼营多捞面进口网红泡面袋装方便面速食食品拉面火鸡面拌面整箱</t>
        </is>
      </c>
      <c r="F114" s="31" t="n">
        <v>25765.0100000003</v>
      </c>
      <c r="G114" s="35">
        <f>IFERROR(F114/1.13,0)</f>
        <v/>
      </c>
      <c r="H114" s="36" t="n">
        <v>1020</v>
      </c>
      <c r="I114" s="37" t="n">
        <v>0.3160830492717694</v>
      </c>
      <c r="J114" s="38">
        <f>IFERROR(F114/H114,0)</f>
        <v/>
      </c>
      <c r="K114" s="31" t="n">
        <v>3802.10334986055</v>
      </c>
      <c r="L114" s="31" t="n">
        <v>19884.7344468547</v>
      </c>
      <c r="M114" s="38">
        <f>IFERROR(L114/K114,0)</f>
        <v/>
      </c>
      <c r="N114" s="31" t="n">
        <v>601.1488689185001</v>
      </c>
      <c r="O114" s="31" t="n">
        <v>1309.30133250697</v>
      </c>
      <c r="P114" s="38">
        <f>IFERROR(O114/N114,0)</f>
        <v/>
      </c>
      <c r="Q114" s="31" t="n">
        <v>4403.252219</v>
      </c>
      <c r="R114" s="31" t="n">
        <v>21194.035779</v>
      </c>
      <c r="S114" s="38">
        <f>IFERROR(R114/Q114,0)</f>
        <v/>
      </c>
      <c r="T114" s="39">
        <f>IFERROR(Q114/SUMIF($A:$A,A114,$Q:$Q),0)</f>
        <v/>
      </c>
      <c r="U114" s="39">
        <f>IFERROR(Q114/F114,0)</f>
        <v/>
      </c>
      <c r="V114" s="35">
        <f>F114-R114</f>
        <v/>
      </c>
      <c r="W114" s="39">
        <f>IFERROR(V114/F114,0)</f>
        <v/>
      </c>
      <c r="X114" s="29" t="n">
        <v>1139.479393</v>
      </c>
      <c r="Y114" s="31" t="n">
        <v>3381.64200000002</v>
      </c>
      <c r="Z114" s="39">
        <f>IFERROR(Y114/G114,0)</f>
        <v/>
      </c>
      <c r="AA114" s="35">
        <f>Y114-K114/1.06</f>
        <v/>
      </c>
      <c r="AB114" s="39">
        <f>IFERROR(AA114/G114,0)</f>
        <v/>
      </c>
      <c r="AC114" s="31" t="n">
        <v>-1847.350086</v>
      </c>
      <c r="AD114" s="39">
        <f>IFERROR(AC114/G114,0)</f>
        <v/>
      </c>
    </row>
    <row r="115">
      <c r="A115" s="27" t="inlineStr">
        <is>
          <t>6.22-6.28</t>
        </is>
      </c>
      <c r="B115" s="27" t="inlineStr">
        <is>
          <t>6.22-6.28</t>
        </is>
      </c>
      <c r="C115" s="34" t="n">
        <v>649361890551</v>
      </c>
      <c r="D115" s="27" t="inlineStr">
        <is>
          <t>袋面次链接</t>
        </is>
      </c>
      <c r="E115" s="27" t="inlineStr">
        <is>
          <t>营多捞面印尼进口Indomie网红夜宵早餐方便面火鸡面泡面拌面</t>
        </is>
      </c>
      <c r="F115" s="31" t="n">
        <v>16505.8399999999</v>
      </c>
      <c r="G115" s="35">
        <f>IFERROR(F115/1.13,0)</f>
        <v/>
      </c>
      <c r="H115" s="36" t="n">
        <v>882</v>
      </c>
      <c r="I115" s="37" t="n">
        <v>0.2733188720173536</v>
      </c>
      <c r="J115" s="38">
        <f>IFERROR(F115/H115,0)</f>
        <v/>
      </c>
      <c r="K115" s="31" t="n">
        <v>2715.06872017354</v>
      </c>
      <c r="L115" s="31" t="n">
        <v>13447.150021692</v>
      </c>
      <c r="M115" s="38">
        <f>IFERROR(L115/K115,0)</f>
        <v/>
      </c>
      <c r="N115" s="31" t="n">
        <v>519.816963123644</v>
      </c>
      <c r="O115" s="31" t="n">
        <v>1132.16056399132</v>
      </c>
      <c r="P115" s="38">
        <f>IFERROR(O115/N115,0)</f>
        <v/>
      </c>
      <c r="Q115" s="31" t="n">
        <v>3234.885683</v>
      </c>
      <c r="R115" s="31" t="n">
        <v>14579.310586</v>
      </c>
      <c r="S115" s="38">
        <f>IFERROR(R115/Q115,0)</f>
        <v/>
      </c>
      <c r="T115" s="39">
        <f>IFERROR(Q115/SUMIF($A:$A,A115,$Q:$Q),0)</f>
        <v/>
      </c>
      <c r="U115" s="39">
        <f>IFERROR(Q115/F115,0)</f>
        <v/>
      </c>
      <c r="V115" s="35">
        <f>F115-R115</f>
        <v/>
      </c>
      <c r="W115" s="39">
        <f>IFERROR(V115/F115,0)</f>
        <v/>
      </c>
      <c r="X115" s="29" t="n">
        <v>985.314534</v>
      </c>
      <c r="Y115" s="31" t="n">
        <v>1487.82099999999</v>
      </c>
      <c r="Z115" s="39">
        <f>IFERROR(Y115/G115,0)</f>
        <v/>
      </c>
      <c r="AA115" s="35">
        <f>Y115-K115/1.06</f>
        <v/>
      </c>
      <c r="AB115" s="39">
        <f>IFERROR(AA115/G115,0)</f>
        <v/>
      </c>
      <c r="AC115" s="31" t="n">
        <v>-2493.499959</v>
      </c>
      <c r="AD115" s="39">
        <f>IFERROR(AC115/G115,0)</f>
        <v/>
      </c>
    </row>
    <row r="116">
      <c r="A116" s="27" t="inlineStr">
        <is>
          <t>6.22-6.28</t>
        </is>
      </c>
      <c r="B116" s="27" t="inlineStr">
        <is>
          <t>6.22-6.28</t>
        </is>
      </c>
      <c r="C116" s="34" t="n">
        <v>649735171438</v>
      </c>
      <c r="D116" s="27" t="inlineStr">
        <is>
          <t>杯面主链接</t>
        </is>
      </c>
      <c r="E116" s="27" t="inlineStr">
        <is>
          <t>印尼进口indomie营多捞面杯面速食泡面干拌面盒桶装方便面火鸡面</t>
        </is>
      </c>
      <c r="F116" s="31" t="n">
        <v>14641.33</v>
      </c>
      <c r="G116" s="35">
        <f>IFERROR(F116/1.13,0)</f>
        <v/>
      </c>
      <c r="H116" s="36" t="n">
        <v>582</v>
      </c>
      <c r="I116" s="37" t="n">
        <v>0.1803532692903626</v>
      </c>
      <c r="J116" s="38">
        <f>IFERROR(F116/H116,0)</f>
        <v/>
      </c>
      <c r="K116" s="31" t="n">
        <v>2548.2112643322</v>
      </c>
      <c r="L116" s="31" t="n">
        <v>10941.1051843818</v>
      </c>
      <c r="M116" s="38">
        <f>IFERROR(L116/K116,0)</f>
        <v/>
      </c>
      <c r="N116" s="31" t="n">
        <v>343.008472265262</v>
      </c>
      <c r="O116" s="31" t="n">
        <v>747.07193678339</v>
      </c>
      <c r="P116" s="38">
        <f>IFERROR(O116/N116,0)</f>
        <v/>
      </c>
      <c r="Q116" s="31" t="n">
        <v>2891.219737</v>
      </c>
      <c r="R116" s="31" t="n">
        <v>11688.177121</v>
      </c>
      <c r="S116" s="38">
        <f>IFERROR(R116/Q116,0)</f>
        <v/>
      </c>
      <c r="T116" s="39">
        <f>IFERROR(Q116/SUMIF($A:$A,A116,$Q:$Q),0)</f>
        <v/>
      </c>
      <c r="U116" s="39">
        <f>IFERROR(Q116/F116,0)</f>
        <v/>
      </c>
      <c r="V116" s="35">
        <f>F116-R116</f>
        <v/>
      </c>
      <c r="W116" s="39">
        <f>IFERROR(V116/F116,0)</f>
        <v/>
      </c>
      <c r="X116" s="29" t="n">
        <v>650.173536</v>
      </c>
      <c r="Y116" s="31" t="n">
        <v>1627.495</v>
      </c>
      <c r="Z116" s="39">
        <f>IFERROR(Y116/G116,0)</f>
        <v/>
      </c>
      <c r="AA116" s="35">
        <f>Y116-K116/1.06</f>
        <v/>
      </c>
      <c r="AB116" s="39">
        <f>IFERROR(AA116/G116,0)</f>
        <v/>
      </c>
      <c r="AC116" s="31" t="n">
        <v>-1713.442049</v>
      </c>
      <c r="AD116" s="39">
        <f>IFERROR(AC116/G116,0)</f>
        <v/>
      </c>
    </row>
    <row r="117">
      <c r="A117" s="27" t="inlineStr">
        <is>
          <t>6.22-6.28</t>
        </is>
      </c>
      <c r="B117" s="27" t="inlineStr">
        <is>
          <t>6.22-6.28</t>
        </is>
      </c>
      <c r="C117" s="34" t="n">
        <v>648600900806</v>
      </c>
      <c r="D117" s="27" t="inlineStr">
        <is>
          <t>30包</t>
        </is>
      </c>
      <c r="E117" s="27" t="inlineStr">
        <is>
          <t>进口营多捞面一整箱30包网红速食方便面宿舍速食泡面干拌面拉面</t>
        </is>
      </c>
      <c r="F117" s="31" t="n">
        <v>8216.639999999999</v>
      </c>
      <c r="G117" s="35">
        <f>IFERROR(F117/1.13,0)</f>
        <v/>
      </c>
      <c r="H117" s="36" t="n">
        <v>119</v>
      </c>
      <c r="I117" s="37" t="n">
        <v>0.0368763557483731</v>
      </c>
      <c r="J117" s="38">
        <f>IFERROR(F117/H117,0)</f>
        <v/>
      </c>
      <c r="K117" s="31" t="n">
        <v>1816.61355748373</v>
      </c>
      <c r="L117" s="31" t="n">
        <v>8969.03468546638</v>
      </c>
      <c r="M117" s="38">
        <f>IFERROR(L117/K117,0)</f>
        <v/>
      </c>
      <c r="N117" s="31" t="n">
        <v>70.13403470715831</v>
      </c>
      <c r="O117" s="31" t="n">
        <v>152.751822125813</v>
      </c>
      <c r="P117" s="38">
        <f>IFERROR(O117/N117,0)</f>
        <v/>
      </c>
      <c r="Q117" s="31" t="n">
        <v>1886.747592</v>
      </c>
      <c r="R117" s="31" t="n">
        <v>9121.786507999999</v>
      </c>
      <c r="S117" s="38">
        <f>IFERROR(R117/Q117,0)</f>
        <v/>
      </c>
      <c r="T117" s="39">
        <f>IFERROR(Q117/SUMIF($A:$A,A117,$Q:$Q),0)</f>
        <v/>
      </c>
      <c r="U117" s="39">
        <f>IFERROR(Q117/F117,0)</f>
        <v/>
      </c>
      <c r="V117" s="35">
        <f>F117-R117</f>
        <v/>
      </c>
      <c r="W117" s="39">
        <f>IFERROR(V117/F117,0)</f>
        <v/>
      </c>
      <c r="X117" s="29" t="n">
        <v>132.939262</v>
      </c>
      <c r="Y117" s="31" t="n">
        <v>1595.262</v>
      </c>
      <c r="Z117" s="39">
        <f>IFERROR(Y117/G117,0)</f>
        <v/>
      </c>
      <c r="AA117" s="35">
        <f>Y117-K117/1.06</f>
        <v/>
      </c>
      <c r="AB117" s="39">
        <f>IFERROR(AA117/G117,0)</f>
        <v/>
      </c>
      <c r="AC117" s="31" t="n">
        <v>-310.102957</v>
      </c>
      <c r="AD117" s="39">
        <f>IFERROR(AC117/G117,0)</f>
        <v/>
      </c>
    </row>
    <row r="118">
      <c r="A118" s="27" t="inlineStr">
        <is>
          <t>6.22-6.28</t>
        </is>
      </c>
      <c r="B118" s="27" t="inlineStr">
        <is>
          <t>6.22-6.28</t>
        </is>
      </c>
      <c r="C118" s="34" t="n">
        <v>649369494424</v>
      </c>
      <c r="D118" s="27" t="inlineStr">
        <is>
          <t>24包经典/牛系列</t>
        </is>
      </c>
      <c r="E118" s="27" t="inlineStr">
        <is>
          <t>营多捞面干拌面一整箱24袋装批发泡面混搭宿舍速食方便面火鸡面</t>
        </is>
      </c>
      <c r="F118" s="31" t="n">
        <v>4641.89</v>
      </c>
      <c r="G118" s="35">
        <f>IFERROR(F118/1.13,0)</f>
        <v/>
      </c>
      <c r="H118" s="36" t="n">
        <v>84</v>
      </c>
      <c r="I118" s="37" t="n">
        <v>0.02603036876355748</v>
      </c>
      <c r="J118" s="38">
        <f>IFERROR(F118/H118,0)</f>
        <v/>
      </c>
      <c r="K118" s="31" t="n">
        <v>931.063687635575</v>
      </c>
      <c r="L118" s="31" t="n">
        <v>3680.16095444686</v>
      </c>
      <c r="M118" s="38">
        <f>IFERROR(L118/K118,0)</f>
        <v/>
      </c>
      <c r="N118" s="31" t="n">
        <v>49.5063774403471</v>
      </c>
      <c r="O118" s="31" t="n">
        <v>107.824815618221</v>
      </c>
      <c r="P118" s="38">
        <f>IFERROR(O118/N118,0)</f>
        <v/>
      </c>
      <c r="Q118" s="31" t="n">
        <v>980.570065</v>
      </c>
      <c r="R118" s="31" t="n">
        <v>3787.98577</v>
      </c>
      <c r="S118" s="38">
        <f>IFERROR(R118/Q118,0)</f>
        <v/>
      </c>
      <c r="T118" s="39">
        <f>IFERROR(Q118/SUMIF($A:$A,A118,$Q:$Q),0)</f>
        <v/>
      </c>
      <c r="U118" s="39">
        <f>IFERROR(Q118/F118,0)</f>
        <v/>
      </c>
      <c r="V118" s="35">
        <f>F118-R118</f>
        <v/>
      </c>
      <c r="W118" s="39">
        <f>IFERROR(V118/F118,0)</f>
        <v/>
      </c>
      <c r="X118" s="29" t="n">
        <v>93.839479</v>
      </c>
      <c r="Y118" s="31" t="n">
        <v>869.492000000001</v>
      </c>
      <c r="Z118" s="39">
        <f>IFERROR(Y118/G118,0)</f>
        <v/>
      </c>
      <c r="AA118" s="35">
        <f>Y118-K118/1.06</f>
        <v/>
      </c>
      <c r="AB118" s="39">
        <f>IFERROR(AA118/G118,0)</f>
        <v/>
      </c>
      <c r="AC118" s="31" t="n">
        <v>-144.10191</v>
      </c>
      <c r="AD118" s="39">
        <f>IFERROR(AC118/G118,0)</f>
        <v/>
      </c>
    </row>
    <row r="119">
      <c r="A119" s="27" t="inlineStr">
        <is>
          <t>6.22-6.28</t>
        </is>
      </c>
      <c r="B119" s="27" t="inlineStr">
        <is>
          <t>6.22-6.28</t>
        </is>
      </c>
      <c r="C119" s="34" t="n">
        <v>648598580775</v>
      </c>
      <c r="D119" s="27" t="inlineStr">
        <is>
          <t>15包</t>
        </is>
      </c>
      <c r="E119" s="27" t="inlineStr">
        <is>
          <t>进口营多捞面15包Indomie方便面干拌面夜宵方便速食五连包85g*5</t>
        </is>
      </c>
      <c r="F119" s="31" t="n">
        <v>2908.07</v>
      </c>
      <c r="G119" s="35">
        <f>IFERROR(F119/1.13,0)</f>
        <v/>
      </c>
      <c r="H119" s="36" t="n">
        <v>79</v>
      </c>
      <c r="I119" s="37" t="n">
        <v>0.02448094205144097</v>
      </c>
      <c r="J119" s="38">
        <f>IFERROR(F119/H119,0)</f>
        <v/>
      </c>
      <c r="K119" s="31" t="n">
        <v>573.086563371552</v>
      </c>
      <c r="L119" s="31" t="n">
        <v>2270.85470715835</v>
      </c>
      <c r="M119" s="38">
        <f>IFERROR(L119/K119,0)</f>
        <v/>
      </c>
      <c r="N119" s="31" t="n">
        <v>46.559569259374</v>
      </c>
      <c r="O119" s="31" t="n">
        <v>101.406671831422</v>
      </c>
      <c r="P119" s="38">
        <f>IFERROR(O119/N119,0)</f>
        <v/>
      </c>
      <c r="Q119" s="31" t="n">
        <v>619.646133</v>
      </c>
      <c r="R119" s="31" t="n">
        <v>2372.261379</v>
      </c>
      <c r="S119" s="38">
        <f>IFERROR(R119/Q119,0)</f>
        <v/>
      </c>
      <c r="T119" s="39">
        <f>IFERROR(Q119/SUMIF($A:$A,A119,$Q:$Q),0)</f>
        <v/>
      </c>
      <c r="U119" s="39">
        <f>IFERROR(Q119/F119,0)</f>
        <v/>
      </c>
      <c r="V119" s="35">
        <f>F119-R119</f>
        <v/>
      </c>
      <c r="W119" s="39">
        <f>IFERROR(V119/F119,0)</f>
        <v/>
      </c>
      <c r="X119" s="29" t="n">
        <v>88.25379599999999</v>
      </c>
      <c r="Y119" s="31" t="n">
        <v>516.707</v>
      </c>
      <c r="Z119" s="39">
        <f>IFERROR(Y119/G119,0)</f>
        <v/>
      </c>
      <c r="AA119" s="35">
        <f>Y119-K119/1.06</f>
        <v/>
      </c>
      <c r="AB119" s="39">
        <f>IFERROR(AA119/G119,0)</f>
        <v/>
      </c>
      <c r="AC119" s="31" t="n">
        <v>-151.123121</v>
      </c>
      <c r="AD119" s="39">
        <f>IFERROR(AC119/G119,0)</f>
        <v/>
      </c>
    </row>
    <row r="120">
      <c r="A120" s="27" t="inlineStr">
        <is>
          <t>6.22-6.28</t>
        </is>
      </c>
      <c r="B120" s="27" t="inlineStr">
        <is>
          <t>6.22-6.28</t>
        </is>
      </c>
      <c r="C120" s="34" t="n">
        <v>649014937782</v>
      </c>
      <c r="D120" s="27" t="inlineStr">
        <is>
          <t>24包</t>
        </is>
      </c>
      <c r="E120" s="27" t="inlineStr">
        <is>
          <t>印尼营多捞面干拌面一整箱24袋装批发泡面宿舍速食方便面火鸡面</t>
        </is>
      </c>
      <c r="F120" s="31" t="n">
        <v>3690.03</v>
      </c>
      <c r="G120" s="35">
        <f>IFERROR(F120/1.13,0)</f>
        <v/>
      </c>
      <c r="H120" s="36" t="n">
        <v>65</v>
      </c>
      <c r="I120" s="37" t="n">
        <v>0.02014254725751472</v>
      </c>
      <c r="J120" s="38">
        <f>IFERROR(F120/H120,0)</f>
        <v/>
      </c>
      <c r="K120" s="31" t="n">
        <v>870.93261543229</v>
      </c>
      <c r="L120" s="31" t="n">
        <v>3114.97121475054</v>
      </c>
      <c r="M120" s="38">
        <f>IFERROR(L120/K120,0)</f>
        <v/>
      </c>
      <c r="N120" s="31" t="n">
        <v>38.3085063526495</v>
      </c>
      <c r="O120" s="31" t="n">
        <v>83.4358692283855</v>
      </c>
      <c r="P120" s="38">
        <f>IFERROR(O120/N120,0)</f>
        <v/>
      </c>
      <c r="Q120" s="31" t="n">
        <v>909.241122</v>
      </c>
      <c r="R120" s="31" t="n">
        <v>3198.407084</v>
      </c>
      <c r="S120" s="38">
        <f>IFERROR(R120/Q120,0)</f>
        <v/>
      </c>
      <c r="T120" s="39">
        <f>IFERROR(Q120/SUMIF($A:$A,A120,$Q:$Q),0)</f>
        <v/>
      </c>
      <c r="U120" s="39">
        <f>IFERROR(Q120/F120,0)</f>
        <v/>
      </c>
      <c r="V120" s="35">
        <f>F120-R120</f>
        <v/>
      </c>
      <c r="W120" s="39">
        <f>IFERROR(V120/F120,0)</f>
        <v/>
      </c>
      <c r="X120" s="29" t="n">
        <v>72.613883</v>
      </c>
      <c r="Y120" s="31" t="n">
        <v>743.049000000001</v>
      </c>
      <c r="Z120" s="39">
        <f>IFERROR(Y120/G120,0)</f>
        <v/>
      </c>
      <c r="AA120" s="35">
        <f>Y120-K120/1.06</f>
        <v/>
      </c>
      <c r="AB120" s="39">
        <f>IFERROR(AA120/G120,0)</f>
        <v/>
      </c>
      <c r="AC120" s="31" t="n">
        <v>-183.229306</v>
      </c>
      <c r="AD120" s="39">
        <f>IFERROR(AC120/G120,0)</f>
        <v/>
      </c>
    </row>
    <row r="121">
      <c r="A121" s="27" t="inlineStr">
        <is>
          <t>6.22-6.28</t>
        </is>
      </c>
      <c r="B121" s="27" t="inlineStr">
        <is>
          <t>6.22-6.28</t>
        </is>
      </c>
      <c r="C121" s="34" t="n">
        <v>1057479227624</v>
      </c>
      <c r="D121" s="27" t="inlineStr">
        <is>
          <t>巴东</t>
        </is>
      </c>
      <c r="E121" s="27" t="inlineStr">
        <is>
          <t>【新口味】印尼进口营多捞面巴东炖牛肉味泡面方便面宿舍速食宵夜</t>
        </is>
      </c>
      <c r="F121" s="31" t="n">
        <v>831.339999999999</v>
      </c>
      <c r="G121" s="35">
        <f>IFERROR(F121/1.13,0)</f>
        <v/>
      </c>
      <c r="H121" s="36" t="n">
        <v>45</v>
      </c>
      <c r="I121" s="37" t="n">
        <v>0.01394484040904865</v>
      </c>
      <c r="J121" s="38">
        <f>IFERROR(F121/H121,0)</f>
        <v/>
      </c>
      <c r="K121" s="31" t="n">
        <v>243.604118376201</v>
      </c>
      <c r="L121" s="31" t="n">
        <v>1033.65622559653</v>
      </c>
      <c r="M121" s="38">
        <f>IFERROR(L121/K121,0)</f>
        <v/>
      </c>
      <c r="N121" s="31" t="n">
        <v>26.5212736287574</v>
      </c>
      <c r="O121" s="31" t="n">
        <v>57.76329408119</v>
      </c>
      <c r="P121" s="38">
        <f>IFERROR(O121/N121,0)</f>
        <v/>
      </c>
      <c r="Q121" s="31" t="n">
        <v>270.125392</v>
      </c>
      <c r="R121" s="31" t="n">
        <v>1091.41952</v>
      </c>
      <c r="S121" s="38">
        <f>IFERROR(R121/Q121,0)</f>
        <v/>
      </c>
      <c r="T121" s="39">
        <f>IFERROR(Q121/SUMIF($A:$A,A121,$Q:$Q),0)</f>
        <v/>
      </c>
      <c r="U121" s="39">
        <f>IFERROR(Q121/F121,0)</f>
        <v/>
      </c>
      <c r="V121" s="35">
        <f>F121-R121</f>
        <v/>
      </c>
      <c r="W121" s="39">
        <f>IFERROR(V121/F121,0)</f>
        <v/>
      </c>
      <c r="X121" s="29" t="n">
        <v>50.27115</v>
      </c>
      <c r="Y121" s="31" t="n">
        <v>97.11</v>
      </c>
      <c r="Z121" s="39">
        <f>IFERROR(Y121/G121,0)</f>
        <v/>
      </c>
      <c r="AA121" s="35">
        <f>Y121-K121/1.06</f>
        <v/>
      </c>
      <c r="AB121" s="39">
        <f>IFERROR(AA121/G121,0)</f>
        <v/>
      </c>
      <c r="AC121" s="31" t="n">
        <v>-205.150888</v>
      </c>
      <c r="AD121" s="39">
        <f>IFERROR(AC121/G121,0)</f>
        <v/>
      </c>
    </row>
    <row r="122">
      <c r="A122" s="27" t="inlineStr">
        <is>
          <t>6.22-6.28</t>
        </is>
      </c>
      <c r="B122" s="27" t="inlineStr">
        <is>
          <t>6.22-6.28</t>
        </is>
      </c>
      <c r="C122" s="34" t="n">
        <v>1058280415678</v>
      </c>
      <c r="D122" s="27" t="inlineStr">
        <is>
          <t>大大</t>
        </is>
      </c>
      <c r="E122" s="27" t="inlineStr">
        <is>
          <t>印尼进口大大包营多原味捞面5包干拌面速食超大包方便面速食宵夜</t>
        </is>
      </c>
      <c r="F122" s="31" t="n">
        <v>1207</v>
      </c>
      <c r="G122" s="35">
        <f>IFERROR(F122/1.13,0)</f>
        <v/>
      </c>
      <c r="H122" s="36" t="n">
        <v>44</v>
      </c>
      <c r="I122" s="37" t="n">
        <v>0.01363495506662535</v>
      </c>
      <c r="J122" s="38">
        <f>IFERROR(F122/H122,0)</f>
        <v/>
      </c>
      <c r="K122" s="31" t="n">
        <v>130.676693523396</v>
      </c>
      <c r="L122" s="31" t="n">
        <v>1164.61097613883</v>
      </c>
      <c r="M122" s="38">
        <f>IFERROR(L122/K122,0)</f>
        <v/>
      </c>
      <c r="N122" s="31" t="n">
        <v>25.9319119925627</v>
      </c>
      <c r="O122" s="31" t="n">
        <v>56.4796653238302</v>
      </c>
      <c r="P122" s="38">
        <f>IFERROR(O122/N122,0)</f>
        <v/>
      </c>
      <c r="Q122" s="31" t="n">
        <v>156.608606</v>
      </c>
      <c r="R122" s="31" t="n">
        <v>1221.090641</v>
      </c>
      <c r="S122" s="38">
        <f>IFERROR(R122/Q122,0)</f>
        <v/>
      </c>
      <c r="T122" s="39">
        <f>IFERROR(Q122/SUMIF($A:$A,A122,$Q:$Q),0)</f>
        <v/>
      </c>
      <c r="U122" s="39">
        <f>IFERROR(Q122/F122,0)</f>
        <v/>
      </c>
      <c r="V122" s="35">
        <f>F122-R122</f>
        <v/>
      </c>
      <c r="W122" s="39">
        <f>IFERROR(V122/F122,0)</f>
        <v/>
      </c>
      <c r="X122" s="29" t="n">
        <v>49.154013</v>
      </c>
      <c r="Y122" s="31" t="n">
        <v>253.564</v>
      </c>
      <c r="Z122" s="39">
        <f>IFERROR(Y122/G122,0)</f>
        <v/>
      </c>
      <c r="AA122" s="35">
        <f>Y122-K122/1.06</f>
        <v/>
      </c>
      <c r="AB122" s="39">
        <f>IFERROR(AA122/G122,0)</f>
        <v/>
      </c>
      <c r="AC122" s="31" t="n">
        <v>59.448322</v>
      </c>
      <c r="AD122" s="39">
        <f>IFERROR(AC122/G122,0)</f>
        <v/>
      </c>
    </row>
    <row r="123">
      <c r="A123" s="27" t="inlineStr">
        <is>
          <t>6.22-6.28</t>
        </is>
      </c>
      <c r="B123" s="27" t="inlineStr">
        <is>
          <t>6.22-6.28</t>
        </is>
      </c>
      <c r="C123" s="34" t="n">
        <v>648681860568</v>
      </c>
      <c r="D123" s="27" t="inlineStr">
        <is>
          <t>杯面次链接</t>
        </is>
      </c>
      <c r="E123" s="27" t="inlineStr">
        <is>
          <t>营多捞面杯装方便面泡面速食干拌面原味整箱批发印尼进口桶装拌面</t>
        </is>
      </c>
      <c r="F123" s="31" t="n">
        <v>1171.64</v>
      </c>
      <c r="G123" s="35">
        <f>IFERROR(F123/1.13,0)</f>
        <v/>
      </c>
      <c r="H123" s="36" t="n">
        <v>40</v>
      </c>
      <c r="I123" s="37" t="n">
        <v>0.01239541369693213</v>
      </c>
      <c r="J123" s="38">
        <f>IFERROR(F123/H123,0)</f>
        <v/>
      </c>
      <c r="K123" s="31" t="n">
        <v>167.796994112178</v>
      </c>
      <c r="L123" s="31" t="n">
        <v>767.559978308026</v>
      </c>
      <c r="M123" s="38">
        <f>IFERROR(L123/K123,0)</f>
        <v/>
      </c>
      <c r="N123" s="31" t="n">
        <v>23.5744654477843</v>
      </c>
      <c r="O123" s="31" t="n">
        <v>51.3451502943911</v>
      </c>
      <c r="P123" s="38">
        <f>IFERROR(O123/N123,0)</f>
        <v/>
      </c>
      <c r="Q123" s="31" t="n">
        <v>191.37146</v>
      </c>
      <c r="R123" s="31" t="n">
        <v>818.905129</v>
      </c>
      <c r="S123" s="38">
        <f>IFERROR(R123/Q123,0)</f>
        <v/>
      </c>
      <c r="T123" s="39">
        <f>IFERROR(Q123/SUMIF($A:$A,A123,$Q:$Q),0)</f>
        <v/>
      </c>
      <c r="U123" s="39">
        <f>IFERROR(Q123/F123,0)</f>
        <v/>
      </c>
      <c r="V123" s="35">
        <f>F123-R123</f>
        <v/>
      </c>
      <c r="W123" s="39">
        <f>IFERROR(V123/F123,0)</f>
        <v/>
      </c>
      <c r="X123" s="29" t="n">
        <v>44.685466</v>
      </c>
      <c r="Y123" s="31" t="n">
        <v>135.955</v>
      </c>
      <c r="Z123" s="39">
        <f>IFERROR(Y123/G123,0)</f>
        <v/>
      </c>
      <c r="AA123" s="35">
        <f>Y123-K123/1.06</f>
        <v/>
      </c>
      <c r="AB123" s="39">
        <f>IFERROR(AA123/G123,0)</f>
        <v/>
      </c>
      <c r="AC123" s="31" t="n">
        <v>-86.740213</v>
      </c>
      <c r="AD123" s="39">
        <f>IFERROR(AC123/G123,0)</f>
        <v/>
      </c>
    </row>
    <row r="124">
      <c r="A124" s="27" t="inlineStr">
        <is>
          <t>6.22-6.28</t>
        </is>
      </c>
      <c r="B124" s="27" t="inlineStr">
        <is>
          <t>6.22-6.28</t>
        </is>
      </c>
      <c r="C124" s="34" t="n">
        <v>1059563993918</v>
      </c>
      <c r="D124" s="27" t="inlineStr">
        <is>
          <t>巴东</t>
        </is>
      </c>
      <c r="E124" s="27" t="inlineStr">
        <is>
          <t>营多进口新口味巴东炖牛肉味捞面印尼料理方便面泡面捞面夜宵速食</t>
        </is>
      </c>
      <c r="F124" s="31" t="n">
        <v>564.61</v>
      </c>
      <c r="G124" s="35">
        <f>IFERROR(F124/1.13,0)</f>
        <v/>
      </c>
      <c r="H124" s="36" t="n">
        <v>39</v>
      </c>
      <c r="I124" s="37" t="n">
        <v>0.01208552835450883</v>
      </c>
      <c r="J124" s="38">
        <f>IFERROR(F124/H124,0)</f>
        <v/>
      </c>
      <c r="K124" s="31" t="n">
        <v>125.749569259374</v>
      </c>
      <c r="L124" s="31" t="n">
        <v>528.704728850326</v>
      </c>
      <c r="M124" s="38">
        <f>IFERROR(L124/K124,0)</f>
        <v/>
      </c>
      <c r="N124" s="31" t="n">
        <v>22.9851038115897</v>
      </c>
      <c r="O124" s="31" t="n">
        <v>50.0615215370313</v>
      </c>
      <c r="P124" s="38">
        <f>IFERROR(O124/N124,0)</f>
        <v/>
      </c>
      <c r="Q124" s="31" t="n">
        <v>148.734673</v>
      </c>
      <c r="R124" s="31" t="n">
        <v>578.76625</v>
      </c>
      <c r="S124" s="38">
        <f>IFERROR(R124/Q124,0)</f>
        <v/>
      </c>
      <c r="T124" s="39">
        <f>IFERROR(Q124/SUMIF($A:$A,A124,$Q:$Q),0)</f>
        <v/>
      </c>
      <c r="U124" s="39">
        <f>IFERROR(Q124/F124,0)</f>
        <v/>
      </c>
      <c r="V124" s="35">
        <f>F124-R124</f>
        <v/>
      </c>
      <c r="W124" s="39">
        <f>IFERROR(V124/F124,0)</f>
        <v/>
      </c>
      <c r="X124" s="29" t="n">
        <v>43.56833</v>
      </c>
      <c r="Y124" s="31" t="n">
        <v>56.699</v>
      </c>
      <c r="Z124" s="39">
        <f>IFERROR(Y124/G124,0)</f>
        <v/>
      </c>
      <c r="AA124" s="35">
        <f>Y124-K124/1.06</f>
        <v/>
      </c>
      <c r="AB124" s="39">
        <f>IFERROR(AA124/G124,0)</f>
        <v/>
      </c>
      <c r="AC124" s="31" t="n">
        <v>-124.718927</v>
      </c>
      <c r="AD124" s="39">
        <f>IFERROR(AC124/G124,0)</f>
        <v/>
      </c>
    </row>
    <row r="125">
      <c r="A125" s="27" t="inlineStr">
        <is>
          <t>6.22-6.28</t>
        </is>
      </c>
      <c r="B125" s="27" t="inlineStr">
        <is>
          <t>6.22-6.28</t>
        </is>
      </c>
      <c r="C125" s="34" t="n">
        <v>929504658691</v>
      </c>
      <c r="D125" s="27" t="inlineStr">
        <is>
          <t>日韩袋面</t>
        </is>
      </c>
      <c r="E125" s="27" t="inlineStr">
        <is>
          <t>营多捞面日式鸡肉汤面原味辛辣味袋装泡面方便面速食宿舍夜宵食品</t>
        </is>
      </c>
      <c r="F125" s="31" t="n">
        <v>681.88</v>
      </c>
      <c r="G125" s="35">
        <f>IFERROR(F125/1.13,0)</f>
        <v/>
      </c>
      <c r="H125" s="36" t="n">
        <v>31</v>
      </c>
      <c r="I125" s="37" t="n">
        <v>0.009606445615122404</v>
      </c>
      <c r="J125" s="38">
        <f>IFERROR(F125/H125,0)</f>
        <v/>
      </c>
      <c r="K125" s="31" t="n">
        <v>394.660170436938</v>
      </c>
      <c r="L125" s="31" t="n">
        <v>761.75273318872</v>
      </c>
      <c r="M125" s="38">
        <f>IFERROR(L125/K125,0)</f>
        <v/>
      </c>
      <c r="N125" s="31" t="n">
        <v>18.2702107220328</v>
      </c>
      <c r="O125" s="31" t="n">
        <v>39.7924914781531</v>
      </c>
      <c r="P125" s="38">
        <f>IFERROR(O125/N125,0)</f>
        <v/>
      </c>
      <c r="Q125" s="31" t="n">
        <v>412.930381</v>
      </c>
      <c r="R125" s="31" t="n">
        <v>801.545225</v>
      </c>
      <c r="S125" s="38">
        <f>IFERROR(R125/Q125,0)</f>
        <v/>
      </c>
      <c r="T125" s="39">
        <f>IFERROR(Q125/SUMIF($A:$A,A125,$Q:$Q),0)</f>
        <v/>
      </c>
      <c r="U125" s="39">
        <f>IFERROR(Q125/F125,0)</f>
        <v/>
      </c>
      <c r="V125" s="35">
        <f>F125-R125</f>
        <v/>
      </c>
      <c r="W125" s="39">
        <f>IFERROR(V125/F125,0)</f>
        <v/>
      </c>
      <c r="X125" s="29" t="n">
        <v>34.631236</v>
      </c>
      <c r="Y125" s="31" t="n">
        <v>96.63</v>
      </c>
      <c r="Z125" s="39">
        <f>IFERROR(Y125/G125,0)</f>
        <v/>
      </c>
      <c r="AA125" s="35">
        <f>Y125-K125/1.06</f>
        <v/>
      </c>
      <c r="AB125" s="39">
        <f>IFERROR(AA125/G125,0)</f>
        <v/>
      </c>
      <c r="AC125" s="31" t="n">
        <v>-325.597941</v>
      </c>
      <c r="AD125" s="39">
        <f>IFERROR(AC125/G125,0)</f>
        <v/>
      </c>
    </row>
    <row r="126">
      <c r="A126" s="27" t="inlineStr">
        <is>
          <t>6.22-6.28</t>
        </is>
      </c>
      <c r="B126" s="27" t="inlineStr">
        <is>
          <t>6.22-6.28</t>
        </is>
      </c>
      <c r="C126" s="34" t="n">
        <v>766165464414</v>
      </c>
      <c r="D126" s="27" t="inlineStr">
        <is>
          <t>12包</t>
        </is>
      </c>
      <c r="E126" s="27" t="inlineStr">
        <is>
          <t>营多印尼进口营多捞面方便面火鸡面干拌面12包宿舍速食泡面夜宵</t>
        </is>
      </c>
      <c r="F126" s="31" t="n">
        <v>938.61</v>
      </c>
      <c r="G126" s="35">
        <f>IFERROR(F126/1.13,0)</f>
        <v/>
      </c>
      <c r="H126" s="36" t="n">
        <v>31</v>
      </c>
      <c r="I126" s="37" t="n">
        <v>0.009606445615122404</v>
      </c>
      <c r="J126" s="38">
        <f>IFERROR(F126/H126,0)</f>
        <v/>
      </c>
      <c r="K126" s="31" t="n">
        <v>59.6201704369383</v>
      </c>
      <c r="L126" s="31" t="n">
        <v>116.61273318872</v>
      </c>
      <c r="M126" s="38">
        <f>IFERROR(L126/K126,0)</f>
        <v/>
      </c>
      <c r="N126" s="31" t="n">
        <v>18.2702107220328</v>
      </c>
      <c r="O126" s="31" t="n">
        <v>39.7924914781531</v>
      </c>
      <c r="P126" s="38">
        <f>IFERROR(O126/N126,0)</f>
        <v/>
      </c>
      <c r="Q126" s="31" t="n">
        <v>77.890381</v>
      </c>
      <c r="R126" s="31" t="n">
        <v>156.405225</v>
      </c>
      <c r="S126" s="38">
        <f>IFERROR(R126/Q126,0)</f>
        <v/>
      </c>
      <c r="T126" s="39">
        <f>IFERROR(Q126/SUMIF($A:$A,A126,$Q:$Q),0)</f>
        <v/>
      </c>
      <c r="U126" s="39">
        <f>IFERROR(Q126/F126,0)</f>
        <v/>
      </c>
      <c r="V126" s="35">
        <f>F126-R126</f>
        <v/>
      </c>
      <c r="W126" s="39">
        <f>IFERROR(V126/F126,0)</f>
        <v/>
      </c>
      <c r="X126" s="29" t="n">
        <v>34.631236</v>
      </c>
      <c r="Y126" s="31" t="n">
        <v>147.233</v>
      </c>
      <c r="Z126" s="39">
        <f>IFERROR(Y126/G126,0)</f>
        <v/>
      </c>
      <c r="AA126" s="35">
        <f>Y126-K126/1.06</f>
        <v/>
      </c>
      <c r="AB126" s="39">
        <f>IFERROR(AA126/G126,0)</f>
        <v/>
      </c>
      <c r="AC126" s="31" t="n">
        <v>41.080531</v>
      </c>
      <c r="AD126" s="39">
        <f>IFERROR(AC126/G126,0)</f>
        <v/>
      </c>
    </row>
    <row r="127">
      <c r="A127" s="27" t="inlineStr">
        <is>
          <t>6.22-6.28</t>
        </is>
      </c>
      <c r="B127" s="27" t="inlineStr">
        <is>
          <t>6.22-6.28</t>
        </is>
      </c>
      <c r="C127" s="34" t="n">
        <v>1013887677295</v>
      </c>
      <c r="D127" s="27" t="inlineStr">
        <is>
          <t>混搭5杯</t>
        </is>
      </c>
      <c r="E127" s="27" t="inlineStr">
        <is>
          <t>进口营多原味杯面日式杯面韩式杯面泡面方便面汤面宿舍速食夜宵</t>
        </is>
      </c>
      <c r="F127" s="31" t="n">
        <v>711.4</v>
      </c>
      <c r="G127" s="35">
        <f>IFERROR(F127/1.13,0)</f>
        <v/>
      </c>
      <c r="H127" s="36" t="n">
        <v>25</v>
      </c>
      <c r="I127" s="37" t="n">
        <v>0.007747133560582584</v>
      </c>
      <c r="J127" s="38">
        <f>IFERROR(F127/H127,0)</f>
        <v/>
      </c>
      <c r="K127" s="31" t="n">
        <v>194.085621320112</v>
      </c>
      <c r="L127" s="31" t="n">
        <v>585.711236442516</v>
      </c>
      <c r="M127" s="38">
        <f>IFERROR(L127/K127,0)</f>
        <v/>
      </c>
      <c r="N127" s="31" t="n">
        <v>14.7340409048652</v>
      </c>
      <c r="O127" s="31" t="n">
        <v>32.0907189339944</v>
      </c>
      <c r="P127" s="38">
        <f>IFERROR(O127/N127,0)</f>
        <v/>
      </c>
      <c r="Q127" s="31" t="n">
        <v>208.819662</v>
      </c>
      <c r="R127" s="31" t="n">
        <v>617.801955</v>
      </c>
      <c r="S127" s="38">
        <f>IFERROR(R127/Q127,0)</f>
        <v/>
      </c>
      <c r="T127" s="39">
        <f>IFERROR(Q127/SUMIF($A:$A,A127,$Q:$Q),0)</f>
        <v/>
      </c>
      <c r="U127" s="39">
        <f>IFERROR(Q127/F127,0)</f>
        <v/>
      </c>
      <c r="V127" s="35">
        <f>F127-R127</f>
        <v/>
      </c>
      <c r="W127" s="39">
        <f>IFERROR(V127/F127,0)</f>
        <v/>
      </c>
      <c r="X127" s="29" t="n">
        <v>27.928416</v>
      </c>
      <c r="Y127" s="31" t="n">
        <v>76.851</v>
      </c>
      <c r="Z127" s="39">
        <f>IFERROR(Y127/G127,0)</f>
        <v/>
      </c>
      <c r="AA127" s="35">
        <f>Y127-K127/1.06</f>
        <v/>
      </c>
      <c r="AB127" s="39">
        <f>IFERROR(AA127/G127,0)</f>
        <v/>
      </c>
      <c r="AC127" s="31" t="n">
        <v>-146.496244</v>
      </c>
      <c r="AD127" s="39">
        <f>IFERROR(AC127/G127,0)</f>
        <v/>
      </c>
    </row>
    <row r="128">
      <c r="A128" s="27" t="inlineStr">
        <is>
          <t>6.22-6.28</t>
        </is>
      </c>
      <c r="B128" s="27" t="inlineStr">
        <is>
          <t>6.22-6.28</t>
        </is>
      </c>
      <c r="C128" s="34" t="n">
        <v>735014804839</v>
      </c>
      <c r="D128" s="27" t="inlineStr">
        <is>
          <t>24/30包</t>
        </is>
      </c>
      <c r="E128" s="27" t="inlineStr">
        <is>
          <t>进口营多捞面多口味Indomie网红方便面干拌面泡面30包整箱批发面</t>
        </is>
      </c>
      <c r="F128" s="31" t="n">
        <v>1369.45</v>
      </c>
      <c r="G128" s="35">
        <f>IFERROR(F128/1.13,0)</f>
        <v/>
      </c>
      <c r="H128" s="36" t="n">
        <v>20</v>
      </c>
      <c r="I128" s="37" t="n">
        <v>0.006197706848466067</v>
      </c>
      <c r="J128" s="38">
        <f>IFERROR(F128/H128,0)</f>
        <v/>
      </c>
      <c r="K128" s="31" t="n">
        <v>266.028497056089</v>
      </c>
      <c r="L128" s="31" t="n">
        <v>1146.19498915401</v>
      </c>
      <c r="M128" s="38">
        <f>IFERROR(L128/K128,0)</f>
        <v/>
      </c>
      <c r="N128" s="31" t="n">
        <v>11.7872327238922</v>
      </c>
      <c r="O128" s="31" t="n">
        <v>25.6725751471955</v>
      </c>
      <c r="P128" s="38">
        <f>IFERROR(O128/N128,0)</f>
        <v/>
      </c>
      <c r="Q128" s="31" t="n">
        <v>277.81573</v>
      </c>
      <c r="R128" s="31" t="n">
        <v>1171.867564</v>
      </c>
      <c r="S128" s="38">
        <f>IFERROR(R128/Q128,0)</f>
        <v/>
      </c>
      <c r="T128" s="39">
        <f>IFERROR(Q128/SUMIF($A:$A,A128,$Q:$Q),0)</f>
        <v/>
      </c>
      <c r="U128" s="39">
        <f>IFERROR(Q128/F128,0)</f>
        <v/>
      </c>
      <c r="V128" s="35">
        <f>F128-R128</f>
        <v/>
      </c>
      <c r="W128" s="39">
        <f>IFERROR(V128/F128,0)</f>
        <v/>
      </c>
      <c r="X128" s="29" t="n">
        <v>22.342733</v>
      </c>
      <c r="Y128" s="31" t="n">
        <v>269.461</v>
      </c>
      <c r="Z128" s="39">
        <f>IFERROR(Y128/G128,0)</f>
        <v/>
      </c>
      <c r="AA128" s="35">
        <f>Y128-K128/1.06</f>
        <v/>
      </c>
      <c r="AB128" s="39">
        <f>IFERROR(AA128/G128,0)</f>
        <v/>
      </c>
      <c r="AC128" s="31" t="n">
        <v>-13.707361</v>
      </c>
      <c r="AD128" s="39">
        <f>IFERROR(AC128/G128,0)</f>
        <v/>
      </c>
    </row>
    <row r="129">
      <c r="A129" s="27" t="inlineStr">
        <is>
          <t>6.22-6.28</t>
        </is>
      </c>
      <c r="B129" s="27" t="inlineStr">
        <is>
          <t>6.22-6.28</t>
        </is>
      </c>
      <c r="C129" s="34" t="n">
        <v>1060999732877</v>
      </c>
      <c r="D129" s="27" t="inlineStr">
        <is>
          <t>大大</t>
        </is>
      </c>
      <c r="E129" s="27" t="inlineStr">
        <is>
          <t>indomie印尼进口营多原味大大包129g捞面方便面速食食品宵夜小吃</t>
        </is>
      </c>
      <c r="F129" s="31" t="n">
        <v>321.95</v>
      </c>
      <c r="G129" s="35">
        <f>IFERROR(F129/1.13,0)</f>
        <v/>
      </c>
      <c r="H129" s="36" t="n">
        <v>12</v>
      </c>
      <c r="I129" s="37" t="n">
        <v>0.003718624109079641</v>
      </c>
      <c r="J129" s="38">
        <f>IFERROR(F129/H129,0)</f>
        <v/>
      </c>
      <c r="K129" s="31" t="n">
        <v>19.6490982336535</v>
      </c>
      <c r="L129" s="31" t="n">
        <v>181.992993492408</v>
      </c>
      <c r="M129" s="38">
        <f>IFERROR(L129/K129,0)</f>
        <v/>
      </c>
      <c r="N129" s="31" t="n">
        <v>7.0723396343353</v>
      </c>
      <c r="O129" s="31" t="n">
        <v>15.4035450883173</v>
      </c>
      <c r="P129" s="38">
        <f>IFERROR(O129/N129,0)</f>
        <v/>
      </c>
      <c r="Q129" s="31" t="n">
        <v>26.721438</v>
      </c>
      <c r="R129" s="31" t="n">
        <v>197.396539</v>
      </c>
      <c r="S129" s="38">
        <f>IFERROR(R129/Q129,0)</f>
        <v/>
      </c>
      <c r="T129" s="39">
        <f>IFERROR(Q129/SUMIF($A:$A,A129,$Q:$Q),0)</f>
        <v/>
      </c>
      <c r="U129" s="39">
        <f>IFERROR(Q129/F129,0)</f>
        <v/>
      </c>
      <c r="V129" s="35">
        <f>F129-R129</f>
        <v/>
      </c>
      <c r="W129" s="39">
        <f>IFERROR(V129/F129,0)</f>
        <v/>
      </c>
      <c r="X129" s="29" t="n">
        <v>13.40564</v>
      </c>
      <c r="Y129" s="31" t="n">
        <v>63.558</v>
      </c>
      <c r="Z129" s="39">
        <f>IFERROR(Y129/G129,0)</f>
        <v/>
      </c>
      <c r="AA129" s="35">
        <f>Y129-K129/1.06</f>
        <v/>
      </c>
      <c r="AB129" s="39">
        <f>IFERROR(AA129/G129,0)</f>
        <v/>
      </c>
      <c r="AC129" s="31" t="n">
        <v>25.702266</v>
      </c>
      <c r="AD129" s="39">
        <f>IFERROR(AC129/G129,0)</f>
        <v/>
      </c>
    </row>
    <row r="130">
      <c r="A130" s="27" t="inlineStr">
        <is>
          <t>6.22-6.28</t>
        </is>
      </c>
      <c r="B130" s="27" t="inlineStr">
        <is>
          <t>6.22-6.28</t>
        </is>
      </c>
      <c r="C130" s="34" t="n">
        <v>648604228786</v>
      </c>
      <c r="D130" s="27" t="inlineStr">
        <is>
          <t>日韩杯面</t>
        </is>
      </c>
      <c r="E130" s="27" t="inlineStr">
        <is>
          <t>INDOMIE营多日式杯面原味经典泡面整箱批发速食宿舍旅行宵夜宿舍</t>
        </is>
      </c>
      <c r="F130" s="31" t="n">
        <v>308.47</v>
      </c>
      <c r="G130" s="35">
        <f>IFERROR(F130/1.13,0)</f>
        <v/>
      </c>
      <c r="H130" s="36" t="n">
        <v>12</v>
      </c>
      <c r="I130" s="37" t="n">
        <v>0.003718624109079641</v>
      </c>
      <c r="J130" s="38">
        <f>IFERROR(F130/H130,0)</f>
        <v/>
      </c>
      <c r="K130" s="31" t="n">
        <v>21.7990982336535</v>
      </c>
      <c r="L130" s="31" t="n">
        <v>65.3629934924079</v>
      </c>
      <c r="M130" s="38">
        <f>IFERROR(L130/K130,0)</f>
        <v/>
      </c>
      <c r="N130" s="31" t="n">
        <v>7.0723396343353</v>
      </c>
      <c r="O130" s="31" t="n">
        <v>15.4035450883173</v>
      </c>
      <c r="P130" s="38">
        <f>IFERROR(O130/N130,0)</f>
        <v/>
      </c>
      <c r="Q130" s="31" t="n">
        <v>28.871438</v>
      </c>
      <c r="R130" s="31" t="n">
        <v>80.76653899999999</v>
      </c>
      <c r="S130" s="38">
        <f>IFERROR(R130/Q130,0)</f>
        <v/>
      </c>
      <c r="T130" s="39">
        <f>IFERROR(Q130/SUMIF($A:$A,A130,$Q:$Q),0)</f>
        <v/>
      </c>
      <c r="U130" s="39">
        <f>IFERROR(Q130/F130,0)</f>
        <v/>
      </c>
      <c r="V130" s="35">
        <f>F130-R130</f>
        <v/>
      </c>
      <c r="W130" s="39">
        <f>IFERROR(V130/F130,0)</f>
        <v/>
      </c>
      <c r="X130" s="29" t="n">
        <v>13.40564</v>
      </c>
      <c r="Y130" s="31" t="n">
        <v>28.588</v>
      </c>
      <c r="Z130" s="39">
        <f>IFERROR(Y130/G130,0)</f>
        <v/>
      </c>
      <c r="AA130" s="35">
        <f>Y130-K130/1.06</f>
        <v/>
      </c>
      <c r="AB130" s="39">
        <f>IFERROR(AA130/G130,0)</f>
        <v/>
      </c>
      <c r="AC130" s="31" t="n">
        <v>-11.296036</v>
      </c>
      <c r="AD130" s="39">
        <f>IFERROR(AC130/G130,0)</f>
        <v/>
      </c>
    </row>
    <row r="131">
      <c r="A131" s="27" t="inlineStr">
        <is>
          <t>6.22-6.28</t>
        </is>
      </c>
      <c r="B131" s="27" t="inlineStr">
        <is>
          <t>6.22-6.28</t>
        </is>
      </c>
      <c r="C131" s="34" t="n">
        <v>971242260371</v>
      </c>
      <c r="D131" s="27" t="inlineStr">
        <is>
          <t>韩式袋面</t>
        </is>
      </c>
      <c r="E131" s="27" t="inlineStr">
        <is>
          <t>新品营多捞面韩式辣蘑菇汤面泡面方便面速食干拌面宿舍宵夜旅行</t>
        </is>
      </c>
      <c r="F131" s="31" t="n">
        <v>260.63</v>
      </c>
      <c r="G131" s="35">
        <f>IFERROR(F131/1.13,0)</f>
        <v/>
      </c>
      <c r="H131" s="36" t="n">
        <v>12</v>
      </c>
      <c r="I131" s="37" t="n">
        <v>0.003718624109079641</v>
      </c>
      <c r="J131" s="38">
        <f>IFERROR(F131/H131,0)</f>
        <v/>
      </c>
      <c r="K131" s="31" t="n">
        <v>59.6590982336535</v>
      </c>
      <c r="L131" s="31" t="n">
        <v>332.512993492408</v>
      </c>
      <c r="M131" s="38">
        <f>IFERROR(L131/K131,0)</f>
        <v/>
      </c>
      <c r="N131" s="31" t="n">
        <v>7.0723396343353</v>
      </c>
      <c r="O131" s="31" t="n">
        <v>15.4035450883173</v>
      </c>
      <c r="P131" s="38">
        <f>IFERROR(O131/N131,0)</f>
        <v/>
      </c>
      <c r="Q131" s="31" t="n">
        <v>66.731438</v>
      </c>
      <c r="R131" s="31" t="n">
        <v>347.916539</v>
      </c>
      <c r="S131" s="38">
        <f>IFERROR(R131/Q131,0)</f>
        <v/>
      </c>
      <c r="T131" s="39">
        <f>IFERROR(Q131/SUMIF($A:$A,A131,$Q:$Q),0)</f>
        <v/>
      </c>
      <c r="U131" s="39">
        <f>IFERROR(Q131/F131,0)</f>
        <v/>
      </c>
      <c r="V131" s="35">
        <f>F131-R131</f>
        <v/>
      </c>
      <c r="W131" s="39">
        <f>IFERROR(V131/F131,0)</f>
        <v/>
      </c>
      <c r="X131" s="29" t="n">
        <v>13.40564</v>
      </c>
      <c r="Y131" s="31" t="n">
        <v>32.922</v>
      </c>
      <c r="Z131" s="39">
        <f>IFERROR(Y131/G131,0)</f>
        <v/>
      </c>
      <c r="AA131" s="35">
        <f>Y131-K131/1.06</f>
        <v/>
      </c>
      <c r="AB131" s="39">
        <f>IFERROR(AA131/G131,0)</f>
        <v/>
      </c>
      <c r="AC131" s="31" t="n">
        <v>-42.679017</v>
      </c>
      <c r="AD131" s="39">
        <f>IFERROR(AC131/G131,0)</f>
        <v/>
      </c>
    </row>
    <row r="132">
      <c r="A132" s="27" t="inlineStr">
        <is>
          <t>6.22-6.28</t>
        </is>
      </c>
      <c r="B132" s="27" t="inlineStr">
        <is>
          <t>6.22-6.28</t>
        </is>
      </c>
      <c r="C132" s="34" t="n">
        <v>969423151512</v>
      </c>
      <c r="D132" s="27" t="inlineStr">
        <is>
          <t>日韩混搭</t>
        </is>
      </c>
      <c r="E132" s="27" t="inlineStr">
        <is>
          <t>营多捞面甜辣炸鸡火鸡面辣蘑菇泡面方便面速食干拌面宿舍宵夜旅行</t>
        </is>
      </c>
      <c r="F132" s="31" t="n">
        <v>244.94</v>
      </c>
      <c r="G132" s="35">
        <f>IFERROR(F132/1.13,0)</f>
        <v/>
      </c>
      <c r="H132" s="36" t="n">
        <v>11</v>
      </c>
      <c r="I132" s="37" t="n">
        <v>0.003408738766656337</v>
      </c>
      <c r="J132" s="38">
        <f>IFERROR(F132/H132,0)</f>
        <v/>
      </c>
      <c r="K132" s="31" t="n">
        <v>61.5716733808491</v>
      </c>
      <c r="L132" s="31" t="n">
        <v>303.757744034707</v>
      </c>
      <c r="M132" s="38">
        <f>IFERROR(L132/K132,0)</f>
        <v/>
      </c>
      <c r="N132" s="31" t="n">
        <v>6.48297799814069</v>
      </c>
      <c r="O132" s="31" t="n">
        <v>14.1199163309575</v>
      </c>
      <c r="P132" s="38">
        <f>IFERROR(O132/N132,0)</f>
        <v/>
      </c>
      <c r="Q132" s="31" t="n">
        <v>68.05465100000001</v>
      </c>
      <c r="R132" s="31" t="n">
        <v>317.87766</v>
      </c>
      <c r="S132" s="38">
        <f>IFERROR(R132/Q132,0)</f>
        <v/>
      </c>
      <c r="T132" s="39">
        <f>IFERROR(Q132/SUMIF($A:$A,A132,$Q:$Q),0)</f>
        <v/>
      </c>
      <c r="U132" s="39">
        <f>IFERROR(Q132/F132,0)</f>
        <v/>
      </c>
      <c r="V132" s="35">
        <f>F132-R132</f>
        <v/>
      </c>
      <c r="W132" s="39">
        <f>IFERROR(V132/F132,0)</f>
        <v/>
      </c>
      <c r="X132" s="29" t="n">
        <v>12.288503</v>
      </c>
      <c r="Y132" s="31" t="n">
        <v>29.933</v>
      </c>
      <c r="Z132" s="39">
        <f>IFERROR(Y132/G132,0)</f>
        <v/>
      </c>
      <c r="AA132" s="35">
        <f>Y132-K132/1.06</f>
        <v/>
      </c>
      <c r="AB132" s="39">
        <f>IFERROR(AA132/G132,0)</f>
        <v/>
      </c>
      <c r="AC132" s="31" t="n">
        <v>-45.862429</v>
      </c>
      <c r="AD132" s="39">
        <f>IFERROR(AC132/G132,0)</f>
        <v/>
      </c>
    </row>
    <row r="133">
      <c r="A133" s="27" t="inlineStr">
        <is>
          <t>6.22-6.28</t>
        </is>
      </c>
      <c r="B133" s="27" t="inlineStr">
        <is>
          <t>6.22-6.28</t>
        </is>
      </c>
      <c r="C133" s="34" t="n">
        <v>744317232690</v>
      </c>
      <c r="D133" s="27" t="inlineStr">
        <is>
          <t>多规格</t>
        </is>
      </c>
      <c r="E133" s="27" t="inlineStr">
        <is>
          <t>营多捞面汤面清香牛肉味方便面泡面速食食品泡面拉面整箱旅行宿舍</t>
        </is>
      </c>
      <c r="F133" s="31" t="n">
        <v>232.09</v>
      </c>
      <c r="G133" s="35">
        <f>IFERROR(F133/1.13,0)</f>
        <v/>
      </c>
      <c r="H133" s="36" t="n">
        <v>10</v>
      </c>
      <c r="I133" s="37" t="n">
        <v>0.003098853424233034</v>
      </c>
      <c r="J133" s="38">
        <f>IFERROR(F133/H133,0)</f>
        <v/>
      </c>
      <c r="K133" s="31" t="n">
        <v>20.8142485280446</v>
      </c>
      <c r="L133" s="31" t="n">
        <v>137.282494577007</v>
      </c>
      <c r="M133" s="38">
        <f>IFERROR(L133/K133,0)</f>
        <v/>
      </c>
      <c r="N133" s="31" t="n">
        <v>5.89361636194608</v>
      </c>
      <c r="O133" s="31" t="n">
        <v>12.8362875735978</v>
      </c>
      <c r="P133" s="38">
        <f>IFERROR(O133/N133,0)</f>
        <v/>
      </c>
      <c r="Q133" s="31" t="n">
        <v>26.707865</v>
      </c>
      <c r="R133" s="31" t="n">
        <v>150.118782</v>
      </c>
      <c r="S133" s="38">
        <f>IFERROR(R133/Q133,0)</f>
        <v/>
      </c>
      <c r="T133" s="39">
        <f>IFERROR(Q133/SUMIF($A:$A,A133,$Q:$Q),0)</f>
        <v/>
      </c>
      <c r="U133" s="39">
        <f>IFERROR(Q133/F133,0)</f>
        <v/>
      </c>
      <c r="V133" s="35">
        <f>F133-R133</f>
        <v/>
      </c>
      <c r="W133" s="39">
        <f>IFERROR(V133/F133,0)</f>
        <v/>
      </c>
      <c r="X133" s="29" t="n">
        <v>11.171367</v>
      </c>
      <c r="Y133" s="31" t="n">
        <v>27.032</v>
      </c>
      <c r="Z133" s="39">
        <f>IFERROR(Y133/G133,0)</f>
        <v/>
      </c>
      <c r="AA133" s="35">
        <f>Y133-K133/1.06</f>
        <v/>
      </c>
      <c r="AB133" s="39">
        <f>IFERROR(AA133/G133,0)</f>
        <v/>
      </c>
      <c r="AC133" s="31" t="n">
        <v>-8.703124000000001</v>
      </c>
      <c r="AD133" s="39">
        <f>IFERROR(AC133/G133,0)</f>
        <v/>
      </c>
    </row>
    <row r="134">
      <c r="A134" s="27" t="inlineStr">
        <is>
          <t>6.22-6.28</t>
        </is>
      </c>
      <c r="B134" s="27" t="inlineStr">
        <is>
          <t>6.22-6.28</t>
        </is>
      </c>
      <c r="C134" s="34" t="n">
        <v>947413291596</v>
      </c>
      <c r="D134" s="27" t="inlineStr">
        <is>
          <t>杯面</t>
        </is>
      </c>
      <c r="E134" s="27" t="inlineStr">
        <is>
          <t>营多捞面杯装方便面泡面速食干拌面原味整箱批发印尼进口桶装拌面</t>
        </is>
      </c>
      <c r="F134" s="31" t="n">
        <v>190.18</v>
      </c>
      <c r="G134" s="35">
        <f>IFERROR(F134/1.13,0)</f>
        <v/>
      </c>
      <c r="H134" s="36" t="n">
        <v>7</v>
      </c>
      <c r="I134" s="37" t="n">
        <v>0.002169197396963124</v>
      </c>
      <c r="J134" s="38">
        <f>IFERROR(F134/H134,0)</f>
        <v/>
      </c>
      <c r="K134" s="31" t="n">
        <v>15.3119739696312</v>
      </c>
      <c r="L134" s="31" t="n">
        <v>66.3167462039046</v>
      </c>
      <c r="M134" s="38">
        <f>IFERROR(L134/K134,0)</f>
        <v/>
      </c>
      <c r="N134" s="31" t="n">
        <v>4.12553145336226</v>
      </c>
      <c r="O134" s="31" t="n">
        <v>8.98540130151844</v>
      </c>
      <c r="P134" s="38">
        <f>IFERROR(O134/N134,0)</f>
        <v/>
      </c>
      <c r="Q134" s="31" t="n">
        <v>19.437505</v>
      </c>
      <c r="R134" s="31" t="n">
        <v>75.302148</v>
      </c>
      <c r="S134" s="38">
        <f>IFERROR(R134/Q134,0)</f>
        <v/>
      </c>
      <c r="T134" s="39">
        <f>IFERROR(Q134/SUMIF($A:$A,A134,$Q:$Q),0)</f>
        <v/>
      </c>
      <c r="U134" s="39">
        <f>IFERROR(Q134/F134,0)</f>
        <v/>
      </c>
      <c r="V134" s="35">
        <f>F134-R134</f>
        <v/>
      </c>
      <c r="W134" s="39">
        <f>IFERROR(V134/F134,0)</f>
        <v/>
      </c>
      <c r="X134" s="29" t="n">
        <v>7.819957</v>
      </c>
      <c r="Y134" s="31" t="n">
        <v>21.448</v>
      </c>
      <c r="Z134" s="39">
        <f>IFERROR(Y134/G134,0)</f>
        <v/>
      </c>
      <c r="AA134" s="35">
        <f>Y134-K134/1.06</f>
        <v/>
      </c>
      <c r="AB134" s="39">
        <f>IFERROR(AA134/G134,0)</f>
        <v/>
      </c>
      <c r="AC134" s="31" t="n">
        <v>-4.266587</v>
      </c>
      <c r="AD134" s="39">
        <f>IFERROR(AC134/G134,0)</f>
        <v/>
      </c>
    </row>
    <row r="135">
      <c r="A135" s="27" t="inlineStr">
        <is>
          <t>6.22-6.28</t>
        </is>
      </c>
      <c r="B135" s="27" t="inlineStr">
        <is>
          <t>6.22-6.28</t>
        </is>
      </c>
      <c r="C135" s="34" t="n">
        <v>937005385662</v>
      </c>
      <c r="D135" s="27" t="inlineStr">
        <is>
          <t>日式袋面</t>
        </is>
      </c>
      <c r="E135" s="27" t="inlineStr">
        <is>
          <t>进口营多正品捞面日式鸡肉鸡汤辛辣味袋装泡面辣味速食方便面汤面</t>
        </is>
      </c>
      <c r="F135" s="31" t="n">
        <v>190.45</v>
      </c>
      <c r="G135" s="35">
        <f>IFERROR(F135/1.13,0)</f>
        <v/>
      </c>
      <c r="H135" s="36" t="n">
        <v>7</v>
      </c>
      <c r="I135" s="37" t="n">
        <v>0.002169197396963124</v>
      </c>
      <c r="J135" s="38">
        <f>IFERROR(F135/H135,0)</f>
        <v/>
      </c>
      <c r="K135" s="31" t="n">
        <v>12.8119739696312</v>
      </c>
      <c r="L135" s="31" t="n">
        <v>43.6967462039046</v>
      </c>
      <c r="M135" s="38">
        <f>IFERROR(L135/K135,0)</f>
        <v/>
      </c>
      <c r="N135" s="31" t="n">
        <v>4.12553145336226</v>
      </c>
      <c r="O135" s="31" t="n">
        <v>8.98540130151844</v>
      </c>
      <c r="P135" s="38">
        <f>IFERROR(O135/N135,0)</f>
        <v/>
      </c>
      <c r="Q135" s="31" t="n">
        <v>16.937505</v>
      </c>
      <c r="R135" s="31" t="n">
        <v>52.682148</v>
      </c>
      <c r="S135" s="38">
        <f>IFERROR(R135/Q135,0)</f>
        <v/>
      </c>
      <c r="T135" s="39">
        <f>IFERROR(Q135/SUMIF($A:$A,A135,$Q:$Q),0)</f>
        <v/>
      </c>
      <c r="U135" s="39">
        <f>IFERROR(Q135/F135,0)</f>
        <v/>
      </c>
      <c r="V135" s="35">
        <f>F135-R135</f>
        <v/>
      </c>
      <c r="W135" s="39">
        <f>IFERROR(V135/F135,0)</f>
        <v/>
      </c>
      <c r="X135" s="29" t="n">
        <v>7.819957</v>
      </c>
      <c r="Y135" s="31" t="n">
        <v>35.053</v>
      </c>
      <c r="Z135" s="39">
        <f>IFERROR(Y135/G135,0)</f>
        <v/>
      </c>
      <c r="AA135" s="35">
        <f>Y135-K135/1.06</f>
        <v/>
      </c>
      <c r="AB135" s="39">
        <f>IFERROR(AA135/G135,0)</f>
        <v/>
      </c>
      <c r="AC135" s="31" t="n">
        <v>11.696904</v>
      </c>
      <c r="AD135" s="39">
        <f>IFERROR(AC135/G135,0)</f>
        <v/>
      </c>
    </row>
    <row r="136">
      <c r="A136" s="27" t="inlineStr">
        <is>
          <t>6.22-6.28</t>
        </is>
      </c>
      <c r="B136" s="27" t="inlineStr">
        <is>
          <t>6.22-6.28</t>
        </is>
      </c>
      <c r="C136" s="34" t="n">
        <v>649731447266</v>
      </c>
      <c r="D136" s="27" t="inlineStr">
        <is>
          <t>20包经典/牛系列</t>
        </is>
      </c>
      <c r="E136" s="27" t="inlineStr">
        <is>
          <t>营多印尼进口营多捞面方便面火鸡面干拌面20包宿舍速食泡面夜宵</t>
        </is>
      </c>
      <c r="F136" s="31" t="n">
        <v>291.55</v>
      </c>
      <c r="G136" s="35">
        <f>IFERROR(F136/1.13,0)</f>
        <v/>
      </c>
      <c r="H136" s="36" t="n">
        <v>6</v>
      </c>
      <c r="I136" s="37" t="n">
        <v>0.00185931205453982</v>
      </c>
      <c r="J136" s="38">
        <f>IFERROR(F136/H136,0)</f>
        <v/>
      </c>
      <c r="K136" s="31" t="n">
        <v>7.50454911682677</v>
      </c>
      <c r="L136" s="31" t="n">
        <v>5.43149674620394</v>
      </c>
      <c r="M136" s="38">
        <f>IFERROR(L136/K136,0)</f>
        <v/>
      </c>
      <c r="N136" s="31" t="n">
        <v>3.53616981716765</v>
      </c>
      <c r="O136" s="31" t="n">
        <v>7.70177254415866</v>
      </c>
      <c r="P136" s="38">
        <f>IFERROR(O136/N136,0)</f>
        <v/>
      </c>
      <c r="Q136" s="31" t="n">
        <v>11.040719</v>
      </c>
      <c r="R136" s="31" t="n">
        <v>13.133269</v>
      </c>
      <c r="S136" s="38">
        <f>IFERROR(R136/Q136,0)</f>
        <v/>
      </c>
      <c r="T136" s="39">
        <f>IFERROR(Q136/SUMIF($A:$A,A136,$Q:$Q),0)</f>
        <v/>
      </c>
      <c r="U136" s="39">
        <f>IFERROR(Q136/F136,0)</f>
        <v/>
      </c>
      <c r="V136" s="35">
        <f>F136-R136</f>
        <v/>
      </c>
      <c r="W136" s="39">
        <f>IFERROR(V136/F136,0)</f>
        <v/>
      </c>
      <c r="X136" s="29" t="n">
        <v>6.70282</v>
      </c>
      <c r="Y136" s="31" t="n">
        <v>59.903</v>
      </c>
      <c r="Z136" s="39">
        <f>IFERROR(Y136/G136,0)</f>
        <v/>
      </c>
      <c r="AA136" s="35">
        <f>Y136-K136/1.06</f>
        <v/>
      </c>
      <c r="AB136" s="39">
        <f>IFERROR(AA136/G136,0)</f>
        <v/>
      </c>
      <c r="AC136" s="31" t="n">
        <v>43.163812</v>
      </c>
      <c r="AD136" s="39">
        <f>IFERROR(AC136/G136,0)</f>
        <v/>
      </c>
    </row>
    <row r="137">
      <c r="A137" s="27" t="inlineStr">
        <is>
          <t>6.22-6.28</t>
        </is>
      </c>
      <c r="B137" s="27" t="inlineStr">
        <is>
          <t>6.22-6.28</t>
        </is>
      </c>
      <c r="C137" s="34" t="n">
        <v>773972883430</v>
      </c>
      <c r="D137" s="27" t="inlineStr">
        <is>
          <t>日式袋面</t>
        </is>
      </c>
      <c r="E137" s="27" t="inlineStr">
        <is>
          <t>营多捞面韩式火鸡面辣蘑菇汤面袋装泡面辣味速食方便面宿舍宵夜面</t>
        </is>
      </c>
      <c r="F137" s="31" t="n">
        <v>140.71</v>
      </c>
      <c r="G137" s="35">
        <f>IFERROR(F137/1.13,0)</f>
        <v/>
      </c>
      <c r="H137" s="36" t="n">
        <v>6</v>
      </c>
      <c r="I137" s="37" t="n">
        <v>0.00185931205453982</v>
      </c>
      <c r="J137" s="38">
        <f>IFERROR(F137/H137,0)</f>
        <v/>
      </c>
      <c r="K137" s="31" t="n">
        <v>7.09454911682677</v>
      </c>
      <c r="L137" s="31" t="n">
        <v>37.6414967462039</v>
      </c>
      <c r="M137" s="38">
        <f>IFERROR(L137/K137,0)</f>
        <v/>
      </c>
      <c r="N137" s="31" t="n">
        <v>3.53616981716765</v>
      </c>
      <c r="O137" s="31" t="n">
        <v>7.70177254415866</v>
      </c>
      <c r="P137" s="38">
        <f>IFERROR(O137/N137,0)</f>
        <v/>
      </c>
      <c r="Q137" s="31" t="n">
        <v>10.630719</v>
      </c>
      <c r="R137" s="31" t="n">
        <v>45.343269</v>
      </c>
      <c r="S137" s="38">
        <f>IFERROR(R137/Q137,0)</f>
        <v/>
      </c>
      <c r="T137" s="39">
        <f>IFERROR(Q137/SUMIF($A:$A,A137,$Q:$Q),0)</f>
        <v/>
      </c>
      <c r="U137" s="39">
        <f>IFERROR(Q137/F137,0)</f>
        <v/>
      </c>
      <c r="V137" s="35">
        <f>F137-R137</f>
        <v/>
      </c>
      <c r="W137" s="39">
        <f>IFERROR(V137/F137,0)</f>
        <v/>
      </c>
      <c r="X137" s="29" t="n">
        <v>6.70282</v>
      </c>
      <c r="Y137" s="31" t="n">
        <v>19.009</v>
      </c>
      <c r="Z137" s="39">
        <f>IFERROR(Y137/G137,0)</f>
        <v/>
      </c>
      <c r="AA137" s="35">
        <f>Y137-K137/1.06</f>
        <v/>
      </c>
      <c r="AB137" s="39">
        <f>IFERROR(AA137/G137,0)</f>
        <v/>
      </c>
      <c r="AC137" s="31" t="n">
        <v>2.656605</v>
      </c>
      <c r="AD137" s="39">
        <f>IFERROR(AC137/G137,0)</f>
        <v/>
      </c>
    </row>
    <row r="138">
      <c r="A138" s="27" t="inlineStr">
        <is>
          <t>6.22-6.28</t>
        </is>
      </c>
      <c r="B138" s="27" t="inlineStr">
        <is>
          <t>6.22-6.28</t>
        </is>
      </c>
      <c r="C138" s="34" t="n">
        <v>976466902934</v>
      </c>
      <c r="D138" s="27" t="inlineStr">
        <is>
          <t>【U选】日式原杯1+日式辣杯1</t>
        </is>
      </c>
      <c r="E138" s="27" t="inlineStr">
        <is>
          <t>【天猫U选】indomie营多捞面辣火鸡味日式鸡肉原味杯面</t>
        </is>
      </c>
      <c r="F138" s="31" t="n">
        <v>48.52</v>
      </c>
      <c r="G138" s="35">
        <f>IFERROR(F138/1.13,0)</f>
        <v/>
      </c>
      <c r="H138" s="36" t="n">
        <v>5</v>
      </c>
      <c r="I138" s="37" t="n">
        <v>0.001549426712116517</v>
      </c>
      <c r="J138" s="38">
        <f>IFERROR(F138/H138,0)</f>
        <v/>
      </c>
      <c r="K138" s="31" t="n">
        <v>1.23712426402231</v>
      </c>
      <c r="L138" s="31" t="n">
        <v>4.52624728850328</v>
      </c>
      <c r="M138" s="38">
        <f>IFERROR(L138/K138,0)</f>
        <v/>
      </c>
      <c r="N138" s="31" t="n">
        <v>2.94680818097304</v>
      </c>
      <c r="O138" s="31" t="n">
        <v>6.41814378679888</v>
      </c>
      <c r="P138" s="38">
        <f>IFERROR(O138/N138,0)</f>
        <v/>
      </c>
      <c r="Q138" s="31" t="n">
        <v>4.183932</v>
      </c>
      <c r="R138" s="31" t="n">
        <v>10.944391</v>
      </c>
      <c r="S138" s="38">
        <f>IFERROR(R138/Q138,0)</f>
        <v/>
      </c>
      <c r="T138" s="39">
        <f>IFERROR(Q138/SUMIF($A:$A,A138,$Q:$Q),0)</f>
        <v/>
      </c>
      <c r="U138" s="39">
        <f>IFERROR(Q138/F138,0)</f>
        <v/>
      </c>
      <c r="V138" s="35">
        <f>F138-R138</f>
        <v/>
      </c>
      <c r="W138" s="39">
        <f>IFERROR(V138/F138,0)</f>
        <v/>
      </c>
      <c r="X138" s="29" t="n">
        <v>5.585683</v>
      </c>
      <c r="Y138" s="31" t="n">
        <v>-7.599</v>
      </c>
      <c r="Z138" s="39">
        <f>IFERROR(Y138/G138,0)</f>
        <v/>
      </c>
      <c r="AA138" s="35">
        <f>Y138-K138/1.06</f>
        <v/>
      </c>
      <c r="AB138" s="39">
        <f>IFERROR(AA138/G138,0)</f>
        <v/>
      </c>
      <c r="AC138" s="31" t="n">
        <v>-16.815619</v>
      </c>
      <c r="AD138" s="39">
        <f>IFERROR(AC138/G138,0)</f>
        <v/>
      </c>
    </row>
    <row r="139">
      <c r="A139" s="27" t="inlineStr">
        <is>
          <t>6.22-6.28</t>
        </is>
      </c>
      <c r="B139" s="27" t="inlineStr">
        <is>
          <t>6.22-6.28</t>
        </is>
      </c>
      <c r="C139" s="34" t="n">
        <v>898076297965</v>
      </c>
      <c r="D139" s="27" t="inlineStr">
        <is>
          <t>番茄牛肉</t>
        </is>
      </c>
      <c r="E139" s="27" t="inlineStr">
        <is>
          <t>进口正品意面风味奶香番茄牛肉味意式拌面营多捞面早餐儿童宝妈餐</t>
        </is>
      </c>
      <c r="F139" s="31" t="n">
        <v>90.64</v>
      </c>
      <c r="G139" s="35">
        <f>IFERROR(F139/1.13,0)</f>
        <v/>
      </c>
      <c r="H139" s="36" t="n">
        <v>5</v>
      </c>
      <c r="I139" s="37" t="n">
        <v>0.001549426712116517</v>
      </c>
      <c r="J139" s="38">
        <f>IFERROR(F139/H139,0)</f>
        <v/>
      </c>
      <c r="K139" s="31" t="n">
        <v>18.5571242640223</v>
      </c>
      <c r="L139" s="31" t="n">
        <v>55.7962472885033</v>
      </c>
      <c r="M139" s="38">
        <f>IFERROR(L139/K139,0)</f>
        <v/>
      </c>
      <c r="N139" s="31" t="n">
        <v>2.94680818097304</v>
      </c>
      <c r="O139" s="31" t="n">
        <v>6.41814378679888</v>
      </c>
      <c r="P139" s="38">
        <f>IFERROR(O139/N139,0)</f>
        <v/>
      </c>
      <c r="Q139" s="31" t="n">
        <v>21.503932</v>
      </c>
      <c r="R139" s="31" t="n">
        <v>62.214391</v>
      </c>
      <c r="S139" s="38">
        <f>IFERROR(R139/Q139,0)</f>
        <v/>
      </c>
      <c r="T139" s="39">
        <f>IFERROR(Q139/SUMIF($A:$A,A139,$Q:$Q),0)</f>
        <v/>
      </c>
      <c r="U139" s="39">
        <f>IFERROR(Q139/F139,0)</f>
        <v/>
      </c>
      <c r="V139" s="35">
        <f>F139-R139</f>
        <v/>
      </c>
      <c r="W139" s="39">
        <f>IFERROR(V139/F139,0)</f>
        <v/>
      </c>
      <c r="X139" s="29" t="n">
        <v>5.585683</v>
      </c>
      <c r="Y139" s="31" t="n">
        <v>7.317</v>
      </c>
      <c r="Z139" s="39">
        <f>IFERROR(Y139/G139,0)</f>
        <v/>
      </c>
      <c r="AA139" s="35">
        <f>Y139-K139/1.06</f>
        <v/>
      </c>
      <c r="AB139" s="39">
        <f>IFERROR(AA139/G139,0)</f>
        <v/>
      </c>
      <c r="AC139" s="31" t="n">
        <v>-18.239241</v>
      </c>
      <c r="AD139" s="39">
        <f>IFERROR(AC139/G139,0)</f>
        <v/>
      </c>
    </row>
    <row r="140">
      <c r="A140" s="27" t="inlineStr">
        <is>
          <t>6.22-6.28</t>
        </is>
      </c>
      <c r="B140" s="27" t="inlineStr">
        <is>
          <t>6.22-6.28</t>
        </is>
      </c>
      <c r="C140" s="34" t="n">
        <v>886856687067</v>
      </c>
      <c r="D140" s="27" t="inlineStr">
        <is>
          <t>大骨</t>
        </is>
      </c>
      <c r="E140" s="27" t="inlineStr">
        <is>
          <t>营多捞面牛系列大骨牛肉味方便面食品泡面拉面汤面宿舍宵夜旅行</t>
        </is>
      </c>
      <c r="F140" s="31" t="n">
        <v>101.97</v>
      </c>
      <c r="G140" s="35">
        <f>IFERROR(F140/1.13,0)</f>
        <v/>
      </c>
      <c r="H140" s="36" t="n">
        <v>5</v>
      </c>
      <c r="I140" s="37" t="n">
        <v>0.001549426712116517</v>
      </c>
      <c r="J140" s="38">
        <f>IFERROR(F140/H140,0)</f>
        <v/>
      </c>
      <c r="K140" s="31" t="n">
        <v>15.9471242640223</v>
      </c>
      <c r="L140" s="31" t="n">
        <v>18.1062472885033</v>
      </c>
      <c r="M140" s="38">
        <f>IFERROR(L140/K140,0)</f>
        <v/>
      </c>
      <c r="N140" s="31" t="n">
        <v>2.94680818097304</v>
      </c>
      <c r="O140" s="31" t="n">
        <v>6.41814378679888</v>
      </c>
      <c r="P140" s="38">
        <f>IFERROR(O140/N140,0)</f>
        <v/>
      </c>
      <c r="Q140" s="31" t="n">
        <v>18.893932</v>
      </c>
      <c r="R140" s="31" t="n">
        <v>24.524391</v>
      </c>
      <c r="S140" s="38">
        <f>IFERROR(R140/Q140,0)</f>
        <v/>
      </c>
      <c r="T140" s="39">
        <f>IFERROR(Q140/SUMIF($A:$A,A140,$Q:$Q),0)</f>
        <v/>
      </c>
      <c r="U140" s="39">
        <f>IFERROR(Q140/F140,0)</f>
        <v/>
      </c>
      <c r="V140" s="35">
        <f>F140-R140</f>
        <v/>
      </c>
      <c r="W140" s="39">
        <f>IFERROR(V140/F140,0)</f>
        <v/>
      </c>
      <c r="X140" s="29" t="n">
        <v>5.585683</v>
      </c>
      <c r="Y140" s="31" t="n">
        <v>10.315</v>
      </c>
      <c r="Z140" s="39">
        <f>IFERROR(Y140/G140,0)</f>
        <v/>
      </c>
      <c r="AA140" s="35">
        <f>Y140-K140/1.06</f>
        <v/>
      </c>
      <c r="AB140" s="39">
        <f>IFERROR(AA140/G140,0)</f>
        <v/>
      </c>
      <c r="AC140" s="31" t="n">
        <v>-12.778977</v>
      </c>
      <c r="AD140" s="39">
        <f>IFERROR(AC140/G140,0)</f>
        <v/>
      </c>
    </row>
    <row r="141">
      <c r="A141" s="27" t="inlineStr">
        <is>
          <t>6.22-6.28</t>
        </is>
      </c>
      <c r="B141" s="27" t="inlineStr">
        <is>
          <t>6.22-6.28</t>
        </is>
      </c>
      <c r="C141" s="34" t="n">
        <v>1028450344901</v>
      </c>
      <c r="D141" s="27" t="inlineStr">
        <is>
          <t>韩火鸡</t>
        </is>
      </c>
      <c r="E141" s="27" t="inlineStr">
        <is>
          <t>营多韩式火鸡面袋装拌面干拌面泡面方便面速食面宿舍宵夜旅行</t>
        </is>
      </c>
      <c r="F141" s="31" t="n">
        <v>65.81999999999999</v>
      </c>
      <c r="G141" s="35">
        <f>IFERROR(F141/1.13,0)</f>
        <v/>
      </c>
      <c r="H141" s="36" t="n">
        <v>4</v>
      </c>
      <c r="I141" s="37" t="n">
        <v>0.001239541369693214</v>
      </c>
      <c r="J141" s="38">
        <f>IFERROR(F141/H141,0)</f>
        <v/>
      </c>
      <c r="K141" s="31" t="n">
        <v>8.719699411217849</v>
      </c>
      <c r="L141" s="31" t="n">
        <v>40.9809978308026</v>
      </c>
      <c r="M141" s="38">
        <f>IFERROR(L141/K141,0)</f>
        <v/>
      </c>
      <c r="N141" s="31" t="n">
        <v>2.35744654477843</v>
      </c>
      <c r="O141" s="31" t="n">
        <v>5.13451502943911</v>
      </c>
      <c r="P141" s="38">
        <f>IFERROR(O141/N141,0)</f>
        <v/>
      </c>
      <c r="Q141" s="31" t="n">
        <v>11.077146</v>
      </c>
      <c r="R141" s="31" t="n">
        <v>46.115513</v>
      </c>
      <c r="S141" s="38">
        <f>IFERROR(R141/Q141,0)</f>
        <v/>
      </c>
      <c r="T141" s="39">
        <f>IFERROR(Q141/SUMIF($A:$A,A141,$Q:$Q),0)</f>
        <v/>
      </c>
      <c r="U141" s="39">
        <f>IFERROR(Q141/F141,0)</f>
        <v/>
      </c>
      <c r="V141" s="35">
        <f>F141-R141</f>
        <v/>
      </c>
      <c r="W141" s="39">
        <f>IFERROR(V141/F141,0)</f>
        <v/>
      </c>
      <c r="X141" s="29" t="n">
        <v>4.468547</v>
      </c>
      <c r="Y141" s="31" t="n">
        <v>4.56</v>
      </c>
      <c r="Z141" s="39">
        <f>IFERROR(Y141/G141,0)</f>
        <v/>
      </c>
      <c r="AA141" s="35">
        <f>Y141-K141/1.06</f>
        <v/>
      </c>
      <c r="AB141" s="39">
        <f>IFERROR(AA141/G141,0)</f>
        <v/>
      </c>
      <c r="AC141" s="31" t="n">
        <v>-10.105748</v>
      </c>
      <c r="AD141" s="39">
        <f>IFERROR(AC141/G141,0)</f>
        <v/>
      </c>
    </row>
    <row r="142">
      <c r="A142" s="27" t="inlineStr">
        <is>
          <t>6.22-6.28</t>
        </is>
      </c>
      <c r="B142" s="27" t="inlineStr">
        <is>
          <t>6.22-6.28</t>
        </is>
      </c>
      <c r="C142" s="34" t="n">
        <v>932687928859</v>
      </c>
      <c r="D142" s="27" t="inlineStr">
        <is>
          <t>8包组合</t>
        </is>
      </c>
      <c r="E142" s="27" t="inlineStr">
        <is>
          <t>营多捞面八口味袋装泡面拌面速食面干拌面方便面宿舍宵夜速食家用</t>
        </is>
      </c>
      <c r="F142" s="31" t="n">
        <v>59.08</v>
      </c>
      <c r="G142" s="35">
        <f>IFERROR(F142/1.13,0)</f>
        <v/>
      </c>
      <c r="H142" s="36" t="n">
        <v>2</v>
      </c>
      <c r="I142" s="37" t="n">
        <v>0.0006197706848466068</v>
      </c>
      <c r="J142" s="38">
        <f>IFERROR(F142/H142,0)</f>
        <v/>
      </c>
      <c r="K142" s="31" t="n">
        <v>2.38484970560892</v>
      </c>
      <c r="L142" s="31" t="n">
        <v>30.7104989154013</v>
      </c>
      <c r="M142" s="38">
        <f>IFERROR(L142/K142,0)</f>
        <v/>
      </c>
      <c r="N142" s="31" t="n">
        <v>1.17872327238922</v>
      </c>
      <c r="O142" s="31" t="n">
        <v>2.56725751471955</v>
      </c>
      <c r="P142" s="38">
        <f>IFERROR(O142/N142,0)</f>
        <v/>
      </c>
      <c r="Q142" s="31" t="n">
        <v>3.563573</v>
      </c>
      <c r="R142" s="31" t="n">
        <v>33.277756</v>
      </c>
      <c r="S142" s="38">
        <f>IFERROR(R142/Q142,0)</f>
        <v/>
      </c>
      <c r="T142" s="39">
        <f>IFERROR(Q142/SUMIF($A:$A,A142,$Q:$Q),0)</f>
        <v/>
      </c>
      <c r="U142" s="39">
        <f>IFERROR(Q142/F142,0)</f>
        <v/>
      </c>
      <c r="V142" s="35">
        <f>F142-R142</f>
        <v/>
      </c>
      <c r="W142" s="39">
        <f>IFERROR(V142/F142,0)</f>
        <v/>
      </c>
      <c r="X142" s="29" t="n">
        <v>2.234273</v>
      </c>
      <c r="Y142" s="31" t="n">
        <v>10.202</v>
      </c>
      <c r="Z142" s="39">
        <f>IFERROR(Y142/G142,0)</f>
        <v/>
      </c>
      <c r="AA142" s="35">
        <f>Y142-K142/1.06</f>
        <v/>
      </c>
      <c r="AB142" s="39">
        <f>IFERROR(AA142/G142,0)</f>
        <v/>
      </c>
      <c r="AC142" s="31" t="n">
        <v>4.732334</v>
      </c>
      <c r="AD142" s="39">
        <f>IFERROR(AC142/G142,0)</f>
        <v/>
      </c>
    </row>
    <row r="143">
      <c r="A143" s="27" t="inlineStr">
        <is>
          <t>6.22-6.28</t>
        </is>
      </c>
      <c r="B143" s="27" t="inlineStr">
        <is>
          <t>6.22-6.28</t>
        </is>
      </c>
      <c r="C143" s="34" t="n">
        <v>903183018417</v>
      </c>
      <c r="D143" s="27" t="inlineStr">
        <is>
          <t>七口味混搭</t>
        </is>
      </c>
      <c r="E143" s="27" t="inlineStr">
        <is>
          <t>进口营多捞面汤面拌面七口味混合方便面速拉面宿舍拌面泡面食食品</t>
        </is>
      </c>
      <c r="F143" s="31" t="n">
        <v>40.16</v>
      </c>
      <c r="G143" s="35">
        <f>IFERROR(F143/1.13,0)</f>
        <v/>
      </c>
      <c r="H143" s="36" t="n">
        <v>2</v>
      </c>
      <c r="I143" s="37" t="n">
        <v>0.0006197706848466068</v>
      </c>
      <c r="J143" s="38">
        <f>IFERROR(F143/H143,0)</f>
        <v/>
      </c>
      <c r="K143" s="31" t="n">
        <v>2.72484970560892</v>
      </c>
      <c r="L143" s="31" t="n">
        <v>1.81049891540131</v>
      </c>
      <c r="M143" s="38">
        <f>IFERROR(L143/K143,0)</f>
        <v/>
      </c>
      <c r="N143" s="31" t="n">
        <v>1.17872327238922</v>
      </c>
      <c r="O143" s="31" t="n">
        <v>2.56725751471955</v>
      </c>
      <c r="P143" s="38">
        <f>IFERROR(O143/N143,0)</f>
        <v/>
      </c>
      <c r="Q143" s="31" t="n">
        <v>3.903573</v>
      </c>
      <c r="R143" s="31" t="n">
        <v>4.377756</v>
      </c>
      <c r="S143" s="38">
        <f>IFERROR(R143/Q143,0)</f>
        <v/>
      </c>
      <c r="T143" s="39">
        <f>IFERROR(Q143/SUMIF($A:$A,A143,$Q:$Q),0)</f>
        <v/>
      </c>
      <c r="U143" s="39">
        <f>IFERROR(Q143/F143,0)</f>
        <v/>
      </c>
      <c r="V143" s="35">
        <f>F143-R143</f>
        <v/>
      </c>
      <c r="W143" s="39">
        <f>IFERROR(V143/F143,0)</f>
        <v/>
      </c>
      <c r="X143" s="29" t="n">
        <v>2.234273</v>
      </c>
      <c r="Y143" s="31" t="n">
        <v>4.157</v>
      </c>
      <c r="Z143" s="39">
        <f>IFERROR(Y143/G143,0)</f>
        <v/>
      </c>
      <c r="AA143" s="35">
        <f>Y143-K143/1.06</f>
        <v/>
      </c>
      <c r="AB143" s="39">
        <f>IFERROR(AA143/G143,0)</f>
        <v/>
      </c>
      <c r="AC143" s="31" t="n">
        <v>-1.633421</v>
      </c>
      <c r="AD143" s="39">
        <f>IFERROR(AC143/G143,0)</f>
        <v/>
      </c>
    </row>
    <row r="144">
      <c r="A144" s="27" t="inlineStr">
        <is>
          <t>6.22-6.28</t>
        </is>
      </c>
      <c r="B144" s="27" t="inlineStr">
        <is>
          <t>6.22-6.28</t>
        </is>
      </c>
      <c r="C144" s="34" t="n">
        <v>976479938842</v>
      </c>
      <c r="D144" s="27" t="inlineStr">
        <is>
          <t>【U选】原味5</t>
        </is>
      </c>
      <c r="E144" s="27" t="inlineStr">
        <is>
          <t>【天猫U选】indomie营多大骨牛肉味捞面拌面5包</t>
        </is>
      </c>
      <c r="F144" s="31" t="n">
        <v>19.8</v>
      </c>
      <c r="G144" s="35">
        <f>IFERROR(F144/1.13,0)</f>
        <v/>
      </c>
      <c r="H144" s="36" t="n">
        <v>2</v>
      </c>
      <c r="I144" s="37" t="n">
        <v>0.0006197706848466068</v>
      </c>
      <c r="J144" s="38">
        <f>IFERROR(F144/H144,0)</f>
        <v/>
      </c>
      <c r="K144" s="31" t="n">
        <v>0.494849705608924</v>
      </c>
      <c r="L144" s="31" t="n">
        <v>1.81049891540131</v>
      </c>
      <c r="M144" s="38">
        <f>IFERROR(L144/K144,0)</f>
        <v/>
      </c>
      <c r="N144" s="31" t="n">
        <v>1.17872327238922</v>
      </c>
      <c r="O144" s="31" t="n">
        <v>2.56725751471955</v>
      </c>
      <c r="P144" s="38">
        <f>IFERROR(O144/N144,0)</f>
        <v/>
      </c>
      <c r="Q144" s="31" t="n">
        <v>1.673573</v>
      </c>
      <c r="R144" s="31" t="n">
        <v>4.377756</v>
      </c>
      <c r="S144" s="38">
        <f>IFERROR(R144/Q144,0)</f>
        <v/>
      </c>
      <c r="T144" s="39">
        <f>IFERROR(Q144/SUMIF($A:$A,A144,$Q:$Q),0)</f>
        <v/>
      </c>
      <c r="U144" s="39">
        <f>IFERROR(Q144/F144,0)</f>
        <v/>
      </c>
      <c r="V144" s="35">
        <f>F144-R144</f>
        <v/>
      </c>
      <c r="W144" s="39">
        <f>IFERROR(V144/F144,0)</f>
        <v/>
      </c>
      <c r="X144" s="29" t="n">
        <v>2.234273</v>
      </c>
      <c r="Y144" s="31" t="n">
        <v>-5.526</v>
      </c>
      <c r="Z144" s="39">
        <f>IFERROR(Y144/G144,0)</f>
        <v/>
      </c>
      <c r="AA144" s="35">
        <f>Y144-K144/1.06</f>
        <v/>
      </c>
      <c r="AB144" s="39">
        <f>IFERROR(AA144/G144,0)</f>
        <v/>
      </c>
      <c r="AC144" s="31" t="n">
        <v>-9.212647</v>
      </c>
      <c r="AD144" s="39">
        <f>IFERROR(AC144/G144,0)</f>
        <v/>
      </c>
    </row>
    <row r="145">
      <c r="A145" s="27" t="inlineStr">
        <is>
          <t>6.22-6.28</t>
        </is>
      </c>
      <c r="B145" s="27" t="inlineStr">
        <is>
          <t>6.22-6.28</t>
        </is>
      </c>
      <c r="C145" s="34" t="n">
        <v>969433743398</v>
      </c>
      <c r="D145" s="27" t="inlineStr">
        <is>
          <t>韩蘑菇</t>
        </is>
      </c>
      <c r="E145" s="27" t="inlineStr">
        <is>
          <t>新品营多捞面韩式辣蘑菇汤面泡面方便面速食干拌面宿舍宵夜旅行</t>
        </is>
      </c>
      <c r="F145" s="31" t="n">
        <v>30.54</v>
      </c>
      <c r="G145" s="35">
        <f>IFERROR(F145/1.13,0)</f>
        <v/>
      </c>
      <c r="H145" s="36" t="n">
        <v>2</v>
      </c>
      <c r="I145" s="37" t="n">
        <v>0.0006197706848466068</v>
      </c>
      <c r="J145" s="38">
        <f>IFERROR(F145/H145,0)</f>
        <v/>
      </c>
      <c r="K145" s="31" t="n">
        <v>7.10484970560892</v>
      </c>
      <c r="L145" s="31" t="n">
        <v>29.6804989154013</v>
      </c>
      <c r="M145" s="38">
        <f>IFERROR(L145/K145,0)</f>
        <v/>
      </c>
      <c r="N145" s="31" t="n">
        <v>1.17872327238922</v>
      </c>
      <c r="O145" s="31" t="n">
        <v>2.56725751471955</v>
      </c>
      <c r="P145" s="38">
        <f>IFERROR(O145/N145,0)</f>
        <v/>
      </c>
      <c r="Q145" s="31" t="n">
        <v>8.283573000000001</v>
      </c>
      <c r="R145" s="31" t="n">
        <v>32.247756</v>
      </c>
      <c r="S145" s="38">
        <f>IFERROR(R145/Q145,0)</f>
        <v/>
      </c>
      <c r="T145" s="39">
        <f>IFERROR(Q145/SUMIF($A:$A,A145,$Q:$Q),0)</f>
        <v/>
      </c>
      <c r="U145" s="39">
        <f>IFERROR(Q145/F145,0)</f>
        <v/>
      </c>
      <c r="V145" s="35">
        <f>F145-R145</f>
        <v/>
      </c>
      <c r="W145" s="39">
        <f>IFERROR(V145/F145,0)</f>
        <v/>
      </c>
      <c r="X145" s="29" t="n">
        <v>2.234273</v>
      </c>
      <c r="Y145" s="31" t="n">
        <v>1.989</v>
      </c>
      <c r="Z145" s="39">
        <f>IFERROR(Y145/G145,0)</f>
        <v/>
      </c>
      <c r="AA145" s="35">
        <f>Y145-K145/1.06</f>
        <v/>
      </c>
      <c r="AB145" s="39">
        <f>IFERROR(AA145/G145,0)</f>
        <v/>
      </c>
      <c r="AC145" s="31" t="n">
        <v>-7.933497</v>
      </c>
      <c r="AD145" s="39">
        <f>IFERROR(AC145/G145,0)</f>
        <v/>
      </c>
    </row>
    <row r="146">
      <c r="A146" s="27" t="inlineStr">
        <is>
          <t>6.22-6.28</t>
        </is>
      </c>
      <c r="B146" s="27" t="inlineStr">
        <is>
          <t>6.22-6.28</t>
        </is>
      </c>
      <c r="C146" s="34" t="n">
        <v>916072786304</v>
      </c>
      <c r="D146" s="27" t="inlineStr">
        <is>
          <t>小规格</t>
        </is>
      </c>
      <c r="E146" s="27" t="inlineStr">
        <is>
          <t>营多印尼进口营多捞面方便面火鸡面干拌面10包宿舍速食泡面夜宵</t>
        </is>
      </c>
      <c r="F146" s="31" t="n">
        <v>27.16</v>
      </c>
      <c r="G146" s="35">
        <f>IFERROR(F146/1.13,0)</f>
        <v/>
      </c>
      <c r="H146" s="36" t="n">
        <v>2</v>
      </c>
      <c r="I146" s="37" t="n">
        <v>0.0006197706848466068</v>
      </c>
      <c r="J146" s="38">
        <f>IFERROR(F146/H146,0)</f>
        <v/>
      </c>
      <c r="K146" s="31" t="n">
        <v>0.724849705608924</v>
      </c>
      <c r="L146" s="31" t="n">
        <v>1.81049891540131</v>
      </c>
      <c r="M146" s="38">
        <f>IFERROR(L146/K146,0)</f>
        <v/>
      </c>
      <c r="N146" s="31" t="n">
        <v>1.17872327238922</v>
      </c>
      <c r="O146" s="31" t="n">
        <v>2.56725751471955</v>
      </c>
      <c r="P146" s="38">
        <f>IFERROR(O146/N146,0)</f>
        <v/>
      </c>
      <c r="Q146" s="31" t="n">
        <v>1.903573</v>
      </c>
      <c r="R146" s="31" t="n">
        <v>4.377756</v>
      </c>
      <c r="S146" s="38">
        <f>IFERROR(R146/Q146,0)</f>
        <v/>
      </c>
      <c r="T146" s="39">
        <f>IFERROR(Q146/SUMIF($A:$A,A146,$Q:$Q),0)</f>
        <v/>
      </c>
      <c r="U146" s="39">
        <f>IFERROR(Q146/F146,0)</f>
        <v/>
      </c>
      <c r="V146" s="35">
        <f>F146-R146</f>
        <v/>
      </c>
      <c r="W146" s="39">
        <f>IFERROR(V146/F146,0)</f>
        <v/>
      </c>
      <c r="X146" s="29" t="n">
        <v>2.234273</v>
      </c>
      <c r="Y146" s="31" t="n">
        <v>0.502</v>
      </c>
      <c r="Z146" s="39">
        <f>IFERROR(Y146/G146,0)</f>
        <v/>
      </c>
      <c r="AA146" s="35">
        <f>Y146-K146/1.06</f>
        <v/>
      </c>
      <c r="AB146" s="39">
        <f>IFERROR(AA146/G146,0)</f>
        <v/>
      </c>
      <c r="AC146" s="31" t="n">
        <v>-3.401629</v>
      </c>
      <c r="AD146" s="39">
        <f>IFERROR(AC146/G146,0)</f>
        <v/>
      </c>
    </row>
    <row r="147">
      <c r="A147" s="27" t="inlineStr">
        <is>
          <t>6.22-6.28</t>
        </is>
      </c>
      <c r="B147" s="27" t="inlineStr">
        <is>
          <t>6.22-6.28</t>
        </is>
      </c>
      <c r="C147" s="34" t="n">
        <v>898120785283</v>
      </c>
      <c r="D147" s="27" t="inlineStr">
        <is>
          <t>番茄</t>
        </is>
      </c>
      <c r="E147" s="27" t="inlineStr">
        <is>
          <t>进口意大利面风味奶香番茄牛肉味意式营多早餐儿童宝妈家庭餐拌面</t>
        </is>
      </c>
      <c r="F147" s="31" t="n">
        <v>39.19</v>
      </c>
      <c r="G147" s="35">
        <f>IFERROR(F147/1.13,0)</f>
        <v/>
      </c>
      <c r="H147" s="36" t="n">
        <v>2</v>
      </c>
      <c r="I147" s="37" t="n">
        <v>0.0006197706848466068</v>
      </c>
      <c r="J147" s="38">
        <f>IFERROR(F147/H147,0)</f>
        <v/>
      </c>
      <c r="K147" s="31" t="n">
        <v>0.974849705608924</v>
      </c>
      <c r="L147" s="31" t="n">
        <v>1.81049891540131</v>
      </c>
      <c r="M147" s="38">
        <f>IFERROR(L147/K147,0)</f>
        <v/>
      </c>
      <c r="N147" s="31" t="n">
        <v>1.17872327238922</v>
      </c>
      <c r="O147" s="31" t="n">
        <v>2.56725751471955</v>
      </c>
      <c r="P147" s="38">
        <f>IFERROR(O147/N147,0)</f>
        <v/>
      </c>
      <c r="Q147" s="31" t="n">
        <v>2.153573</v>
      </c>
      <c r="R147" s="31" t="n">
        <v>4.377756</v>
      </c>
      <c r="S147" s="38">
        <f>IFERROR(R147/Q147,0)</f>
        <v/>
      </c>
      <c r="T147" s="39">
        <f>IFERROR(Q147/SUMIF($A:$A,A147,$Q:$Q),0)</f>
        <v/>
      </c>
      <c r="U147" s="39">
        <f>IFERROR(Q147/F147,0)</f>
        <v/>
      </c>
      <c r="V147" s="35">
        <f>F147-R147</f>
        <v/>
      </c>
      <c r="W147" s="39">
        <f>IFERROR(V147/F147,0)</f>
        <v/>
      </c>
      <c r="X147" s="29" t="n">
        <v>2.234273</v>
      </c>
      <c r="Y147" s="31" t="n">
        <v>4.074</v>
      </c>
      <c r="Z147" s="39">
        <f>IFERROR(Y147/G147,0)</f>
        <v/>
      </c>
      <c r="AA147" s="35">
        <f>Y147-K147/1.06</f>
        <v/>
      </c>
      <c r="AB147" s="39">
        <f>IFERROR(AA147/G147,0)</f>
        <v/>
      </c>
      <c r="AC147" s="31" t="n">
        <v>-0.06547799999999999</v>
      </c>
      <c r="AD147" s="39">
        <f>IFERROR(AC147/G147,0)</f>
        <v/>
      </c>
    </row>
    <row r="148">
      <c r="A148" s="27" t="inlineStr">
        <is>
          <t>6.22-6.28</t>
        </is>
      </c>
      <c r="B148" s="27" t="inlineStr">
        <is>
          <t>6.22-6.28</t>
        </is>
      </c>
      <c r="C148" s="34" t="n">
        <v>885645733215</v>
      </c>
      <c r="D148" s="27" t="inlineStr">
        <is>
          <t>大骨牛肉</t>
        </is>
      </c>
      <c r="E148" s="27" t="inlineStr">
        <is>
          <t>进口营多大骨番茄牛肉味营多捞面意式泡面宿舍宿舍宵夜速食方便面</t>
        </is>
      </c>
      <c r="F148" s="31" t="n">
        <v>28.48</v>
      </c>
      <c r="G148" s="35">
        <f>IFERROR(F148/1.13,0)</f>
        <v/>
      </c>
      <c r="H148" s="36" t="n">
        <v>2</v>
      </c>
      <c r="I148" s="37" t="n">
        <v>0.0006197706848466068</v>
      </c>
      <c r="J148" s="38">
        <f>IFERROR(F148/H148,0)</f>
        <v/>
      </c>
      <c r="K148" s="31" t="n">
        <v>9.494849705608919</v>
      </c>
      <c r="L148" s="31" t="n">
        <v>15.7104989154013</v>
      </c>
      <c r="M148" s="38">
        <f>IFERROR(L148/K148,0)</f>
        <v/>
      </c>
      <c r="N148" s="31" t="n">
        <v>1.17872327238922</v>
      </c>
      <c r="O148" s="31" t="n">
        <v>2.56725751471955</v>
      </c>
      <c r="P148" s="38">
        <f>IFERROR(O148/N148,0)</f>
        <v/>
      </c>
      <c r="Q148" s="31" t="n">
        <v>10.673573</v>
      </c>
      <c r="R148" s="31" t="n">
        <v>18.277756</v>
      </c>
      <c r="S148" s="38">
        <f>IFERROR(R148/Q148,0)</f>
        <v/>
      </c>
      <c r="T148" s="39">
        <f>IFERROR(Q148/SUMIF($A:$A,A148,$Q:$Q),0)</f>
        <v/>
      </c>
      <c r="U148" s="39">
        <f>IFERROR(Q148/F148,0)</f>
        <v/>
      </c>
      <c r="V148" s="35">
        <f>F148-R148</f>
        <v/>
      </c>
      <c r="W148" s="39">
        <f>IFERROR(V148/F148,0)</f>
        <v/>
      </c>
      <c r="X148" s="29" t="n">
        <v>2.234273</v>
      </c>
      <c r="Y148" s="31" t="n">
        <v>1.093</v>
      </c>
      <c r="Z148" s="39">
        <f>IFERROR(Y148/G148,0)</f>
        <v/>
      </c>
      <c r="AA148" s="35">
        <f>Y148-K148/1.06</f>
        <v/>
      </c>
      <c r="AB148" s="39">
        <f>IFERROR(AA148/G148,0)</f>
        <v/>
      </c>
      <c r="AC148" s="31" t="n">
        <v>-11.084213</v>
      </c>
      <c r="AD148" s="39">
        <f>IFERROR(AC148/G148,0)</f>
        <v/>
      </c>
    </row>
    <row r="149">
      <c r="A149" s="27" t="inlineStr">
        <is>
          <t>6.22-6.28</t>
        </is>
      </c>
      <c r="B149" s="27" t="inlineStr">
        <is>
          <t>6.22-6.28</t>
        </is>
      </c>
      <c r="C149" s="34" t="n">
        <v>649729851594</v>
      </c>
      <c r="D149" s="27" t="inlineStr">
        <is>
          <t>小规格</t>
        </is>
      </c>
      <c r="E149" s="27" t="inlineStr">
        <is>
          <t>营多捞面袋装8包装泡面宿舍速食面热干面干拌面方便面火鸡面食品</t>
        </is>
      </c>
      <c r="F149" s="31" t="n">
        <v>44.72</v>
      </c>
      <c r="G149" s="35">
        <f>IFERROR(F149/1.13,0)</f>
        <v/>
      </c>
      <c r="H149" s="36" t="n">
        <v>2</v>
      </c>
      <c r="I149" s="37" t="n">
        <v>0.0006197706848466068</v>
      </c>
      <c r="J149" s="38">
        <f>IFERROR(F149/H149,0)</f>
        <v/>
      </c>
      <c r="K149" s="31" t="n">
        <v>5.68484970560892</v>
      </c>
      <c r="L149" s="31" t="n">
        <v>52.0704989154013</v>
      </c>
      <c r="M149" s="38">
        <f>IFERROR(L149/K149,0)</f>
        <v/>
      </c>
      <c r="N149" s="31" t="n">
        <v>1.17872327238922</v>
      </c>
      <c r="O149" s="31" t="n">
        <v>2.56725751471955</v>
      </c>
      <c r="P149" s="38">
        <f>IFERROR(O149/N149,0)</f>
        <v/>
      </c>
      <c r="Q149" s="31" t="n">
        <v>6.863573</v>
      </c>
      <c r="R149" s="31" t="n">
        <v>54.637756</v>
      </c>
      <c r="S149" s="38">
        <f>IFERROR(R149/Q149,0)</f>
        <v/>
      </c>
      <c r="T149" s="39">
        <f>IFERROR(Q149/SUMIF($A:$A,A149,$Q:$Q),0)</f>
        <v/>
      </c>
      <c r="U149" s="39">
        <f>IFERROR(Q149/F149,0)</f>
        <v/>
      </c>
      <c r="V149" s="35">
        <f>F149-R149</f>
        <v/>
      </c>
      <c r="W149" s="39">
        <f>IFERROR(V149/F149,0)</f>
        <v/>
      </c>
      <c r="X149" s="29" t="n">
        <v>2.234273</v>
      </c>
      <c r="Y149" s="31" t="n">
        <v>7.122</v>
      </c>
      <c r="Z149" s="39">
        <f>IFERROR(Y149/G149,0)</f>
        <v/>
      </c>
      <c r="AA149" s="35">
        <f>Y149-K149/1.06</f>
        <v/>
      </c>
      <c r="AB149" s="39">
        <f>IFERROR(AA149/G149,0)</f>
        <v/>
      </c>
      <c r="AC149" s="31" t="n">
        <v>-1.460874</v>
      </c>
      <c r="AD149" s="39">
        <f>IFERROR(AC149/G149,0)</f>
        <v/>
      </c>
    </row>
    <row r="150">
      <c r="A150" s="27" t="inlineStr">
        <is>
          <t>6.22-6.28</t>
        </is>
      </c>
      <c r="B150" s="27" t="inlineStr">
        <is>
          <t>6.22-6.28</t>
        </is>
      </c>
      <c r="C150" s="34" t="n">
        <v>869217868453</v>
      </c>
      <c r="D150" s="27" t="inlineStr">
        <is>
          <t>韩式杯面</t>
        </is>
      </c>
      <c r="E150" s="27" t="inlineStr">
        <is>
          <t>营多捞面韩式甜辣炸鸡辣蘑菇杯面方便面拌面泡面宿舍速食面</t>
        </is>
      </c>
      <c r="F150" s="31" t="n">
        <v>49.9</v>
      </c>
      <c r="G150" s="35">
        <f>IFERROR(F150/1.13,0)</f>
        <v/>
      </c>
      <c r="H150" s="36" t="n">
        <v>1</v>
      </c>
      <c r="I150" s="37" t="n">
        <v>0.0003098853424233034</v>
      </c>
      <c r="J150" s="38">
        <f>IFERROR(F150/H150,0)</f>
        <v/>
      </c>
      <c r="K150" s="31" t="n">
        <v>6.44742485280446</v>
      </c>
      <c r="L150" s="31" t="n">
        <v>50.8052494577007</v>
      </c>
      <c r="M150" s="38">
        <f>IFERROR(L150/K150,0)</f>
        <v/>
      </c>
      <c r="N150" s="31" t="n">
        <v>0.589361636194608</v>
      </c>
      <c r="O150" s="31" t="n">
        <v>1.28362875735978</v>
      </c>
      <c r="P150" s="38">
        <f>IFERROR(O150/N150,0)</f>
        <v/>
      </c>
      <c r="Q150" s="31" t="n">
        <v>7.036786</v>
      </c>
      <c r="R150" s="31" t="n">
        <v>52.088878</v>
      </c>
      <c r="S150" s="38">
        <f>IFERROR(R150/Q150,0)</f>
        <v/>
      </c>
      <c r="T150" s="39">
        <f>IFERROR(Q150/SUMIF($A:$A,A150,$Q:$Q),0)</f>
        <v/>
      </c>
      <c r="U150" s="39">
        <f>IFERROR(Q150/F150,0)</f>
        <v/>
      </c>
      <c r="V150" s="35">
        <f>F150-R150</f>
        <v/>
      </c>
      <c r="W150" s="39">
        <f>IFERROR(V150/F150,0)</f>
        <v/>
      </c>
      <c r="X150" s="29" t="n">
        <v>1.117137</v>
      </c>
      <c r="Y150" s="31" t="n">
        <v>8.817</v>
      </c>
      <c r="Z150" s="39">
        <f>IFERROR(Y150/G150,0)</f>
        <v/>
      </c>
      <c r="AA150" s="35">
        <f>Y150-K150/1.06</f>
        <v/>
      </c>
      <c r="AB150" s="39">
        <f>IFERROR(AA150/G150,0)</f>
        <v/>
      </c>
      <c r="AC150" s="31" t="n">
        <v>1.12462</v>
      </c>
      <c r="AD150" s="39">
        <f>IFERROR(AC150/G150,0)</f>
        <v/>
      </c>
    </row>
    <row r="151">
      <c r="A151" s="27" t="inlineStr">
        <is>
          <t>6.22-6.28</t>
        </is>
      </c>
      <c r="B151" s="27" t="inlineStr">
        <is>
          <t>6.22-6.28</t>
        </is>
      </c>
      <c r="C151" s="34" t="n">
        <v>976467954327</v>
      </c>
      <c r="D151" s="27" t="inlineStr">
        <is>
          <t>【U选】韩式蘑菇1+日式辣杯1</t>
        </is>
      </c>
      <c r="E151" s="27" t="inlineStr">
        <is>
          <t>【天猫U选】indomie营多捞面辣蘑菇味日式辣味杯面</t>
        </is>
      </c>
      <c r="F151" s="31" t="n">
        <v>9.41</v>
      </c>
      <c r="G151" s="35">
        <f>IFERROR(F151/1.13,0)</f>
        <v/>
      </c>
      <c r="H151" s="36" t="n">
        <v>1</v>
      </c>
      <c r="I151" s="37" t="n">
        <v>0.0003098853424233034</v>
      </c>
      <c r="J151" s="38">
        <f>IFERROR(F151/H151,0)</f>
        <v/>
      </c>
      <c r="K151" s="31" t="n">
        <v>0.247424852804462</v>
      </c>
      <c r="L151" s="31" t="n">
        <v>0.905249457700657</v>
      </c>
      <c r="M151" s="38">
        <f>IFERROR(L151/K151,0)</f>
        <v/>
      </c>
      <c r="N151" s="31" t="n">
        <v>0.589361636194608</v>
      </c>
      <c r="O151" s="31" t="n">
        <v>1.28362875735978</v>
      </c>
      <c r="P151" s="38">
        <f>IFERROR(O151/N151,0)</f>
        <v/>
      </c>
      <c r="Q151" s="31" t="n">
        <v>0.836786</v>
      </c>
      <c r="R151" s="31" t="n">
        <v>2.188878</v>
      </c>
      <c r="S151" s="38">
        <f>IFERROR(R151/Q151,0)</f>
        <v/>
      </c>
      <c r="T151" s="39">
        <f>IFERROR(Q151/SUMIF($A:$A,A151,$Q:$Q),0)</f>
        <v/>
      </c>
      <c r="U151" s="39">
        <f>IFERROR(Q151/F151,0)</f>
        <v/>
      </c>
      <c r="V151" s="35">
        <f>F151-R151</f>
        <v/>
      </c>
      <c r="W151" s="39">
        <f>IFERROR(V151/F151,0)</f>
        <v/>
      </c>
      <c r="X151" s="29" t="n">
        <v>1.117137</v>
      </c>
      <c r="Y151" s="31" t="n">
        <v>-1.761</v>
      </c>
      <c r="Z151" s="39">
        <f>IFERROR(Y151/G151,0)</f>
        <v/>
      </c>
      <c r="AA151" s="35">
        <f>Y151-K151/1.06</f>
        <v/>
      </c>
      <c r="AB151" s="39">
        <f>IFERROR(AA151/G151,0)</f>
        <v/>
      </c>
      <c r="AC151" s="31" t="n">
        <v>-3.604324</v>
      </c>
      <c r="AD151" s="39">
        <f>IFERROR(AC151/G151,0)</f>
        <v/>
      </c>
    </row>
    <row r="152">
      <c r="A152" s="27" t="inlineStr">
        <is>
          <t>6.22-6.28</t>
        </is>
      </c>
      <c r="B152" s="27" t="inlineStr">
        <is>
          <t>6.22-6.28</t>
        </is>
      </c>
      <c r="C152" s="34" t="n">
        <v>975092562679</v>
      </c>
      <c r="D152" s="27" t="inlineStr">
        <is>
          <t>韩式杯面</t>
        </is>
      </c>
      <c r="E152" s="27" t="inlineStr">
        <is>
          <t>营多韩式甜辣炸鸡火鸡面辣蘑菇杯面拌面泡面方便面速食宵夜旅行</t>
        </is>
      </c>
      <c r="F152" s="31" t="n">
        <v>23.28</v>
      </c>
      <c r="G152" s="35">
        <f>IFERROR(F152/1.13,0)</f>
        <v/>
      </c>
      <c r="H152" s="36" t="n">
        <v>1</v>
      </c>
      <c r="I152" s="37" t="n">
        <v>0.0003098853424233034</v>
      </c>
      <c r="J152" s="38">
        <f>IFERROR(F152/H152,0)</f>
        <v/>
      </c>
      <c r="K152" s="31" t="n">
        <v>2.98742485280446</v>
      </c>
      <c r="L152" s="31" t="n">
        <v>0.905249457700657</v>
      </c>
      <c r="M152" s="38">
        <f>IFERROR(L152/K152,0)</f>
        <v/>
      </c>
      <c r="N152" s="31" t="n">
        <v>0.589361636194608</v>
      </c>
      <c r="O152" s="31" t="n">
        <v>1.28362875735978</v>
      </c>
      <c r="P152" s="38">
        <f>IFERROR(O152/N152,0)</f>
        <v/>
      </c>
      <c r="Q152" s="31" t="n">
        <v>3.576786</v>
      </c>
      <c r="R152" s="31" t="n">
        <v>2.188878</v>
      </c>
      <c r="S152" s="38">
        <f>IFERROR(R152/Q152,0)</f>
        <v/>
      </c>
      <c r="T152" s="39">
        <f>IFERROR(Q152/SUMIF($A:$A,A152,$Q:$Q),0)</f>
        <v/>
      </c>
      <c r="U152" s="39">
        <f>IFERROR(Q152/F152,0)</f>
        <v/>
      </c>
      <c r="V152" s="35">
        <f>F152-R152</f>
        <v/>
      </c>
      <c r="W152" s="39">
        <f>IFERROR(V152/F152,0)</f>
        <v/>
      </c>
      <c r="X152" s="29" t="n">
        <v>1.117137</v>
      </c>
      <c r="Y152" s="31" t="n">
        <v>3.875</v>
      </c>
      <c r="Z152" s="39">
        <f>IFERROR(Y152/G152,0)</f>
        <v/>
      </c>
      <c r="AA152" s="35">
        <f>Y152-K152/1.06</f>
        <v/>
      </c>
      <c r="AB152" s="39">
        <f>IFERROR(AA152/G152,0)</f>
        <v/>
      </c>
      <c r="AC152" s="31" t="n">
        <v>-0.553229</v>
      </c>
      <c r="AD152" s="39">
        <f>IFERROR(AC152/G152,0)</f>
        <v/>
      </c>
    </row>
    <row r="153">
      <c r="A153" s="27" t="inlineStr">
        <is>
          <t>6.29-7.5</t>
        </is>
      </c>
      <c r="B153" s="27" t="inlineStr">
        <is>
          <t>6.29-7.5</t>
        </is>
      </c>
      <c r="C153" s="34" t="n">
        <v>668566625747</v>
      </c>
      <c r="D153" s="27" t="inlineStr">
        <is>
          <t>袋面主链接</t>
        </is>
      </c>
      <c r="E153" s="27" t="inlineStr">
        <is>
          <t>印尼营多捞面进口网红泡面袋装方便面速食食品拉面火鸡面拌面整箱</t>
        </is>
      </c>
      <c r="F153" s="31" t="n">
        <v>26236.2500000003</v>
      </c>
      <c r="G153" s="35">
        <f>IFERROR(F153/1.13,0)</f>
        <v/>
      </c>
      <c r="H153" s="36" t="n">
        <v>1063</v>
      </c>
      <c r="I153" s="37" t="n">
        <v>0.3013892826764956</v>
      </c>
      <c r="J153" s="38">
        <f>IFERROR(F153/H153,0)</f>
        <v/>
      </c>
      <c r="K153" s="31" t="n">
        <v>3795.08428409413</v>
      </c>
      <c r="L153" s="31" t="n">
        <v>23988.9654890842</v>
      </c>
      <c r="M153" s="38">
        <f>IFERROR(L153/K153,0)</f>
        <v/>
      </c>
      <c r="N153" s="31" t="n">
        <v>576.349739155089</v>
      </c>
      <c r="O153" s="31" t="n">
        <v>1594.09613836121</v>
      </c>
      <c r="P153" s="38">
        <f>IFERROR(O153/N153,0)</f>
        <v/>
      </c>
      <c r="Q153" s="31" t="n">
        <v>4371.434023</v>
      </c>
      <c r="R153" s="31" t="n">
        <v>25583.061627</v>
      </c>
      <c r="S153" s="38">
        <f>IFERROR(R153/Q153,0)</f>
        <v/>
      </c>
      <c r="T153" s="39">
        <f>IFERROR(Q153/SUMIF($A:$A,A153,$Q:$Q),0)</f>
        <v/>
      </c>
      <c r="U153" s="39">
        <f>IFERROR(Q153/F153,0)</f>
        <v/>
      </c>
      <c r="V153" s="35">
        <f>F153-R153</f>
        <v/>
      </c>
      <c r="W153" s="39">
        <f>IFERROR(V153/F153,0)</f>
        <v/>
      </c>
      <c r="X153" s="29" t="n">
        <v>588.010491</v>
      </c>
      <c r="Y153" s="31" t="n">
        <v>3646.94600000003</v>
      </c>
      <c r="Z153" s="39">
        <f>IFERROR(Y153/G153,0)</f>
        <v/>
      </c>
      <c r="AA153" s="35">
        <f>Y153-K153/1.06</f>
        <v/>
      </c>
      <c r="AB153" s="39">
        <f>IFERROR(AA153/G153,0)</f>
        <v/>
      </c>
      <c r="AC153" s="31" t="n">
        <v>-1031.775239</v>
      </c>
      <c r="AD153" s="39">
        <f>IFERROR(AC153/G153,0)</f>
        <v/>
      </c>
    </row>
    <row r="154">
      <c r="A154" s="27" t="inlineStr">
        <is>
          <t>6.29-7.5</t>
        </is>
      </c>
      <c r="B154" s="27" t="inlineStr">
        <is>
          <t>6.29-7.5</t>
        </is>
      </c>
      <c r="C154" s="34" t="n">
        <v>649361890551</v>
      </c>
      <c r="D154" s="27" t="inlineStr">
        <is>
          <t>袋面次链接</t>
        </is>
      </c>
      <c r="E154" s="27" t="inlineStr">
        <is>
          <t>营多捞面印尼进口Indomie网红夜宵早餐方便面火鸡面泡面拌面</t>
        </is>
      </c>
      <c r="F154" s="31" t="n">
        <v>18111.13</v>
      </c>
      <c r="G154" s="35">
        <f>IFERROR(F154/1.13,0)</f>
        <v/>
      </c>
      <c r="H154" s="36" t="n">
        <v>958</v>
      </c>
      <c r="I154" s="37" t="n">
        <v>0.2716189396087326</v>
      </c>
      <c r="J154" s="38">
        <f>IFERROR(F154/H154,0)</f>
        <v/>
      </c>
      <c r="K154" s="31" t="n">
        <v>2631.04676779132</v>
      </c>
      <c r="L154" s="31" t="n">
        <v>17787.050722994</v>
      </c>
      <c r="M154" s="38">
        <f>IFERROR(L154/K154,0)</f>
        <v/>
      </c>
      <c r="N154" s="31" t="n">
        <v>519.419614403176</v>
      </c>
      <c r="O154" s="31" t="n">
        <v>1436.63603062092</v>
      </c>
      <c r="P154" s="38">
        <f>IFERROR(O154/N154,0)</f>
        <v/>
      </c>
      <c r="Q154" s="31" t="n">
        <v>3150.466382</v>
      </c>
      <c r="R154" s="31" t="n">
        <v>19223.686754</v>
      </c>
      <c r="S154" s="38">
        <f>IFERROR(R154/Q154,0)</f>
        <v/>
      </c>
      <c r="T154" s="39">
        <f>IFERROR(Q154/SUMIF($A:$A,A154,$Q:$Q),0)</f>
        <v/>
      </c>
      <c r="U154" s="39">
        <f>IFERROR(Q154/F154,0)</f>
        <v/>
      </c>
      <c r="V154" s="35">
        <f>F154-R154</f>
        <v/>
      </c>
      <c r="W154" s="39">
        <f>IFERROR(V154/F154,0)</f>
        <v/>
      </c>
      <c r="X154" s="29" t="n">
        <v>529.928551</v>
      </c>
      <c r="Y154" s="31" t="n">
        <v>1782.44999999999</v>
      </c>
      <c r="Z154" s="39">
        <f>IFERROR(Y154/G154,0)</f>
        <v/>
      </c>
      <c r="AA154" s="35">
        <f>Y154-K154/1.06</f>
        <v/>
      </c>
      <c r="AB154" s="39">
        <f>IFERROR(AA154/G154,0)</f>
        <v/>
      </c>
      <c r="AC154" s="31" t="n">
        <v>-1689.620692</v>
      </c>
      <c r="AD154" s="39">
        <f>IFERROR(AC154/G154,0)</f>
        <v/>
      </c>
    </row>
    <row r="155">
      <c r="A155" s="27" t="inlineStr">
        <is>
          <t>6.29-7.5</t>
        </is>
      </c>
      <c r="B155" s="27" t="inlineStr">
        <is>
          <t>6.29-7.5</t>
        </is>
      </c>
      <c r="C155" s="34" t="n">
        <v>649735171438</v>
      </c>
      <c r="D155" s="27" t="inlineStr">
        <is>
          <t>杯面主链接</t>
        </is>
      </c>
      <c r="E155" s="27" t="inlineStr">
        <is>
          <t>印尼进口indomie营多捞面杯面速食泡面干拌面盒桶装方便面火鸡面</t>
        </is>
      </c>
      <c r="F155" s="31" t="n">
        <v>14323.79</v>
      </c>
      <c r="G155" s="35">
        <f>IFERROR(F155/1.13,0)</f>
        <v/>
      </c>
      <c r="H155" s="36" t="n">
        <v>554</v>
      </c>
      <c r="I155" s="37" t="n">
        <v>0.1570740005670541</v>
      </c>
      <c r="J155" s="38">
        <f>IFERROR(F155/H155,0)</f>
        <v/>
      </c>
      <c r="K155" s="31" t="n">
        <v>2347.8694669691</v>
      </c>
      <c r="L155" s="31" t="n">
        <v>12797.1259087043</v>
      </c>
      <c r="M155" s="38">
        <f>IFERROR(L155/K155,0)</f>
        <v/>
      </c>
      <c r="N155" s="31" t="n">
        <v>300.374182024383</v>
      </c>
      <c r="O155" s="31" t="n">
        <v>830.78952083924</v>
      </c>
      <c r="P155" s="38">
        <f>IFERROR(O155/N155,0)</f>
        <v/>
      </c>
      <c r="Q155" s="31" t="n">
        <v>2648.243649</v>
      </c>
      <c r="R155" s="31" t="n">
        <v>13627.91543</v>
      </c>
      <c r="S155" s="38">
        <f>IFERROR(R155/Q155,0)</f>
        <v/>
      </c>
      <c r="T155" s="39">
        <f>IFERROR(Q155/SUMIF($A:$A,A155,$Q:$Q),0)</f>
        <v/>
      </c>
      <c r="U155" s="39">
        <f>IFERROR(Q155/F155,0)</f>
        <v/>
      </c>
      <c r="V155" s="35">
        <f>F155-R155</f>
        <v/>
      </c>
      <c r="W155" s="39">
        <f>IFERROR(V155/F155,0)</f>
        <v/>
      </c>
      <c r="X155" s="29" t="n">
        <v>306.451375</v>
      </c>
      <c r="Y155" s="31" t="n">
        <v>1644.71000000001</v>
      </c>
      <c r="Z155" s="39">
        <f>IFERROR(Y155/G155,0)</f>
        <v/>
      </c>
      <c r="AA155" s="35">
        <f>Y155-K155/1.06</f>
        <v/>
      </c>
      <c r="AB155" s="39">
        <f>IFERROR(AA155/G155,0)</f>
        <v/>
      </c>
      <c r="AC155" s="31" t="n">
        <v>-1142.738136</v>
      </c>
      <c r="AD155" s="39">
        <f>IFERROR(AC155/G155,0)</f>
        <v/>
      </c>
    </row>
    <row r="156">
      <c r="A156" s="27" t="inlineStr">
        <is>
          <t>6.29-7.5</t>
        </is>
      </c>
      <c r="B156" s="27" t="inlineStr">
        <is>
          <t>6.29-7.5</t>
        </is>
      </c>
      <c r="C156" s="34" t="n">
        <v>649369494424</v>
      </c>
      <c r="D156" s="27" t="inlineStr">
        <is>
          <t>24包经典/牛系列</t>
        </is>
      </c>
      <c r="E156" s="27" t="inlineStr">
        <is>
          <t>营多捞面干拌面一整箱24袋装批发泡面混搭宿舍速食方便面火鸡面</t>
        </is>
      </c>
      <c r="F156" s="31" t="n">
        <v>6460.95</v>
      </c>
      <c r="G156" s="35">
        <f>IFERROR(F156/1.13,0)</f>
        <v/>
      </c>
      <c r="H156" s="36" t="n">
        <v>116</v>
      </c>
      <c r="I156" s="37" t="n">
        <v>0.03288914091295719</v>
      </c>
      <c r="J156" s="38">
        <f>IFERROR(F156/H156,0)</f>
        <v/>
      </c>
      <c r="K156" s="31" t="n">
        <v>1033.50754182024</v>
      </c>
      <c r="L156" s="31" t="n">
        <v>5723.73831301389</v>
      </c>
      <c r="M156" s="38">
        <f>IFERROR(L156/K156,0)</f>
        <v/>
      </c>
      <c r="N156" s="31" t="n">
        <v>62.8942330592572</v>
      </c>
      <c r="O156" s="31" t="n">
        <v>173.955928551177</v>
      </c>
      <c r="P156" s="38">
        <f>IFERROR(O156/N156,0)</f>
        <v/>
      </c>
      <c r="Q156" s="31" t="n">
        <v>1096.401775</v>
      </c>
      <c r="R156" s="31" t="n">
        <v>5897.694242</v>
      </c>
      <c r="S156" s="38">
        <f>IFERROR(R156/Q156,0)</f>
        <v/>
      </c>
      <c r="T156" s="39">
        <f>IFERROR(Q156/SUMIF($A:$A,A156,$Q:$Q),0)</f>
        <v/>
      </c>
      <c r="U156" s="39">
        <f>IFERROR(Q156/F156,0)</f>
        <v/>
      </c>
      <c r="V156" s="35">
        <f>F156-R156</f>
        <v/>
      </c>
      <c r="W156" s="39">
        <f>IFERROR(V156/F156,0)</f>
        <v/>
      </c>
      <c r="X156" s="29" t="n">
        <v>64.166714</v>
      </c>
      <c r="Y156" s="31" t="n">
        <v>1241.897</v>
      </c>
      <c r="Z156" s="39">
        <f>IFERROR(Y156/G156,0)</f>
        <v/>
      </c>
      <c r="AA156" s="35">
        <f>Y156-K156/1.06</f>
        <v/>
      </c>
      <c r="AB156" s="39">
        <f>IFERROR(AA156/G156,0)</f>
        <v/>
      </c>
      <c r="AC156" s="31" t="n">
        <v>147.021067</v>
      </c>
      <c r="AD156" s="39">
        <f>IFERROR(AC156/G156,0)</f>
        <v/>
      </c>
    </row>
    <row r="157">
      <c r="A157" s="27" t="inlineStr">
        <is>
          <t>6.29-7.5</t>
        </is>
      </c>
      <c r="B157" s="27" t="inlineStr">
        <is>
          <t>6.29-7.5</t>
        </is>
      </c>
      <c r="C157" s="34" t="n">
        <v>1057479227624</v>
      </c>
      <c r="D157" s="27" t="inlineStr">
        <is>
          <t>巴东牛肉</t>
        </is>
      </c>
      <c r="E157" s="27" t="inlineStr">
        <is>
          <t>【新口味】印尼进口营多捞面巴东炖牛肉味泡面方便面宿舍速食宵夜</t>
        </is>
      </c>
      <c r="F157" s="31" t="n">
        <v>1950.93</v>
      </c>
      <c r="G157" s="35">
        <f>IFERROR(F157/1.13,0)</f>
        <v/>
      </c>
      <c r="H157" s="36" t="n">
        <v>108</v>
      </c>
      <c r="I157" s="37" t="n">
        <v>0.03062092429827049</v>
      </c>
      <c r="J157" s="38">
        <f>IFERROR(F157/H157,0)</f>
        <v/>
      </c>
      <c r="K157" s="31" t="n">
        <v>610.951159625744</v>
      </c>
      <c r="L157" s="31" t="n">
        <v>3453.43118797845</v>
      </c>
      <c r="M157" s="38">
        <f>IFERROR(L157/K157,0)</f>
        <v/>
      </c>
      <c r="N157" s="31" t="n">
        <v>58.5566997448256</v>
      </c>
      <c r="O157" s="31" t="n">
        <v>161.95896796144</v>
      </c>
      <c r="P157" s="38">
        <f>IFERROR(O157/N157,0)</f>
        <v/>
      </c>
      <c r="Q157" s="31" t="n">
        <v>669.5078590000001</v>
      </c>
      <c r="R157" s="31" t="n">
        <v>3615.390156</v>
      </c>
      <c r="S157" s="38">
        <f>IFERROR(R157/Q157,0)</f>
        <v/>
      </c>
      <c r="T157" s="39">
        <f>IFERROR(Q157/SUMIF($A:$A,A157,$Q:$Q),0)</f>
        <v/>
      </c>
      <c r="U157" s="39">
        <f>IFERROR(Q157/F157,0)</f>
        <v/>
      </c>
      <c r="V157" s="35">
        <f>F157-R157</f>
        <v/>
      </c>
      <c r="W157" s="39">
        <f>IFERROR(V157/F157,0)</f>
        <v/>
      </c>
      <c r="X157" s="29" t="n">
        <v>59.741423</v>
      </c>
      <c r="Y157" s="31" t="n">
        <v>218.561</v>
      </c>
      <c r="Z157" s="39">
        <f>IFERROR(Y157/G157,0)</f>
        <v/>
      </c>
      <c r="AA157" s="35">
        <f>Y157-K157/1.06</f>
        <v/>
      </c>
      <c r="AB157" s="39">
        <f>IFERROR(AA157/G157,0)</f>
        <v/>
      </c>
      <c r="AC157" s="31" t="n">
        <v>-469.410021</v>
      </c>
      <c r="AD157" s="39">
        <f>IFERROR(AC157/G157,0)</f>
        <v/>
      </c>
    </row>
    <row r="158">
      <c r="A158" s="27" t="inlineStr">
        <is>
          <t>6.29-7.5</t>
        </is>
      </c>
      <c r="B158" s="27" t="inlineStr">
        <is>
          <t>6.29-7.5</t>
        </is>
      </c>
      <c r="C158" s="34" t="n">
        <v>648600900806</v>
      </c>
      <c r="D158" s="27" t="inlineStr">
        <is>
          <t>30包</t>
        </is>
      </c>
      <c r="E158" s="27" t="inlineStr">
        <is>
          <t>进口营多捞面一整箱30包网红速食方便面宿舍速食泡面干拌面拉面</t>
        </is>
      </c>
      <c r="F158" s="31" t="n">
        <v>6510.9</v>
      </c>
      <c r="G158" s="35">
        <f>IFERROR(F158/1.13,0)</f>
        <v/>
      </c>
      <c r="H158" s="36" t="n">
        <v>96</v>
      </c>
      <c r="I158" s="37" t="n">
        <v>0.02721859937624043</v>
      </c>
      <c r="J158" s="38">
        <f>IFERROR(F158/H158,0)</f>
        <v/>
      </c>
      <c r="K158" s="31" t="n">
        <v>1375.20658633399</v>
      </c>
      <c r="L158" s="31" t="n">
        <v>6790.08550042529</v>
      </c>
      <c r="M158" s="38">
        <f>IFERROR(L158/K158,0)</f>
        <v/>
      </c>
      <c r="N158" s="31" t="n">
        <v>52.0503997731783</v>
      </c>
      <c r="O158" s="31" t="n">
        <v>143.963527076836</v>
      </c>
      <c r="P158" s="38">
        <f>IFERROR(O158/N158,0)</f>
        <v/>
      </c>
      <c r="Q158" s="31" t="n">
        <v>1427.256986</v>
      </c>
      <c r="R158" s="31" t="n">
        <v>6934.049028</v>
      </c>
      <c r="S158" s="38">
        <f>IFERROR(R158/Q158,0)</f>
        <v/>
      </c>
      <c r="T158" s="39">
        <f>IFERROR(Q158/SUMIF($A:$A,A158,$Q:$Q),0)</f>
        <v/>
      </c>
      <c r="U158" s="39">
        <f>IFERROR(Q158/F158,0)</f>
        <v/>
      </c>
      <c r="V158" s="35">
        <f>F158-R158</f>
        <v/>
      </c>
      <c r="W158" s="39">
        <f>IFERROR(V158/F158,0)</f>
        <v/>
      </c>
      <c r="X158" s="29" t="n">
        <v>53.103487</v>
      </c>
      <c r="Y158" s="31" t="n">
        <v>1248.594</v>
      </c>
      <c r="Z158" s="39">
        <f>IFERROR(Y158/G158,0)</f>
        <v/>
      </c>
      <c r="AA158" s="35">
        <f>Y158-K158/1.06</f>
        <v/>
      </c>
      <c r="AB158" s="39">
        <f>IFERROR(AA158/G158,0)</f>
        <v/>
      </c>
      <c r="AC158" s="31" t="n">
        <v>-147.972484</v>
      </c>
      <c r="AD158" s="39">
        <f>IFERROR(AC158/G158,0)</f>
        <v/>
      </c>
    </row>
    <row r="159">
      <c r="A159" s="27" t="inlineStr">
        <is>
          <t>6.29-7.5</t>
        </is>
      </c>
      <c r="B159" s="27" t="inlineStr">
        <is>
          <t>6.29-7.5</t>
        </is>
      </c>
      <c r="C159" s="34" t="n">
        <v>648598580775</v>
      </c>
      <c r="D159" s="27" t="inlineStr">
        <is>
          <t>15包</t>
        </is>
      </c>
      <c r="E159" s="27" t="inlineStr">
        <is>
          <t>进口营多捞面15包Indomie方便面干拌面夜宵方便速食五连包85g*5</t>
        </is>
      </c>
      <c r="F159" s="31" t="n">
        <v>2542.28</v>
      </c>
      <c r="G159" s="35">
        <f>IFERROR(F159/1.13,0)</f>
        <v/>
      </c>
      <c r="H159" s="36" t="n">
        <v>70</v>
      </c>
      <c r="I159" s="37" t="n">
        <v>0.01984689537850865</v>
      </c>
      <c r="J159" s="38">
        <f>IFERROR(F159/H159,0)</f>
        <v/>
      </c>
      <c r="K159" s="31" t="n">
        <v>499.778344201871</v>
      </c>
      <c r="L159" s="31" t="n">
        <v>2259.24984406011</v>
      </c>
      <c r="M159" s="38">
        <f>IFERROR(L159/K159,0)</f>
        <v/>
      </c>
      <c r="N159" s="31" t="n">
        <v>37.9534165012759</v>
      </c>
      <c r="O159" s="31" t="n">
        <v>104.973405160193</v>
      </c>
      <c r="P159" s="38">
        <f>IFERROR(O159/N159,0)</f>
        <v/>
      </c>
      <c r="Q159" s="31" t="n">
        <v>537.731761</v>
      </c>
      <c r="R159" s="31" t="n">
        <v>2364.223249</v>
      </c>
      <c r="S159" s="38">
        <f>IFERROR(R159/Q159,0)</f>
        <v/>
      </c>
      <c r="T159" s="39">
        <f>IFERROR(Q159/SUMIF($A:$A,A159,$Q:$Q),0)</f>
        <v/>
      </c>
      <c r="U159" s="39">
        <f>IFERROR(Q159/F159,0)</f>
        <v/>
      </c>
      <c r="V159" s="35">
        <f>F159-R159</f>
        <v/>
      </c>
      <c r="W159" s="39">
        <f>IFERROR(V159/F159,0)</f>
        <v/>
      </c>
      <c r="X159" s="29" t="n">
        <v>38.721293</v>
      </c>
      <c r="Y159" s="31" t="n">
        <v>426.402</v>
      </c>
      <c r="Z159" s="39">
        <f>IFERROR(Y159/G159,0)</f>
        <v/>
      </c>
      <c r="AA159" s="35">
        <f>Y159-K159/1.06</f>
        <v/>
      </c>
      <c r="AB159" s="39">
        <f>IFERROR(AA159/G159,0)</f>
        <v/>
      </c>
      <c r="AC159" s="31" t="n">
        <v>-117.421635</v>
      </c>
      <c r="AD159" s="39">
        <f>IFERROR(AC159/G159,0)</f>
        <v/>
      </c>
    </row>
    <row r="160">
      <c r="A160" s="27" t="inlineStr">
        <is>
          <t>6.29-7.5</t>
        </is>
      </c>
      <c r="B160" s="27" t="inlineStr">
        <is>
          <t>6.29-7.5</t>
        </is>
      </c>
      <c r="C160" s="34" t="n">
        <v>649014937782</v>
      </c>
      <c r="D160" s="27" t="inlineStr">
        <is>
          <t>24包</t>
        </is>
      </c>
      <c r="E160" s="27" t="inlineStr">
        <is>
          <t>印尼营多捞面干拌面一整箱24袋装批发泡面宿舍速食方便面火鸡面</t>
        </is>
      </c>
      <c r="F160" s="31" t="n">
        <v>3441.28</v>
      </c>
      <c r="G160" s="35">
        <f>IFERROR(F160/1.13,0)</f>
        <v/>
      </c>
      <c r="H160" s="36" t="n">
        <v>62</v>
      </c>
      <c r="I160" s="37" t="n">
        <v>0.01757867876382194</v>
      </c>
      <c r="J160" s="38">
        <f>IFERROR(F160/H160,0)</f>
        <v/>
      </c>
      <c r="K160" s="31" t="n">
        <v>785.661962007372</v>
      </c>
      <c r="L160" s="31" t="n">
        <v>2960.84271902467</v>
      </c>
      <c r="M160" s="38">
        <f>IFERROR(L160/K160,0)</f>
        <v/>
      </c>
      <c r="N160" s="31" t="n">
        <v>33.6158831868443</v>
      </c>
      <c r="O160" s="31" t="n">
        <v>92.97644457045649</v>
      </c>
      <c r="P160" s="38">
        <f>IFERROR(O160/N160,0)</f>
        <v/>
      </c>
      <c r="Q160" s="31" t="n">
        <v>819.277845</v>
      </c>
      <c r="R160" s="31" t="n">
        <v>3053.819164</v>
      </c>
      <c r="S160" s="38">
        <f>IFERROR(R160/Q160,0)</f>
        <v/>
      </c>
      <c r="T160" s="39">
        <f>IFERROR(Q160/SUMIF($A:$A,A160,$Q:$Q),0)</f>
        <v/>
      </c>
      <c r="U160" s="39">
        <f>IFERROR(Q160/F160,0)</f>
        <v/>
      </c>
      <c r="V160" s="35">
        <f>F160-R160</f>
        <v/>
      </c>
      <c r="W160" s="39">
        <f>IFERROR(V160/F160,0)</f>
        <v/>
      </c>
      <c r="X160" s="29" t="n">
        <v>34.296002</v>
      </c>
      <c r="Y160" s="31" t="n">
        <v>641.439</v>
      </c>
      <c r="Z160" s="39">
        <f>IFERROR(Y160/G160,0)</f>
        <v/>
      </c>
      <c r="AA160" s="35">
        <f>Y160-K160/1.06</f>
        <v/>
      </c>
      <c r="AB160" s="39">
        <f>IFERROR(AA160/G160,0)</f>
        <v/>
      </c>
      <c r="AC160" s="31" t="n">
        <v>-163.819347</v>
      </c>
      <c r="AD160" s="39">
        <f>IFERROR(AC160/G160,0)</f>
        <v/>
      </c>
    </row>
    <row r="161">
      <c r="A161" s="27" t="inlineStr">
        <is>
          <t>6.29-7.5</t>
        </is>
      </c>
      <c r="B161" s="27" t="inlineStr">
        <is>
          <t>6.29-7.5</t>
        </is>
      </c>
      <c r="C161" s="34" t="n">
        <v>1013887677295</v>
      </c>
      <c r="D161" s="27" t="inlineStr">
        <is>
          <t>混搭5杯</t>
        </is>
      </c>
      <c r="E161" s="27" t="inlineStr">
        <is>
          <t>进口营多原味杯面日式杯面韩式杯面泡面方便面汤面宿舍速食夜宵</t>
        </is>
      </c>
      <c r="F161" s="31" t="n">
        <v>1690.96</v>
      </c>
      <c r="G161" s="35">
        <f>IFERROR(F161/1.13,0)</f>
        <v/>
      </c>
      <c r="H161" s="36" t="n">
        <v>62</v>
      </c>
      <c r="I161" s="37" t="n">
        <v>0.01757867876382194</v>
      </c>
      <c r="J161" s="38">
        <f>IFERROR(F161/H161,0)</f>
        <v/>
      </c>
      <c r="K161" s="31" t="n">
        <v>273.021962007372</v>
      </c>
      <c r="L161" s="31" t="n">
        <v>1797.59271902467</v>
      </c>
      <c r="M161" s="38">
        <f>IFERROR(L161/K161,0)</f>
        <v/>
      </c>
      <c r="N161" s="31" t="n">
        <v>33.6158831868443</v>
      </c>
      <c r="O161" s="31" t="n">
        <v>92.97644457045649</v>
      </c>
      <c r="P161" s="38">
        <f>IFERROR(O161/N161,0)</f>
        <v/>
      </c>
      <c r="Q161" s="31" t="n">
        <v>306.637845</v>
      </c>
      <c r="R161" s="31" t="n">
        <v>1890.569164</v>
      </c>
      <c r="S161" s="38">
        <f>IFERROR(R161/Q161,0)</f>
        <v/>
      </c>
      <c r="T161" s="39">
        <f>IFERROR(Q161/SUMIF($A:$A,A161,$Q:$Q),0)</f>
        <v/>
      </c>
      <c r="U161" s="39">
        <f>IFERROR(Q161/F161,0)</f>
        <v/>
      </c>
      <c r="V161" s="35">
        <f>F161-R161</f>
        <v/>
      </c>
      <c r="W161" s="39">
        <f>IFERROR(V161/F161,0)</f>
        <v/>
      </c>
      <c r="X161" s="29" t="n">
        <v>34.296002</v>
      </c>
      <c r="Y161" s="31" t="n">
        <v>214.279</v>
      </c>
      <c r="Z161" s="39">
        <f>IFERROR(Y161/G161,0)</f>
        <v/>
      </c>
      <c r="AA161" s="35">
        <f>Y161-K161/1.06</f>
        <v/>
      </c>
      <c r="AB161" s="39">
        <f>IFERROR(AA161/G161,0)</f>
        <v/>
      </c>
      <c r="AC161" s="31" t="n">
        <v>-107.356705</v>
      </c>
      <c r="AD161" s="39">
        <f>IFERROR(AC161/G161,0)</f>
        <v/>
      </c>
    </row>
    <row r="162">
      <c r="A162" s="27" t="inlineStr">
        <is>
          <t>6.29-7.5</t>
        </is>
      </c>
      <c r="B162" s="27" t="inlineStr">
        <is>
          <t>6.29-7.5</t>
        </is>
      </c>
      <c r="C162" s="34" t="n">
        <v>1058280415678</v>
      </c>
      <c r="D162" s="27" t="inlineStr">
        <is>
          <t>原味大包</t>
        </is>
      </c>
      <c r="E162" s="27" t="inlineStr">
        <is>
          <t>印尼进口大大包营多原味捞面5包干拌面速食超大包方便面速食宵夜</t>
        </is>
      </c>
      <c r="F162" s="31" t="n">
        <v>1586.68</v>
      </c>
      <c r="G162" s="35">
        <f>IFERROR(F162/1.13,0)</f>
        <v/>
      </c>
      <c r="H162" s="36" t="n">
        <v>60</v>
      </c>
      <c r="I162" s="37" t="n">
        <v>0.01701162461015027</v>
      </c>
      <c r="J162" s="38">
        <f>IFERROR(F162/H162,0)</f>
        <v/>
      </c>
      <c r="K162" s="31" t="n">
        <v>273.362866458747</v>
      </c>
      <c r="L162" s="31" t="n">
        <v>1695.50843776581</v>
      </c>
      <c r="M162" s="38">
        <f>IFERROR(L162/K162,0)</f>
        <v/>
      </c>
      <c r="N162" s="31" t="n">
        <v>32.5314998582365</v>
      </c>
      <c r="O162" s="31" t="n">
        <v>89.9772044230224</v>
      </c>
      <c r="P162" s="38">
        <f>IFERROR(O162/N162,0)</f>
        <v/>
      </c>
      <c r="Q162" s="31" t="n">
        <v>305.894366</v>
      </c>
      <c r="R162" s="31" t="n">
        <v>1785.485642</v>
      </c>
      <c r="S162" s="38">
        <f>IFERROR(R162/Q162,0)</f>
        <v/>
      </c>
      <c r="T162" s="39">
        <f>IFERROR(Q162/SUMIF($A:$A,A162,$Q:$Q),0)</f>
        <v/>
      </c>
      <c r="U162" s="39">
        <f>IFERROR(Q162/F162,0)</f>
        <v/>
      </c>
      <c r="V162" s="35">
        <f>F162-R162</f>
        <v/>
      </c>
      <c r="W162" s="39">
        <f>IFERROR(V162/F162,0)</f>
        <v/>
      </c>
      <c r="X162" s="29" t="n">
        <v>33.18968</v>
      </c>
      <c r="Y162" s="31" t="n">
        <v>338.05</v>
      </c>
      <c r="Z162" s="39">
        <f>IFERROR(Y162/G162,0)</f>
        <v/>
      </c>
      <c r="AA162" s="35">
        <f>Y162-K162/1.06</f>
        <v/>
      </c>
      <c r="AB162" s="39">
        <f>IFERROR(AA162/G162,0)</f>
        <v/>
      </c>
      <c r="AC162" s="31" t="n">
        <v>18.159391</v>
      </c>
      <c r="AD162" s="39">
        <f>IFERROR(AC162/G162,0)</f>
        <v/>
      </c>
    </row>
    <row r="163">
      <c r="A163" s="27" t="inlineStr">
        <is>
          <t>6.29-7.5</t>
        </is>
      </c>
      <c r="B163" s="27" t="inlineStr">
        <is>
          <t>6.29-7.5</t>
        </is>
      </c>
      <c r="C163" s="34" t="n">
        <v>648681860568</v>
      </c>
      <c r="D163" s="27" t="inlineStr">
        <is>
          <t>杯面次链接</t>
        </is>
      </c>
      <c r="E163" s="27" t="inlineStr">
        <is>
          <t>营多捞面杯装方便面泡面速食干拌面原味整箱批发印尼进口桶装拌面</t>
        </is>
      </c>
      <c r="F163" s="31" t="n">
        <v>1932.54</v>
      </c>
      <c r="G163" s="35">
        <f>IFERROR(F163/1.13,0)</f>
        <v/>
      </c>
      <c r="H163" s="36" t="n">
        <v>60</v>
      </c>
      <c r="I163" s="37" t="n">
        <v>0.01701162461015027</v>
      </c>
      <c r="J163" s="38">
        <f>IFERROR(F163/H163,0)</f>
        <v/>
      </c>
      <c r="K163" s="31" t="n">
        <v>156.332866458747</v>
      </c>
      <c r="L163" s="31" t="n">
        <v>1033.30843776581</v>
      </c>
      <c r="M163" s="38">
        <f>IFERROR(L163/K163,0)</f>
        <v/>
      </c>
      <c r="N163" s="31" t="n">
        <v>32.5314998582365</v>
      </c>
      <c r="O163" s="31" t="n">
        <v>89.9772044230224</v>
      </c>
      <c r="P163" s="38">
        <f>IFERROR(O163/N163,0)</f>
        <v/>
      </c>
      <c r="Q163" s="31" t="n">
        <v>188.864366</v>
      </c>
      <c r="R163" s="31" t="n">
        <v>1123.285642</v>
      </c>
      <c r="S163" s="38">
        <f>IFERROR(R163/Q163,0)</f>
        <v/>
      </c>
      <c r="T163" s="39">
        <f>IFERROR(Q163/SUMIF($A:$A,A163,$Q:$Q),0)</f>
        <v/>
      </c>
      <c r="U163" s="39">
        <f>IFERROR(Q163/F163,0)</f>
        <v/>
      </c>
      <c r="V163" s="35">
        <f>F163-R163</f>
        <v/>
      </c>
      <c r="W163" s="39">
        <f>IFERROR(V163/F163,0)</f>
        <v/>
      </c>
      <c r="X163" s="29" t="n">
        <v>33.18968</v>
      </c>
      <c r="Y163" s="31" t="n">
        <v>256.248</v>
      </c>
      <c r="Z163" s="39">
        <f>IFERROR(Y163/G163,0)</f>
        <v/>
      </c>
      <c r="AA163" s="35">
        <f>Y163-K163/1.06</f>
        <v/>
      </c>
      <c r="AB163" s="39">
        <f>IFERROR(AA163/G163,0)</f>
        <v/>
      </c>
      <c r="AC163" s="31" t="n">
        <v>46.763051</v>
      </c>
      <c r="AD163" s="39">
        <f>IFERROR(AC163/G163,0)</f>
        <v/>
      </c>
    </row>
    <row r="164">
      <c r="A164" s="27" t="inlineStr">
        <is>
          <t>6.29-7.5</t>
        </is>
      </c>
      <c r="B164" s="27" t="inlineStr">
        <is>
          <t>6.29-7.5</t>
        </is>
      </c>
      <c r="C164" s="34" t="n">
        <v>1060999732877</v>
      </c>
      <c r="D164" s="27" t="inlineStr">
        <is>
          <t>原味大包</t>
        </is>
      </c>
      <c r="E164" s="27" t="inlineStr">
        <is>
          <t>indomie印尼进口营多原味大大包129g捞面方便面速食食品宵夜小吃</t>
        </is>
      </c>
      <c r="F164" s="31" t="n">
        <v>1326.4</v>
      </c>
      <c r="G164" s="35">
        <f>IFERROR(F164/1.13,0)</f>
        <v/>
      </c>
      <c r="H164" s="36" t="n">
        <v>46</v>
      </c>
      <c r="I164" s="37" t="n">
        <v>0.01304224553444854</v>
      </c>
      <c r="J164" s="38">
        <f>IFERROR(F164/H164,0)</f>
        <v/>
      </c>
      <c r="K164" s="31" t="n">
        <v>282.679197618373</v>
      </c>
      <c r="L164" s="31" t="n">
        <v>1585.39846895378</v>
      </c>
      <c r="M164" s="38">
        <f>IFERROR(L164/K164,0)</f>
        <v/>
      </c>
      <c r="N164" s="31" t="n">
        <v>24.9408165579813</v>
      </c>
      <c r="O164" s="31" t="n">
        <v>68.9825233909838</v>
      </c>
      <c r="P164" s="38">
        <f>IFERROR(O164/N164,0)</f>
        <v/>
      </c>
      <c r="Q164" s="31" t="n">
        <v>307.620014</v>
      </c>
      <c r="R164" s="31" t="n">
        <v>1654.380992</v>
      </c>
      <c r="S164" s="38">
        <f>IFERROR(R164/Q164,0)</f>
        <v/>
      </c>
      <c r="T164" s="39">
        <f>IFERROR(Q164/SUMIF($A:$A,A164,$Q:$Q),0)</f>
        <v/>
      </c>
      <c r="U164" s="39">
        <f>IFERROR(Q164/F164,0)</f>
        <v/>
      </c>
      <c r="V164" s="35">
        <f>F164-R164</f>
        <v/>
      </c>
      <c r="W164" s="39">
        <f>IFERROR(V164/F164,0)</f>
        <v/>
      </c>
      <c r="X164" s="29" t="n">
        <v>25.445421</v>
      </c>
      <c r="Y164" s="31" t="n">
        <v>286.498</v>
      </c>
      <c r="Z164" s="39">
        <f>IFERROR(Y164/G164,0)</f>
        <v/>
      </c>
      <c r="AA164" s="35">
        <f>Y164-K164/1.06</f>
        <v/>
      </c>
      <c r="AB164" s="39">
        <f>IFERROR(AA164/G164,0)</f>
        <v/>
      </c>
      <c r="AC164" s="31" t="n">
        <v>-27.714675</v>
      </c>
      <c r="AD164" s="39">
        <f>IFERROR(AC164/G164,0)</f>
        <v/>
      </c>
    </row>
    <row r="165">
      <c r="A165" s="27" t="inlineStr">
        <is>
          <t>6.29-7.5</t>
        </is>
      </c>
      <c r="B165" s="27" t="inlineStr">
        <is>
          <t>6.29-7.5</t>
        </is>
      </c>
      <c r="C165" s="34" t="n">
        <v>1059563993918</v>
      </c>
      <c r="D165" s="27" t="inlineStr">
        <is>
          <t>巴东牛肉</t>
        </is>
      </c>
      <c r="E165" s="27" t="inlineStr">
        <is>
          <t>营多进口新口味巴东炖牛肉味捞面印尼料理方便面泡面捞面夜宵速食</t>
        </is>
      </c>
      <c r="F165" s="31" t="n">
        <v>620.6799999999999</v>
      </c>
      <c r="G165" s="35">
        <f>IFERROR(F165/1.13,0)</f>
        <v/>
      </c>
      <c r="H165" s="36" t="n">
        <v>40</v>
      </c>
      <c r="I165" s="37" t="n">
        <v>0.01134108307343351</v>
      </c>
      <c r="J165" s="38">
        <f>IFERROR(F165/H165,0)</f>
        <v/>
      </c>
      <c r="K165" s="31" t="n">
        <v>232.981910972498</v>
      </c>
      <c r="L165" s="31" t="n">
        <v>924.205625177204</v>
      </c>
      <c r="M165" s="38">
        <f>IFERROR(L165/K165,0)</f>
        <v/>
      </c>
      <c r="N165" s="31" t="n">
        <v>21.6876665721576</v>
      </c>
      <c r="O165" s="31" t="n">
        <v>59.9848029486816</v>
      </c>
      <c r="P165" s="38">
        <f>IFERROR(O165/N165,0)</f>
        <v/>
      </c>
      <c r="Q165" s="31" t="n">
        <v>254.669578</v>
      </c>
      <c r="R165" s="31" t="n">
        <v>984.190428</v>
      </c>
      <c r="S165" s="38">
        <f>IFERROR(R165/Q165,0)</f>
        <v/>
      </c>
      <c r="T165" s="39">
        <f>IFERROR(Q165/SUMIF($A:$A,A165,$Q:$Q),0)</f>
        <v/>
      </c>
      <c r="U165" s="39">
        <f>IFERROR(Q165/F165,0)</f>
        <v/>
      </c>
      <c r="V165" s="35">
        <f>F165-R165</f>
        <v/>
      </c>
      <c r="W165" s="39">
        <f>IFERROR(V165/F165,0)</f>
        <v/>
      </c>
      <c r="X165" s="29" t="n">
        <v>22.126453</v>
      </c>
      <c r="Y165" s="31" t="n">
        <v>54.642</v>
      </c>
      <c r="Z165" s="39">
        <f>IFERROR(Y165/G165,0)</f>
        <v/>
      </c>
      <c r="AA165" s="35">
        <f>Y165-K165/1.06</f>
        <v/>
      </c>
      <c r="AB165" s="39">
        <f>IFERROR(AA165/G165,0)</f>
        <v/>
      </c>
      <c r="AC165" s="31" t="n">
        <v>-206.486331</v>
      </c>
      <c r="AD165" s="39">
        <f>IFERROR(AC165/G165,0)</f>
        <v/>
      </c>
    </row>
    <row r="166">
      <c r="A166" s="27" t="inlineStr">
        <is>
          <t>6.29-7.5</t>
        </is>
      </c>
      <c r="B166" s="27" t="inlineStr">
        <is>
          <t>6.29-7.5</t>
        </is>
      </c>
      <c r="C166" s="34" t="n">
        <v>929504658691</v>
      </c>
      <c r="D166" s="27" t="inlineStr">
        <is>
          <t>日式袋面</t>
        </is>
      </c>
      <c r="E166" s="27" t="inlineStr">
        <is>
          <t>营多捞面日式鸡肉汤面原味辛辣味袋装泡面方便面速食宿舍夜宵食品</t>
        </is>
      </c>
      <c r="F166" s="31" t="n">
        <v>895.63</v>
      </c>
      <c r="G166" s="35">
        <f>IFERROR(F166/1.13,0)</f>
        <v/>
      </c>
      <c r="H166" s="36" t="n">
        <v>37</v>
      </c>
      <c r="I166" s="37" t="n">
        <v>0.010490501842926</v>
      </c>
      <c r="J166" s="38">
        <f>IFERROR(F166/H166,0)</f>
        <v/>
      </c>
      <c r="K166" s="31" t="n">
        <v>327.318267649561</v>
      </c>
      <c r="L166" s="31" t="n">
        <v>1017.00920328891</v>
      </c>
      <c r="M166" s="38">
        <f>IFERROR(L166/K166,0)</f>
        <v/>
      </c>
      <c r="N166" s="31" t="n">
        <v>20.0610915792458</v>
      </c>
      <c r="O166" s="31" t="n">
        <v>55.4859427275305</v>
      </c>
      <c r="P166" s="38">
        <f>IFERROR(O166/N166,0)</f>
        <v/>
      </c>
      <c r="Q166" s="31" t="n">
        <v>347.379359</v>
      </c>
      <c r="R166" s="31" t="n">
        <v>1072.495146</v>
      </c>
      <c r="S166" s="38">
        <f>IFERROR(R166/Q166,0)</f>
        <v/>
      </c>
      <c r="T166" s="39">
        <f>IFERROR(Q166/SUMIF($A:$A,A166,$Q:$Q),0)</f>
        <v/>
      </c>
      <c r="U166" s="39">
        <f>IFERROR(Q166/F166,0)</f>
        <v/>
      </c>
      <c r="V166" s="35">
        <f>F166-R166</f>
        <v/>
      </c>
      <c r="W166" s="39">
        <f>IFERROR(V166/F166,0)</f>
        <v/>
      </c>
      <c r="X166" s="29" t="n">
        <v>20.466969</v>
      </c>
      <c r="Y166" s="31" t="n">
        <v>153.236</v>
      </c>
      <c r="Z166" s="39">
        <f>IFERROR(Y166/G166,0)</f>
        <v/>
      </c>
      <c r="AA166" s="35">
        <f>Y166-K166/1.06</f>
        <v/>
      </c>
      <c r="AB166" s="39">
        <f>IFERROR(AA166/G166,0)</f>
        <v/>
      </c>
      <c r="AC166" s="31" t="n">
        <v>-193.788838</v>
      </c>
      <c r="AD166" s="39">
        <f>IFERROR(AC166/G166,0)</f>
        <v/>
      </c>
    </row>
    <row r="167">
      <c r="A167" s="27" t="inlineStr">
        <is>
          <t>6.29-7.5</t>
        </is>
      </c>
      <c r="B167" s="27" t="inlineStr">
        <is>
          <t>6.29-7.5</t>
        </is>
      </c>
      <c r="C167" s="34" t="n">
        <v>766165464414</v>
      </c>
      <c r="D167" s="27" t="inlineStr">
        <is>
          <t>12包</t>
        </is>
      </c>
      <c r="E167" s="27" t="inlineStr">
        <is>
          <t>营多印尼进口营多捞面方便面火鸡面干拌面12包宿舍速食泡面夜宵</t>
        </is>
      </c>
      <c r="F167" s="31" t="n">
        <v>950.75</v>
      </c>
      <c r="G167" s="35">
        <f>IFERROR(F167/1.13,0)</f>
        <v/>
      </c>
      <c r="H167" s="36" t="n">
        <v>32</v>
      </c>
      <c r="I167" s="37" t="n">
        <v>0.00907286645874681</v>
      </c>
      <c r="J167" s="38">
        <f>IFERROR(F167/H167,0)</f>
        <v/>
      </c>
      <c r="K167" s="31" t="n">
        <v>37.4555287779983</v>
      </c>
      <c r="L167" s="31" t="n">
        <v>305.068500141763</v>
      </c>
      <c r="M167" s="38">
        <f>IFERROR(L167/K167,0)</f>
        <v/>
      </c>
      <c r="N167" s="31" t="n">
        <v>17.3501332577261</v>
      </c>
      <c r="O167" s="31" t="n">
        <v>47.9878423589453</v>
      </c>
      <c r="P167" s="38">
        <f>IFERROR(O167/N167,0)</f>
        <v/>
      </c>
      <c r="Q167" s="31" t="n">
        <v>54.805662</v>
      </c>
      <c r="R167" s="31" t="n">
        <v>353.056343</v>
      </c>
      <c r="S167" s="38">
        <f>IFERROR(R167/Q167,0)</f>
        <v/>
      </c>
      <c r="T167" s="39">
        <f>IFERROR(Q167/SUMIF($A:$A,A167,$Q:$Q),0)</f>
        <v/>
      </c>
      <c r="U167" s="39">
        <f>IFERROR(Q167/F167,0)</f>
        <v/>
      </c>
      <c r="V167" s="35">
        <f>F167-R167</f>
        <v/>
      </c>
      <c r="W167" s="39">
        <f>IFERROR(V167/F167,0)</f>
        <v/>
      </c>
      <c r="X167" s="29" t="n">
        <v>17.701162</v>
      </c>
      <c r="Y167" s="31" t="n">
        <v>133.384</v>
      </c>
      <c r="Z167" s="39">
        <f>IFERROR(Y167/G167,0)</f>
        <v/>
      </c>
      <c r="AA167" s="35">
        <f>Y167-K167/1.06</f>
        <v/>
      </c>
      <c r="AB167" s="39">
        <f>IFERROR(AA167/G167,0)</f>
        <v/>
      </c>
      <c r="AC167" s="31" t="n">
        <v>64.981335</v>
      </c>
      <c r="AD167" s="39">
        <f>IFERROR(AC167/G167,0)</f>
        <v/>
      </c>
    </row>
    <row r="168">
      <c r="A168" s="27" t="inlineStr">
        <is>
          <t>6.29-7.5</t>
        </is>
      </c>
      <c r="B168" s="27" t="inlineStr">
        <is>
          <t>6.29-7.5</t>
        </is>
      </c>
      <c r="C168" s="34" t="n">
        <v>735014804839</v>
      </c>
      <c r="D168" s="27" t="inlineStr">
        <is>
          <t>24/30包</t>
        </is>
      </c>
      <c r="E168" s="27" t="inlineStr">
        <is>
          <t>进口营多捞面多口味Indomie网红方便面干拌面泡面30包整箱批发面</t>
        </is>
      </c>
      <c r="F168" s="31" t="n">
        <v>1825.52</v>
      </c>
      <c r="G168" s="35">
        <f>IFERROR(F168/1.13,0)</f>
        <v/>
      </c>
      <c r="H168" s="36" t="n">
        <v>27</v>
      </c>
      <c r="I168" s="37" t="n">
        <v>0.007655231074567621</v>
      </c>
      <c r="J168" s="38">
        <f>IFERROR(F168/H168,0)</f>
        <v/>
      </c>
      <c r="K168" s="31" t="n">
        <v>309.442789906436</v>
      </c>
      <c r="L168" s="31" t="n">
        <v>1586.51779699461</v>
      </c>
      <c r="M168" s="38">
        <f>IFERROR(L168/K168,0)</f>
        <v/>
      </c>
      <c r="N168" s="31" t="n">
        <v>14.6391749362064</v>
      </c>
      <c r="O168" s="31" t="n">
        <v>40.4897419903601</v>
      </c>
      <c r="P168" s="38">
        <f>IFERROR(O168/N168,0)</f>
        <v/>
      </c>
      <c r="Q168" s="31" t="n">
        <v>324.081965</v>
      </c>
      <c r="R168" s="31" t="n">
        <v>1627.007539</v>
      </c>
      <c r="S168" s="38">
        <f>IFERROR(R168/Q168,0)</f>
        <v/>
      </c>
      <c r="T168" s="39">
        <f>IFERROR(Q168/SUMIF($A:$A,A168,$Q:$Q),0)</f>
        <v/>
      </c>
      <c r="U168" s="39">
        <f>IFERROR(Q168/F168,0)</f>
        <v/>
      </c>
      <c r="V168" s="35">
        <f>F168-R168</f>
        <v/>
      </c>
      <c r="W168" s="39">
        <f>IFERROR(V168/F168,0)</f>
        <v/>
      </c>
      <c r="X168" s="29" t="n">
        <v>14.935356</v>
      </c>
      <c r="Y168" s="31" t="n">
        <v>344.746</v>
      </c>
      <c r="Z168" s="39">
        <f>IFERROR(Y168/G168,0)</f>
        <v/>
      </c>
      <c r="AA168" s="35">
        <f>Y168-K168/1.06</f>
        <v/>
      </c>
      <c r="AB168" s="39">
        <f>IFERROR(AA168/G168,0)</f>
        <v/>
      </c>
      <c r="AC168" s="31" t="n">
        <v>24.918339</v>
      </c>
      <c r="AD168" s="39">
        <f>IFERROR(AC168/G168,0)</f>
        <v/>
      </c>
    </row>
    <row r="169">
      <c r="A169" s="27" t="inlineStr">
        <is>
          <t>6.29-7.5</t>
        </is>
      </c>
      <c r="B169" s="27" t="inlineStr">
        <is>
          <t>6.29-7.5</t>
        </is>
      </c>
      <c r="C169" s="34" t="n">
        <v>744317232690</v>
      </c>
      <c r="D169" s="27" t="inlineStr">
        <is>
          <t>多规格</t>
        </is>
      </c>
      <c r="E169" s="27" t="inlineStr">
        <is>
          <t>营多捞面汤面清香牛肉味方便面泡面速食食品泡面拉面整箱旅行宿舍</t>
        </is>
      </c>
      <c r="F169" s="31" t="n">
        <v>466.72</v>
      </c>
      <c r="G169" s="35">
        <f>IFERROR(F169/1.13,0)</f>
        <v/>
      </c>
      <c r="H169" s="36" t="n">
        <v>24</v>
      </c>
      <c r="I169" s="37" t="n">
        <v>0.006804649844060108</v>
      </c>
      <c r="J169" s="38">
        <f>IFERROR(F169/H169,0)</f>
        <v/>
      </c>
      <c r="K169" s="31" t="n">
        <v>85.0791465834987</v>
      </c>
      <c r="L169" s="31" t="n">
        <v>483.441375106322</v>
      </c>
      <c r="M169" s="38">
        <f>IFERROR(L169/K169,0)</f>
        <v/>
      </c>
      <c r="N169" s="31" t="n">
        <v>13.0125999432946</v>
      </c>
      <c r="O169" s="31" t="n">
        <v>35.990881769209</v>
      </c>
      <c r="P169" s="38">
        <f>IFERROR(O169/N169,0)</f>
        <v/>
      </c>
      <c r="Q169" s="31" t="n">
        <v>98.091747</v>
      </c>
      <c r="R169" s="31" t="n">
        <v>519.432257</v>
      </c>
      <c r="S169" s="38">
        <f>IFERROR(R169/Q169,0)</f>
        <v/>
      </c>
      <c r="T169" s="39">
        <f>IFERROR(Q169/SUMIF($A:$A,A169,$Q:$Q),0)</f>
        <v/>
      </c>
      <c r="U169" s="39">
        <f>IFERROR(Q169/F169,0)</f>
        <v/>
      </c>
      <c r="V169" s="35">
        <f>F169-R169</f>
        <v/>
      </c>
      <c r="W169" s="39">
        <f>IFERROR(V169/F169,0)</f>
        <v/>
      </c>
      <c r="X169" s="29" t="n">
        <v>13.275872</v>
      </c>
      <c r="Y169" s="31" t="n">
        <v>44.055</v>
      </c>
      <c r="Z169" s="39">
        <f>IFERROR(Y169/G169,0)</f>
        <v/>
      </c>
      <c r="AA169" s="35">
        <f>Y169-K169/1.06</f>
        <v/>
      </c>
      <c r="AB169" s="39">
        <f>IFERROR(AA169/G169,0)</f>
        <v/>
      </c>
      <c r="AC169" s="31" t="n">
        <v>-61.008791</v>
      </c>
      <c r="AD169" s="39">
        <f>IFERROR(AC169/G169,0)</f>
        <v/>
      </c>
    </row>
    <row r="170">
      <c r="A170" s="27" t="inlineStr">
        <is>
          <t>6.29-7.5</t>
        </is>
      </c>
      <c r="B170" s="27" t="inlineStr">
        <is>
          <t>6.29-7.5</t>
        </is>
      </c>
      <c r="C170" s="34" t="n">
        <v>971242260371</v>
      </c>
      <c r="D170" s="27" t="inlineStr">
        <is>
          <t>韩式袋面</t>
        </is>
      </c>
      <c r="E170" s="27" t="inlineStr">
        <is>
          <t>新品营多捞面韩式辣蘑菇汤面泡面方便面速食干拌面宿舍宵夜旅行</t>
        </is>
      </c>
      <c r="F170" s="31" t="n">
        <v>487.46</v>
      </c>
      <c r="G170" s="35">
        <f>IFERROR(F170/1.13,0)</f>
        <v/>
      </c>
      <c r="H170" s="36" t="n">
        <v>23</v>
      </c>
      <c r="I170" s="37" t="n">
        <v>0.00652112276722427</v>
      </c>
      <c r="J170" s="38">
        <f>IFERROR(F170/H170,0)</f>
        <v/>
      </c>
      <c r="K170" s="31" t="n">
        <v>126.084598809186</v>
      </c>
      <c r="L170" s="31" t="n">
        <v>661.5192344768921</v>
      </c>
      <c r="M170" s="38">
        <f>IFERROR(L170/K170,0)</f>
        <v/>
      </c>
      <c r="N170" s="31" t="n">
        <v>12.4704082789906</v>
      </c>
      <c r="O170" s="31" t="n">
        <v>34.4912616954919</v>
      </c>
      <c r="P170" s="38">
        <f>IFERROR(O170/N170,0)</f>
        <v/>
      </c>
      <c r="Q170" s="31" t="n">
        <v>138.555007</v>
      </c>
      <c r="R170" s="31" t="n">
        <v>696.010496</v>
      </c>
      <c r="S170" s="38">
        <f>IFERROR(R170/Q170,0)</f>
        <v/>
      </c>
      <c r="T170" s="39">
        <f>IFERROR(Q170/SUMIF($A:$A,A170,$Q:$Q),0)</f>
        <v/>
      </c>
      <c r="U170" s="39">
        <f>IFERROR(Q170/F170,0)</f>
        <v/>
      </c>
      <c r="V170" s="35">
        <f>F170-R170</f>
        <v/>
      </c>
      <c r="W170" s="39">
        <f>IFERROR(V170/F170,0)</f>
        <v/>
      </c>
      <c r="X170" s="29" t="n">
        <v>12.722711</v>
      </c>
      <c r="Y170" s="31" t="n">
        <v>94.297</v>
      </c>
      <c r="Z170" s="39">
        <f>IFERROR(Y170/G170,0)</f>
        <v/>
      </c>
      <c r="AA170" s="35">
        <f>Y170-K170/1.06</f>
        <v/>
      </c>
      <c r="AB170" s="39">
        <f>IFERROR(AA170/G170,0)</f>
        <v/>
      </c>
      <c r="AC170" s="31" t="n">
        <v>-48.417828</v>
      </c>
      <c r="AD170" s="39">
        <f>IFERROR(AC170/G170,0)</f>
        <v/>
      </c>
    </row>
    <row r="171">
      <c r="A171" s="27" t="inlineStr">
        <is>
          <t>6.29-7.5</t>
        </is>
      </c>
      <c r="B171" s="27" t="inlineStr">
        <is>
          <t>6.29-7.5</t>
        </is>
      </c>
      <c r="C171" s="34" t="n">
        <v>886856687067</v>
      </c>
      <c r="D171" s="27" t="inlineStr">
        <is>
          <t>大骨</t>
        </is>
      </c>
      <c r="E171" s="27" t="inlineStr">
        <is>
          <t>营多捞面牛系列大骨牛肉味方便面食品泡面拉面汤面宿舍宵夜旅行</t>
        </is>
      </c>
      <c r="F171" s="31" t="n">
        <v>292.06</v>
      </c>
      <c r="G171" s="35">
        <f>IFERROR(F171/1.13,0)</f>
        <v/>
      </c>
      <c r="H171" s="36" t="n">
        <v>13</v>
      </c>
      <c r="I171" s="37" t="n">
        <v>0.003685851998865892</v>
      </c>
      <c r="J171" s="38">
        <f>IFERROR(F171/H171,0)</f>
        <v/>
      </c>
      <c r="K171" s="31" t="n">
        <v>12.9891210660618</v>
      </c>
      <c r="L171" s="31" t="n">
        <v>171.967828182591</v>
      </c>
      <c r="M171" s="38">
        <f>IFERROR(L171/K171,0)</f>
        <v/>
      </c>
      <c r="N171" s="31" t="n">
        <v>7.04849163595123</v>
      </c>
      <c r="O171" s="31" t="n">
        <v>19.4950609583215</v>
      </c>
      <c r="P171" s="38">
        <f>IFERROR(O171/N171,0)</f>
        <v/>
      </c>
      <c r="Q171" s="31" t="n">
        <v>20.037613</v>
      </c>
      <c r="R171" s="31" t="n">
        <v>191.462889</v>
      </c>
      <c r="S171" s="38">
        <f>IFERROR(R171/Q171,0)</f>
        <v/>
      </c>
      <c r="T171" s="39">
        <f>IFERROR(Q171/SUMIF($A:$A,A171,$Q:$Q),0)</f>
        <v/>
      </c>
      <c r="U171" s="39">
        <f>IFERROR(Q171/F171,0)</f>
        <v/>
      </c>
      <c r="V171" s="35">
        <f>F171-R171</f>
        <v/>
      </c>
      <c r="W171" s="39">
        <f>IFERROR(V171/F171,0)</f>
        <v/>
      </c>
      <c r="X171" s="29" t="n">
        <v>7.191097</v>
      </c>
      <c r="Y171" s="31" t="n">
        <v>29.662</v>
      </c>
      <c r="Z171" s="39">
        <f>IFERROR(Y171/G171,0)</f>
        <v/>
      </c>
      <c r="AA171" s="35">
        <f>Y171-K171/1.06</f>
        <v/>
      </c>
      <c r="AB171" s="39">
        <f>IFERROR(AA171/G171,0)</f>
        <v/>
      </c>
      <c r="AC171" s="31" t="n">
        <v>3.974538</v>
      </c>
      <c r="AD171" s="39">
        <f>IFERROR(AC171/G171,0)</f>
        <v/>
      </c>
    </row>
    <row r="172">
      <c r="A172" s="27" t="inlineStr">
        <is>
          <t>6.29-7.5</t>
        </is>
      </c>
      <c r="B172" s="27" t="inlineStr">
        <is>
          <t>6.29-7.5</t>
        </is>
      </c>
      <c r="C172" s="34" t="n">
        <v>969423151512</v>
      </c>
      <c r="D172" s="27" t="inlineStr">
        <is>
          <t>日韩混搭</t>
        </is>
      </c>
      <c r="E172" s="27" t="inlineStr">
        <is>
          <t>营多捞面甜辣炸鸡火鸡面辣蘑菇泡面方便面速食干拌面宿舍宵夜旅行</t>
        </is>
      </c>
      <c r="F172" s="31" t="n">
        <v>225.51</v>
      </c>
      <c r="G172" s="35">
        <f>IFERROR(F172/1.13,0)</f>
        <v/>
      </c>
      <c r="H172" s="36" t="n">
        <v>12</v>
      </c>
      <c r="I172" s="37" t="n">
        <v>0.003402324922030054</v>
      </c>
      <c r="J172" s="38">
        <f>IFERROR(F172/H172,0)</f>
        <v/>
      </c>
      <c r="K172" s="31" t="n">
        <v>115.384573291749</v>
      </c>
      <c r="L172" s="31" t="n">
        <v>646.385687553161</v>
      </c>
      <c r="M172" s="38">
        <f>IFERROR(L172/K172,0)</f>
        <v/>
      </c>
      <c r="N172" s="31" t="n">
        <v>6.50629997164729</v>
      </c>
      <c r="O172" s="31" t="n">
        <v>17.9954408846045</v>
      </c>
      <c r="P172" s="38">
        <f>IFERROR(O172/N172,0)</f>
        <v/>
      </c>
      <c r="Q172" s="31" t="n">
        <v>121.890873</v>
      </c>
      <c r="R172" s="31" t="n">
        <v>664.381128</v>
      </c>
      <c r="S172" s="38">
        <f>IFERROR(R172/Q172,0)</f>
        <v/>
      </c>
      <c r="T172" s="39">
        <f>IFERROR(Q172/SUMIF($A:$A,A172,$Q:$Q),0)</f>
        <v/>
      </c>
      <c r="U172" s="39">
        <f>IFERROR(Q172/F172,0)</f>
        <v/>
      </c>
      <c r="V172" s="35">
        <f>F172-R172</f>
        <v/>
      </c>
      <c r="W172" s="39">
        <f>IFERROR(V172/F172,0)</f>
        <v/>
      </c>
      <c r="X172" s="29" t="n">
        <v>6.637936</v>
      </c>
      <c r="Y172" s="31" t="n">
        <v>38.073</v>
      </c>
      <c r="Z172" s="39">
        <f>IFERROR(Y172/G172,0)</f>
        <v/>
      </c>
      <c r="AA172" s="35">
        <f>Y172-K172/1.06</f>
        <v/>
      </c>
      <c r="AB172" s="39">
        <f>IFERROR(AA172/G172,0)</f>
        <v/>
      </c>
      <c r="AC172" s="31" t="n">
        <v>-83.180594</v>
      </c>
      <c r="AD172" s="39">
        <f>IFERROR(AC172/G172,0)</f>
        <v/>
      </c>
    </row>
    <row r="173">
      <c r="A173" s="27" t="inlineStr">
        <is>
          <t>6.29-7.5</t>
        </is>
      </c>
      <c r="B173" s="27" t="inlineStr">
        <is>
          <t>6.29-7.5</t>
        </is>
      </c>
      <c r="C173" s="34" t="n">
        <v>903183018417</v>
      </c>
      <c r="D173" s="27" t="inlineStr">
        <is>
          <t>七口味混搭</t>
        </is>
      </c>
      <c r="E173" s="27" t="inlineStr">
        <is>
          <t>进口营多捞面汤面拌面七口味混合方便面速拉面宿舍拌面泡面食食品</t>
        </is>
      </c>
      <c r="F173" s="31" t="n">
        <v>152.88</v>
      </c>
      <c r="G173" s="35">
        <f>IFERROR(F173/1.13,0)</f>
        <v/>
      </c>
      <c r="H173" s="36" t="n">
        <v>8</v>
      </c>
      <c r="I173" s="37" t="n">
        <v>0.002268216614686703</v>
      </c>
      <c r="J173" s="38">
        <f>IFERROR(F173/H173,0)</f>
        <v/>
      </c>
      <c r="K173" s="31" t="n">
        <v>13.6563821944996</v>
      </c>
      <c r="L173" s="31" t="n">
        <v>43.4571250354408</v>
      </c>
      <c r="M173" s="38">
        <f>IFERROR(L173/K173,0)</f>
        <v/>
      </c>
      <c r="N173" s="31" t="n">
        <v>4.33753331443153</v>
      </c>
      <c r="O173" s="31" t="n">
        <v>11.9969605897363</v>
      </c>
      <c r="P173" s="38">
        <f>IFERROR(O173/N173,0)</f>
        <v/>
      </c>
      <c r="Q173" s="31" t="n">
        <v>17.993916</v>
      </c>
      <c r="R173" s="31" t="n">
        <v>55.454086</v>
      </c>
      <c r="S173" s="38">
        <f>IFERROR(R173/Q173,0)</f>
        <v/>
      </c>
      <c r="T173" s="39">
        <f>IFERROR(Q173/SUMIF($A:$A,A173,$Q:$Q),0)</f>
        <v/>
      </c>
      <c r="U173" s="39">
        <f>IFERROR(Q173/F173,0)</f>
        <v/>
      </c>
      <c r="V173" s="35">
        <f>F173-R173</f>
        <v/>
      </c>
      <c r="W173" s="39">
        <f>IFERROR(V173/F173,0)</f>
        <v/>
      </c>
      <c r="X173" s="29" t="n">
        <v>4.425291</v>
      </c>
      <c r="Y173" s="31" t="n">
        <v>16.926</v>
      </c>
      <c r="Z173" s="39">
        <f>IFERROR(Y173/G173,0)</f>
        <v/>
      </c>
      <c r="AA173" s="35">
        <f>Y173-K173/1.06</f>
        <v/>
      </c>
      <c r="AB173" s="39">
        <f>IFERROR(AA173/G173,0)</f>
        <v/>
      </c>
      <c r="AC173" s="31" t="n">
        <v>-4.224194</v>
      </c>
      <c r="AD173" s="39">
        <f>IFERROR(AC173/G173,0)</f>
        <v/>
      </c>
    </row>
    <row r="174">
      <c r="A174" s="27" t="inlineStr">
        <is>
          <t>6.29-7.5</t>
        </is>
      </c>
      <c r="B174" s="27" t="inlineStr">
        <is>
          <t>6.29-7.5</t>
        </is>
      </c>
      <c r="C174" s="34" t="n">
        <v>648604228786</v>
      </c>
      <c r="D174" s="27" t="inlineStr">
        <is>
          <t>杯面混搭</t>
        </is>
      </c>
      <c r="E174" s="27" t="inlineStr">
        <is>
          <t>INDOMIE营多日式杯面原味经典泡面整箱批发速食宿舍旅行宵夜宿舍</t>
        </is>
      </c>
      <c r="F174" s="31" t="n">
        <v>220.6</v>
      </c>
      <c r="G174" s="35">
        <f>IFERROR(F174/1.13,0)</f>
        <v/>
      </c>
      <c r="H174" s="36" t="n">
        <v>8</v>
      </c>
      <c r="I174" s="37" t="n">
        <v>0.002268216614686703</v>
      </c>
      <c r="J174" s="38">
        <f>IFERROR(F174/H174,0)</f>
        <v/>
      </c>
      <c r="K174" s="31" t="n">
        <v>13.1463821944996</v>
      </c>
      <c r="L174" s="31" t="n">
        <v>97.9571250354408</v>
      </c>
      <c r="M174" s="38">
        <f>IFERROR(L174/K174,0)</f>
        <v/>
      </c>
      <c r="N174" s="31" t="n">
        <v>4.33753331443153</v>
      </c>
      <c r="O174" s="31" t="n">
        <v>11.9969605897363</v>
      </c>
      <c r="P174" s="38">
        <f>IFERROR(O174/N174,0)</f>
        <v/>
      </c>
      <c r="Q174" s="31" t="n">
        <v>17.483916</v>
      </c>
      <c r="R174" s="31" t="n">
        <v>109.954086</v>
      </c>
      <c r="S174" s="38">
        <f>IFERROR(R174/Q174,0)</f>
        <v/>
      </c>
      <c r="T174" s="39">
        <f>IFERROR(Q174/SUMIF($A:$A,A174,$Q:$Q),0)</f>
        <v/>
      </c>
      <c r="U174" s="39">
        <f>IFERROR(Q174/F174,0)</f>
        <v/>
      </c>
      <c r="V174" s="35">
        <f>F174-R174</f>
        <v/>
      </c>
      <c r="W174" s="39">
        <f>IFERROR(V174/F174,0)</f>
        <v/>
      </c>
      <c r="X174" s="29" t="n">
        <v>4.425291</v>
      </c>
      <c r="Y174" s="31" t="n">
        <v>27.072</v>
      </c>
      <c r="Z174" s="39">
        <f>IFERROR(Y174/G174,0)</f>
        <v/>
      </c>
      <c r="AA174" s="35">
        <f>Y174-K174/1.06</f>
        <v/>
      </c>
      <c r="AB174" s="39">
        <f>IFERROR(AA174/G174,0)</f>
        <v/>
      </c>
      <c r="AC174" s="31" t="n">
        <v>6.402938</v>
      </c>
      <c r="AD174" s="39">
        <f>IFERROR(AC174/G174,0)</f>
        <v/>
      </c>
    </row>
    <row r="175">
      <c r="A175" s="27" t="inlineStr">
        <is>
          <t>6.29-7.5</t>
        </is>
      </c>
      <c r="B175" s="27" t="inlineStr">
        <is>
          <t>6.29-7.5</t>
        </is>
      </c>
      <c r="C175" s="34" t="n">
        <v>937005385662</v>
      </c>
      <c r="D175" s="27" t="inlineStr">
        <is>
          <t>日式袋面</t>
        </is>
      </c>
      <c r="E175" s="27" t="inlineStr">
        <is>
          <t>进口营多正品捞面日式鸡肉鸡汤辛辣味袋装泡面辣味速食方便面汤面</t>
        </is>
      </c>
      <c r="F175" s="31" t="n">
        <v>155.96</v>
      </c>
      <c r="G175" s="35">
        <f>IFERROR(F175/1.13,0)</f>
        <v/>
      </c>
      <c r="H175" s="36" t="n">
        <v>7</v>
      </c>
      <c r="I175" s="37" t="n">
        <v>0.001984689537850865</v>
      </c>
      <c r="J175" s="38">
        <f>IFERROR(F175/H175,0)</f>
        <v/>
      </c>
      <c r="K175" s="31" t="n">
        <v>21.2118344201871</v>
      </c>
      <c r="L175" s="31" t="n">
        <v>141.124984406011</v>
      </c>
      <c r="M175" s="38">
        <f>IFERROR(L175/K175,0)</f>
        <v/>
      </c>
      <c r="N175" s="31" t="n">
        <v>3.79534165012759</v>
      </c>
      <c r="O175" s="31" t="n">
        <v>10.4973405160193</v>
      </c>
      <c r="P175" s="38">
        <f>IFERROR(O175/N175,0)</f>
        <v/>
      </c>
      <c r="Q175" s="31" t="n">
        <v>25.007176</v>
      </c>
      <c r="R175" s="31" t="n">
        <v>151.622325</v>
      </c>
      <c r="S175" s="38">
        <f>IFERROR(R175/Q175,0)</f>
        <v/>
      </c>
      <c r="T175" s="39">
        <f>IFERROR(Q175/SUMIF($A:$A,A175,$Q:$Q),0)</f>
        <v/>
      </c>
      <c r="U175" s="39">
        <f>IFERROR(Q175/F175,0)</f>
        <v/>
      </c>
      <c r="V175" s="35">
        <f>F175-R175</f>
        <v/>
      </c>
      <c r="W175" s="39">
        <f>IFERROR(V175/F175,0)</f>
        <v/>
      </c>
      <c r="X175" s="29" t="n">
        <v>3.872129</v>
      </c>
      <c r="Y175" s="31" t="n">
        <v>28.689</v>
      </c>
      <c r="Z175" s="39">
        <f>IFERROR(Y175/G175,0)</f>
        <v/>
      </c>
      <c r="AA175" s="35">
        <f>Y175-K175/1.06</f>
        <v/>
      </c>
      <c r="AB175" s="39">
        <f>IFERROR(AA175/G175,0)</f>
        <v/>
      </c>
      <c r="AC175" s="31" t="n">
        <v>1.444372</v>
      </c>
      <c r="AD175" s="39">
        <f>IFERROR(AC175/G175,0)</f>
        <v/>
      </c>
    </row>
    <row r="176">
      <c r="A176" s="27" t="inlineStr">
        <is>
          <t>6.29-7.5</t>
        </is>
      </c>
      <c r="B176" s="27" t="inlineStr">
        <is>
          <t>6.29-7.5</t>
        </is>
      </c>
      <c r="C176" s="34" t="n">
        <v>898076297965</v>
      </c>
      <c r="D176" s="27" t="inlineStr">
        <is>
          <t>番茄牛肉</t>
        </is>
      </c>
      <c r="E176" s="27" t="inlineStr">
        <is>
          <t>进口正品意面风味奶香番茄牛肉味意式拌面营多捞面早餐儿童宝妈餐</t>
        </is>
      </c>
      <c r="F176" s="31" t="n">
        <v>128.33</v>
      </c>
      <c r="G176" s="35">
        <f>IFERROR(F176/1.13,0)</f>
        <v/>
      </c>
      <c r="H176" s="36" t="n">
        <v>7</v>
      </c>
      <c r="I176" s="37" t="n">
        <v>0.001984689537850865</v>
      </c>
      <c r="J176" s="38">
        <f>IFERROR(F176/H176,0)</f>
        <v/>
      </c>
      <c r="K176" s="31" t="n">
        <v>16.2418344201871</v>
      </c>
      <c r="L176" s="31" t="n">
        <v>98.6849844060107</v>
      </c>
      <c r="M176" s="38">
        <f>IFERROR(L176/K176,0)</f>
        <v/>
      </c>
      <c r="N176" s="31" t="n">
        <v>3.79534165012759</v>
      </c>
      <c r="O176" s="31" t="n">
        <v>10.4973405160193</v>
      </c>
      <c r="P176" s="38">
        <f>IFERROR(O176/N176,0)</f>
        <v/>
      </c>
      <c r="Q176" s="31" t="n">
        <v>20.037176</v>
      </c>
      <c r="R176" s="31" t="n">
        <v>109.182325</v>
      </c>
      <c r="S176" s="38">
        <f>IFERROR(R176/Q176,0)</f>
        <v/>
      </c>
      <c r="T176" s="39">
        <f>IFERROR(Q176/SUMIF($A:$A,A176,$Q:$Q),0)</f>
        <v/>
      </c>
      <c r="U176" s="39">
        <f>IFERROR(Q176/F176,0)</f>
        <v/>
      </c>
      <c r="V176" s="35">
        <f>F176-R176</f>
        <v/>
      </c>
      <c r="W176" s="39">
        <f>IFERROR(V176/F176,0)</f>
        <v/>
      </c>
      <c r="X176" s="29" t="n">
        <v>3.872129</v>
      </c>
      <c r="Y176" s="31" t="n">
        <v>10.049</v>
      </c>
      <c r="Z176" s="39">
        <f>IFERROR(Y176/G176,0)</f>
        <v/>
      </c>
      <c r="AA176" s="35">
        <f>Y176-K176/1.06</f>
        <v/>
      </c>
      <c r="AB176" s="39">
        <f>IFERROR(AA176/G176,0)</f>
        <v/>
      </c>
      <c r="AC176" s="31" t="n">
        <v>-12.506948</v>
      </c>
      <c r="AD176" s="39">
        <f>IFERROR(AC176/G176,0)</f>
        <v/>
      </c>
    </row>
    <row r="177">
      <c r="A177" s="27" t="inlineStr">
        <is>
          <t>6.29-7.5</t>
        </is>
      </c>
      <c r="B177" s="27" t="inlineStr">
        <is>
          <t>6.29-7.5</t>
        </is>
      </c>
      <c r="C177" s="34" t="n">
        <v>932687928859</v>
      </c>
      <c r="D177" s="27" t="inlineStr">
        <is>
          <t>8包组合</t>
        </is>
      </c>
      <c r="E177" s="27" t="inlineStr">
        <is>
          <t>营多捞面八口味袋装泡面拌面速食面干拌面方便面宿舍宵夜速食家用</t>
        </is>
      </c>
      <c r="F177" s="31" t="n">
        <v>99.31</v>
      </c>
      <c r="G177" s="35">
        <f>IFERROR(F177/1.13,0)</f>
        <v/>
      </c>
      <c r="H177" s="36" t="n">
        <v>4</v>
      </c>
      <c r="I177" s="37" t="n">
        <v>0.001134108307343351</v>
      </c>
      <c r="J177" s="38">
        <f>IFERROR(F177/H177,0)</f>
        <v/>
      </c>
      <c r="K177" s="31" t="n">
        <v>4.15819109724979</v>
      </c>
      <c r="L177" s="31" t="n">
        <v>45.5785625177204</v>
      </c>
      <c r="M177" s="38">
        <f>IFERROR(L177/K177,0)</f>
        <v/>
      </c>
      <c r="N177" s="31" t="n">
        <v>2.16876665721576</v>
      </c>
      <c r="O177" s="31" t="n">
        <v>5.99848029486816</v>
      </c>
      <c r="P177" s="38">
        <f>IFERROR(O177/N177,0)</f>
        <v/>
      </c>
      <c r="Q177" s="31" t="n">
        <v>6.326958</v>
      </c>
      <c r="R177" s="31" t="n">
        <v>51.577043</v>
      </c>
      <c r="S177" s="38">
        <f>IFERROR(R177/Q177,0)</f>
        <v/>
      </c>
      <c r="T177" s="39">
        <f>IFERROR(Q177/SUMIF($A:$A,A177,$Q:$Q),0)</f>
        <v/>
      </c>
      <c r="U177" s="39">
        <f>IFERROR(Q177/F177,0)</f>
        <v/>
      </c>
      <c r="V177" s="35">
        <f>F177-R177</f>
        <v/>
      </c>
      <c r="W177" s="39">
        <f>IFERROR(V177/F177,0)</f>
        <v/>
      </c>
      <c r="X177" s="29" t="n">
        <v>2.212645</v>
      </c>
      <c r="Y177" s="31" t="n">
        <v>11.567</v>
      </c>
      <c r="Z177" s="39">
        <f>IFERROR(Y177/G177,0)</f>
        <v/>
      </c>
      <c r="AA177" s="35">
        <f>Y177-K177/1.06</f>
        <v/>
      </c>
      <c r="AB177" s="39">
        <f>IFERROR(AA177/G177,0)</f>
        <v/>
      </c>
      <c r="AC177" s="31" t="n">
        <v>3.510771</v>
      </c>
      <c r="AD177" s="39">
        <f>IFERROR(AC177/G177,0)</f>
        <v/>
      </c>
    </row>
    <row r="178">
      <c r="A178" s="27" t="inlineStr">
        <is>
          <t>6.29-7.5</t>
        </is>
      </c>
      <c r="B178" s="27" t="inlineStr">
        <is>
          <t>6.29-7.5</t>
        </is>
      </c>
      <c r="C178" s="34" t="n">
        <v>969433743398</v>
      </c>
      <c r="D178" s="27" t="inlineStr">
        <is>
          <t>韩蘑菇</t>
        </is>
      </c>
      <c r="E178" s="27" t="inlineStr">
        <is>
          <t>新品营多捞面韩式辣蘑菇汤面泡面方便面速食干拌面宿舍宵夜旅行</t>
        </is>
      </c>
      <c r="F178" s="31" t="n">
        <v>65.76000000000001</v>
      </c>
      <c r="G178" s="35">
        <f>IFERROR(F178/1.13,0)</f>
        <v/>
      </c>
      <c r="H178" s="36" t="n">
        <v>4</v>
      </c>
      <c r="I178" s="37" t="n">
        <v>0.001134108307343351</v>
      </c>
      <c r="J178" s="38">
        <f>IFERROR(F178/H178,0)</f>
        <v/>
      </c>
      <c r="K178" s="31" t="n">
        <v>10.0881910972498</v>
      </c>
      <c r="L178" s="31" t="n">
        <v>69.9985625177204</v>
      </c>
      <c r="M178" s="38">
        <f>IFERROR(L178/K178,0)</f>
        <v/>
      </c>
      <c r="N178" s="31" t="n">
        <v>2.16876665721576</v>
      </c>
      <c r="O178" s="31" t="n">
        <v>5.99848029486816</v>
      </c>
      <c r="P178" s="38">
        <f>IFERROR(O178/N178,0)</f>
        <v/>
      </c>
      <c r="Q178" s="31" t="n">
        <v>12.256958</v>
      </c>
      <c r="R178" s="31" t="n">
        <v>75.99704300000001</v>
      </c>
      <c r="S178" s="38">
        <f>IFERROR(R178/Q178,0)</f>
        <v/>
      </c>
      <c r="T178" s="39">
        <f>IFERROR(Q178/SUMIF($A:$A,A178,$Q:$Q),0)</f>
        <v/>
      </c>
      <c r="U178" s="39">
        <f>IFERROR(Q178/F178,0)</f>
        <v/>
      </c>
      <c r="V178" s="35">
        <f>F178-R178</f>
        <v/>
      </c>
      <c r="W178" s="39">
        <f>IFERROR(V178/F178,0)</f>
        <v/>
      </c>
      <c r="X178" s="29" t="n">
        <v>2.212645</v>
      </c>
      <c r="Y178" s="31" t="n">
        <v>4.512</v>
      </c>
      <c r="Z178" s="39">
        <f>IFERROR(Y178/G178,0)</f>
        <v/>
      </c>
      <c r="AA178" s="35">
        <f>Y178-K178/1.06</f>
        <v/>
      </c>
      <c r="AB178" s="39">
        <f>IFERROR(AA178/G178,0)</f>
        <v/>
      </c>
      <c r="AC178" s="31" t="n">
        <v>-9.138569</v>
      </c>
      <c r="AD178" s="39">
        <f>IFERROR(AC178/G178,0)</f>
        <v/>
      </c>
    </row>
    <row r="179">
      <c r="A179" s="27" t="inlineStr">
        <is>
          <t>6.29-7.5</t>
        </is>
      </c>
      <c r="B179" s="27" t="inlineStr">
        <is>
          <t>6.29-7.5</t>
        </is>
      </c>
      <c r="C179" s="34" t="n">
        <v>885645733215</v>
      </c>
      <c r="D179" s="27" t="inlineStr">
        <is>
          <t>大骨牛肉</t>
        </is>
      </c>
      <c r="E179" s="27" t="inlineStr">
        <is>
          <t>进口营多大骨番茄牛肉味营多捞面意式泡面宿舍宿舍宵夜速食方便面</t>
        </is>
      </c>
      <c r="F179" s="31" t="n">
        <v>39.06</v>
      </c>
      <c r="G179" s="35">
        <f>IFERROR(F179/1.13,0)</f>
        <v/>
      </c>
      <c r="H179" s="36" t="n">
        <v>3</v>
      </c>
      <c r="I179" s="37" t="n">
        <v>0.0008505812305075135</v>
      </c>
      <c r="J179" s="38">
        <f>IFERROR(F179/H179,0)</f>
        <v/>
      </c>
      <c r="K179" s="31" t="n">
        <v>2.15364332293734</v>
      </c>
      <c r="L179" s="31" t="n">
        <v>16.2964218882903</v>
      </c>
      <c r="M179" s="38">
        <f>IFERROR(L179/K179,0)</f>
        <v/>
      </c>
      <c r="N179" s="31" t="n">
        <v>1.62657499291182</v>
      </c>
      <c r="O179" s="31" t="n">
        <v>4.49886022115112</v>
      </c>
      <c r="P179" s="38">
        <f>IFERROR(O179/N179,0)</f>
        <v/>
      </c>
      <c r="Q179" s="31" t="n">
        <v>3.780218</v>
      </c>
      <c r="R179" s="31" t="n">
        <v>20.795282</v>
      </c>
      <c r="S179" s="38">
        <f>IFERROR(R179/Q179,0)</f>
        <v/>
      </c>
      <c r="T179" s="39">
        <f>IFERROR(Q179/SUMIF($A:$A,A179,$Q:$Q),0)</f>
        <v/>
      </c>
      <c r="U179" s="39">
        <f>IFERROR(Q179/F179,0)</f>
        <v/>
      </c>
      <c r="V179" s="35">
        <f>F179-R179</f>
        <v/>
      </c>
      <c r="W179" s="39">
        <f>IFERROR(V179/F179,0)</f>
        <v/>
      </c>
      <c r="X179" s="29" t="n">
        <v>1.659484</v>
      </c>
      <c r="Y179" s="31" t="n">
        <v>0.577</v>
      </c>
      <c r="Z179" s="39">
        <f>IFERROR(Y179/G179,0)</f>
        <v/>
      </c>
      <c r="AA179" s="35">
        <f>Y179-K179/1.06</f>
        <v/>
      </c>
      <c r="AB179" s="39">
        <f>IFERROR(AA179/G179,0)</f>
        <v/>
      </c>
      <c r="AC179" s="31" t="n">
        <v>-4.554795</v>
      </c>
      <c r="AD179" s="39">
        <f>IFERROR(AC179/G179,0)</f>
        <v/>
      </c>
    </row>
    <row r="180">
      <c r="A180" s="27" t="inlineStr">
        <is>
          <t>6.29-7.5</t>
        </is>
      </c>
      <c r="B180" s="27" t="inlineStr">
        <is>
          <t>6.29-7.5</t>
        </is>
      </c>
      <c r="C180" s="34" t="n">
        <v>649731447266</v>
      </c>
      <c r="D180" s="27" t="inlineStr">
        <is>
          <t>20包经典/牛系列</t>
        </is>
      </c>
      <c r="E180" s="27" t="inlineStr">
        <is>
          <t>营多印尼进口营多捞面方便面火鸡面干拌面20包宿舍速食泡面夜宵</t>
        </is>
      </c>
      <c r="F180" s="31" t="n">
        <v>139.52</v>
      </c>
      <c r="G180" s="35">
        <f>IFERROR(F180/1.13,0)</f>
        <v/>
      </c>
      <c r="H180" s="36" t="n">
        <v>3</v>
      </c>
      <c r="I180" s="37" t="n">
        <v>0.0008505812305075135</v>
      </c>
      <c r="J180" s="38">
        <f>IFERROR(F180/H180,0)</f>
        <v/>
      </c>
      <c r="K180" s="31" t="n">
        <v>5.59364332293734</v>
      </c>
      <c r="L180" s="31" t="n">
        <v>16.2964218882903</v>
      </c>
      <c r="M180" s="38">
        <f>IFERROR(L180/K180,0)</f>
        <v/>
      </c>
      <c r="N180" s="31" t="n">
        <v>1.62657499291182</v>
      </c>
      <c r="O180" s="31" t="n">
        <v>4.49886022115112</v>
      </c>
      <c r="P180" s="38">
        <f>IFERROR(O180/N180,0)</f>
        <v/>
      </c>
      <c r="Q180" s="31" t="n">
        <v>7.220218</v>
      </c>
      <c r="R180" s="31" t="n">
        <v>20.795282</v>
      </c>
      <c r="S180" s="38">
        <f>IFERROR(R180/Q180,0)</f>
        <v/>
      </c>
      <c r="T180" s="39">
        <f>IFERROR(Q180/SUMIF($A:$A,A180,$Q:$Q),0)</f>
        <v/>
      </c>
      <c r="U180" s="39">
        <f>IFERROR(Q180/F180,0)</f>
        <v/>
      </c>
      <c r="V180" s="35">
        <f>F180-R180</f>
        <v/>
      </c>
      <c r="W180" s="39">
        <f>IFERROR(V180/F180,0)</f>
        <v/>
      </c>
      <c r="X180" s="29" t="n">
        <v>1.659484</v>
      </c>
      <c r="Y180" s="31" t="n">
        <v>24.797</v>
      </c>
      <c r="Z180" s="39">
        <f>IFERROR(Y180/G180,0)</f>
        <v/>
      </c>
      <c r="AA180" s="35">
        <f>Y180-K180/1.06</f>
        <v/>
      </c>
      <c r="AB180" s="39">
        <f>IFERROR(AA180/G180,0)</f>
        <v/>
      </c>
      <c r="AC180" s="31" t="n">
        <v>16.419922</v>
      </c>
      <c r="AD180" s="39">
        <f>IFERROR(AC180/G180,0)</f>
        <v/>
      </c>
    </row>
    <row r="181">
      <c r="A181" s="27" t="inlineStr">
        <is>
          <t>6.29-7.5</t>
        </is>
      </c>
      <c r="B181" s="27" t="inlineStr">
        <is>
          <t>6.29-7.5</t>
        </is>
      </c>
      <c r="C181" s="34" t="n">
        <v>1019572719528</v>
      </c>
      <c r="D181" s="27" t="inlineStr">
        <is>
          <t>日韩袋面</t>
        </is>
      </c>
      <c r="E181" s="27" t="inlineStr">
        <is>
          <t>新品营多捞面韩式辣蘑菇汤面泡面方便面速食干拌面宿舍宵夜旅行</t>
        </is>
      </c>
      <c r="F181" s="31" t="n">
        <v>52.55</v>
      </c>
      <c r="G181" s="35">
        <f>IFERROR(F181/1.13,0)</f>
        <v/>
      </c>
      <c r="H181" s="36" t="n">
        <v>2</v>
      </c>
      <c r="I181" s="37" t="n">
        <v>0.0005670541536716756</v>
      </c>
      <c r="J181" s="38">
        <f>IFERROR(F181/H181,0)</f>
        <v/>
      </c>
      <c r="K181" s="31" t="n">
        <v>1.37909554862489</v>
      </c>
      <c r="L181" s="31" t="n">
        <v>10.8642812588602</v>
      </c>
      <c r="M181" s="38">
        <f>IFERROR(L181/K181,0)</f>
        <v/>
      </c>
      <c r="N181" s="31" t="n">
        <v>1.08438332860788</v>
      </c>
      <c r="O181" s="31" t="n">
        <v>2.99924014743408</v>
      </c>
      <c r="P181" s="38">
        <f>IFERROR(O181/N181,0)</f>
        <v/>
      </c>
      <c r="Q181" s="31" t="n">
        <v>2.463479</v>
      </c>
      <c r="R181" s="31" t="n">
        <v>13.863521</v>
      </c>
      <c r="S181" s="38">
        <f>IFERROR(R181/Q181,0)</f>
        <v/>
      </c>
      <c r="T181" s="39">
        <f>IFERROR(Q181/SUMIF($A:$A,A181,$Q:$Q),0)</f>
        <v/>
      </c>
      <c r="U181" s="39">
        <f>IFERROR(Q181/F181,0)</f>
        <v/>
      </c>
      <c r="V181" s="35">
        <f>F181-R181</f>
        <v/>
      </c>
      <c r="W181" s="39">
        <f>IFERROR(V181/F181,0)</f>
        <v/>
      </c>
      <c r="X181" s="29" t="n">
        <v>1.106323</v>
      </c>
      <c r="Y181" s="31" t="n">
        <v>6.055</v>
      </c>
      <c r="Z181" s="39">
        <f>IFERROR(Y181/G181,0)</f>
        <v/>
      </c>
      <c r="AA181" s="35">
        <f>Y181-K181/1.06</f>
        <v/>
      </c>
      <c r="AB181" s="39">
        <f>IFERROR(AA181/G181,0)</f>
        <v/>
      </c>
      <c r="AC181" s="31" t="n">
        <v>2.687263</v>
      </c>
      <c r="AD181" s="39">
        <f>IFERROR(AC181/G181,0)</f>
        <v/>
      </c>
    </row>
    <row r="182">
      <c r="A182" s="27" t="inlineStr">
        <is>
          <t>6.29-7.5</t>
        </is>
      </c>
      <c r="B182" s="27" t="inlineStr">
        <is>
          <t>6.29-7.5</t>
        </is>
      </c>
      <c r="C182" s="34" t="n">
        <v>976467954327</v>
      </c>
      <c r="D182" s="27" t="inlineStr">
        <is>
          <t>日韩杯面</t>
        </is>
      </c>
      <c r="E182" s="27" t="inlineStr">
        <is>
          <t>【天猫U选】indomie营多捞面辣蘑菇味日式辣味杯面</t>
        </is>
      </c>
      <c r="F182" s="31" t="n">
        <v>18.64</v>
      </c>
      <c r="G182" s="35">
        <f>IFERROR(F182/1.13,0)</f>
        <v/>
      </c>
      <c r="H182" s="36" t="n">
        <v>2</v>
      </c>
      <c r="I182" s="37" t="n">
        <v>0.0005670541536716756</v>
      </c>
      <c r="J182" s="38">
        <f>IFERROR(F182/H182,0)</f>
        <v/>
      </c>
      <c r="K182" s="31" t="n">
        <v>0.429095548624894</v>
      </c>
      <c r="L182" s="31" t="n">
        <v>10.8642812588602</v>
      </c>
      <c r="M182" s="38">
        <f>IFERROR(L182/K182,0)</f>
        <v/>
      </c>
      <c r="N182" s="31" t="n">
        <v>1.08438332860788</v>
      </c>
      <c r="O182" s="31" t="n">
        <v>2.99924014743408</v>
      </c>
      <c r="P182" s="38">
        <f>IFERROR(O182/N182,0)</f>
        <v/>
      </c>
      <c r="Q182" s="31" t="n">
        <v>1.513479</v>
      </c>
      <c r="R182" s="31" t="n">
        <v>13.863521</v>
      </c>
      <c r="S182" s="38">
        <f>IFERROR(R182/Q182,0)</f>
        <v/>
      </c>
      <c r="T182" s="39">
        <f>IFERROR(Q182/SUMIF($A:$A,A182,$Q:$Q),0)</f>
        <v/>
      </c>
      <c r="U182" s="39">
        <f>IFERROR(Q182/F182,0)</f>
        <v/>
      </c>
      <c r="V182" s="35">
        <f>F182-R182</f>
        <v/>
      </c>
      <c r="W182" s="39">
        <f>IFERROR(V182/F182,0)</f>
        <v/>
      </c>
      <c r="X182" s="29" t="n">
        <v>1.106323</v>
      </c>
      <c r="Y182" s="31" t="n">
        <v>-3.668</v>
      </c>
      <c r="Z182" s="39">
        <f>IFERROR(Y182/G182,0)</f>
        <v/>
      </c>
      <c r="AA182" s="35">
        <f>Y182-K182/1.06</f>
        <v/>
      </c>
      <c r="AB182" s="39">
        <f>IFERROR(AA182/G182,0)</f>
        <v/>
      </c>
      <c r="AC182" s="31" t="n">
        <v>-6.139511</v>
      </c>
      <c r="AD182" s="39">
        <f>IFERROR(AC182/G182,0)</f>
        <v/>
      </c>
    </row>
    <row r="183">
      <c r="A183" s="27" t="inlineStr">
        <is>
          <t>6.29-7.5</t>
        </is>
      </c>
      <c r="B183" s="27" t="inlineStr">
        <is>
          <t>6.29-7.5</t>
        </is>
      </c>
      <c r="C183" s="34" t="n">
        <v>976479938842</v>
      </c>
      <c r="D183" s="27" t="inlineStr">
        <is>
          <t>【U选】原味5</t>
        </is>
      </c>
      <c r="E183" s="27" t="inlineStr">
        <is>
          <t>【天猫U选】indomie营多大骨牛肉味捞面拌面5包</t>
        </is>
      </c>
      <c r="F183" s="31" t="n">
        <v>18.82</v>
      </c>
      <c r="G183" s="35">
        <f>IFERROR(F183/1.13,0)</f>
        <v/>
      </c>
      <c r="H183" s="36" t="n">
        <v>2</v>
      </c>
      <c r="I183" s="37" t="n">
        <v>0.0005670541536716756</v>
      </c>
      <c r="J183" s="38">
        <f>IFERROR(F183/H183,0)</f>
        <v/>
      </c>
      <c r="K183" s="31" t="n">
        <v>0.429095548624894</v>
      </c>
      <c r="L183" s="31" t="n">
        <v>10.8642812588602</v>
      </c>
      <c r="M183" s="38">
        <f>IFERROR(L183/K183,0)</f>
        <v/>
      </c>
      <c r="N183" s="31" t="n">
        <v>1.08438332860788</v>
      </c>
      <c r="O183" s="31" t="n">
        <v>2.99924014743408</v>
      </c>
      <c r="P183" s="38">
        <f>IFERROR(O183/N183,0)</f>
        <v/>
      </c>
      <c r="Q183" s="31" t="n">
        <v>1.513479</v>
      </c>
      <c r="R183" s="31" t="n">
        <v>13.863521</v>
      </c>
      <c r="S183" s="38">
        <f>IFERROR(R183/Q183,0)</f>
        <v/>
      </c>
      <c r="T183" s="39">
        <f>IFERROR(Q183/SUMIF($A:$A,A183,$Q:$Q),0)</f>
        <v/>
      </c>
      <c r="U183" s="39">
        <f>IFERROR(Q183/F183,0)</f>
        <v/>
      </c>
      <c r="V183" s="35">
        <f>F183-R183</f>
        <v/>
      </c>
      <c r="W183" s="39">
        <f>IFERROR(V183/F183,0)</f>
        <v/>
      </c>
      <c r="X183" s="29" t="n">
        <v>1.106323</v>
      </c>
      <c r="Y183" s="31" t="n">
        <v>-6.33</v>
      </c>
      <c r="Z183" s="39">
        <f>IFERROR(Y183/G183,0)</f>
        <v/>
      </c>
      <c r="AA183" s="35">
        <f>Y183-K183/1.06</f>
        <v/>
      </c>
      <c r="AB183" s="39">
        <f>IFERROR(AA183/G183,0)</f>
        <v/>
      </c>
      <c r="AC183" s="31" t="n">
        <v>-8.801511</v>
      </c>
      <c r="AD183" s="39">
        <f>IFERROR(AC183/G183,0)</f>
        <v/>
      </c>
    </row>
    <row r="184">
      <c r="A184" s="27" t="inlineStr">
        <is>
          <t>6.29-7.5</t>
        </is>
      </c>
      <c r="B184" s="27" t="inlineStr">
        <is>
          <t>6.29-7.5</t>
        </is>
      </c>
      <c r="C184" s="34" t="n">
        <v>949962665617</v>
      </c>
      <c r="D184" s="27" t="inlineStr">
        <is>
          <t>组合</t>
        </is>
      </c>
      <c r="E184" s="27" t="inlineStr">
        <is>
          <t>营多捞面多口味袋装泡面拌面速食面干拌面方便面宿舍宵夜速食旅行</t>
        </is>
      </c>
      <c r="F184" s="31" t="n">
        <v>38.93</v>
      </c>
      <c r="G184" s="35">
        <f>IFERROR(F184/1.13,0)</f>
        <v/>
      </c>
      <c r="H184" s="36" t="n">
        <v>2</v>
      </c>
      <c r="I184" s="37" t="n">
        <v>0.0005670541536716756</v>
      </c>
      <c r="J184" s="38">
        <f>IFERROR(F184/H184,0)</f>
        <v/>
      </c>
      <c r="K184" s="31" t="n">
        <v>15.8190955486249</v>
      </c>
      <c r="L184" s="31" t="n">
        <v>34.8942812588602</v>
      </c>
      <c r="M184" s="38">
        <f>IFERROR(L184/K184,0)</f>
        <v/>
      </c>
      <c r="N184" s="31" t="n">
        <v>1.08438332860788</v>
      </c>
      <c r="O184" s="31" t="n">
        <v>2.99924014743408</v>
      </c>
      <c r="P184" s="38">
        <f>IFERROR(O184/N184,0)</f>
        <v/>
      </c>
      <c r="Q184" s="31" t="n">
        <v>16.903479</v>
      </c>
      <c r="R184" s="31" t="n">
        <v>37.893521</v>
      </c>
      <c r="S184" s="38">
        <f>IFERROR(R184/Q184,0)</f>
        <v/>
      </c>
      <c r="T184" s="39">
        <f>IFERROR(Q184/SUMIF($A:$A,A184,$Q:$Q),0)</f>
        <v/>
      </c>
      <c r="U184" s="39">
        <f>IFERROR(Q184/F184,0)</f>
        <v/>
      </c>
      <c r="V184" s="35">
        <f>F184-R184</f>
        <v/>
      </c>
      <c r="W184" s="39">
        <f>IFERROR(V184/F184,0)</f>
        <v/>
      </c>
      <c r="X184" s="29" t="n">
        <v>1.106323</v>
      </c>
      <c r="Y184" s="31" t="n">
        <v>2.091</v>
      </c>
      <c r="Z184" s="39">
        <f>IFERROR(Y184/G184,0)</f>
        <v/>
      </c>
      <c r="AA184" s="35">
        <f>Y184-K184/1.06</f>
        <v/>
      </c>
      <c r="AB184" s="39">
        <f>IFERROR(AA184/G184,0)</f>
        <v/>
      </c>
      <c r="AC184" s="31" t="n">
        <v>-14.899379</v>
      </c>
      <c r="AD184" s="39">
        <f>IFERROR(AC184/G184,0)</f>
        <v/>
      </c>
    </row>
    <row r="185">
      <c r="A185" s="27" t="inlineStr">
        <is>
          <t>6.29-7.5</t>
        </is>
      </c>
      <c r="B185" s="27" t="inlineStr">
        <is>
          <t>6.29-7.5</t>
        </is>
      </c>
      <c r="C185" s="34" t="n">
        <v>947413291596</v>
      </c>
      <c r="D185" s="27" t="inlineStr">
        <is>
          <t>杯面</t>
        </is>
      </c>
      <c r="E185" s="27" t="inlineStr">
        <is>
          <t>营多捞面杯装方便面泡面速食干拌面原味整箱批发印尼进口桶装拌面</t>
        </is>
      </c>
      <c r="F185" s="31" t="n">
        <v>47.8</v>
      </c>
      <c r="G185" s="35">
        <f>IFERROR(F185/1.13,0)</f>
        <v/>
      </c>
      <c r="H185" s="36" t="n">
        <v>2</v>
      </c>
      <c r="I185" s="37" t="n">
        <v>0.0005670541536716756</v>
      </c>
      <c r="J185" s="38">
        <f>IFERROR(F185/H185,0)</f>
        <v/>
      </c>
      <c r="K185" s="31" t="n">
        <v>8.0090955486249</v>
      </c>
      <c r="L185" s="31" t="n">
        <v>44.5342812588602</v>
      </c>
      <c r="M185" s="38">
        <f>IFERROR(L185/K185,0)</f>
        <v/>
      </c>
      <c r="N185" s="31" t="n">
        <v>1.08438332860788</v>
      </c>
      <c r="O185" s="31" t="n">
        <v>2.99924014743408</v>
      </c>
      <c r="P185" s="38">
        <f>IFERROR(O185/N185,0)</f>
        <v/>
      </c>
      <c r="Q185" s="31" t="n">
        <v>9.093479</v>
      </c>
      <c r="R185" s="31" t="n">
        <v>47.533521</v>
      </c>
      <c r="S185" s="38">
        <f>IFERROR(R185/Q185,0)</f>
        <v/>
      </c>
      <c r="T185" s="39">
        <f>IFERROR(Q185/SUMIF($A:$A,A185,$Q:$Q),0)</f>
        <v/>
      </c>
      <c r="U185" s="39">
        <f>IFERROR(Q185/F185,0)</f>
        <v/>
      </c>
      <c r="V185" s="35">
        <f>F185-R185</f>
        <v/>
      </c>
      <c r="W185" s="39">
        <f>IFERROR(V185/F185,0)</f>
        <v/>
      </c>
      <c r="X185" s="29" t="n">
        <v>1.106323</v>
      </c>
      <c r="Y185" s="31" t="n">
        <v>5.685</v>
      </c>
      <c r="Z185" s="39">
        <f>IFERROR(Y185/G185,0)</f>
        <v/>
      </c>
      <c r="AA185" s="35">
        <f>Y185-K185/1.06</f>
        <v/>
      </c>
      <c r="AB185" s="39">
        <f>IFERROR(AA185/G185,0)</f>
        <v/>
      </c>
      <c r="AC185" s="31" t="n">
        <v>-3.937454</v>
      </c>
      <c r="AD185" s="39">
        <f>IFERROR(AC185/G185,0)</f>
        <v/>
      </c>
    </row>
    <row r="186">
      <c r="A186" s="27" t="inlineStr">
        <is>
          <t>6.29-7.5</t>
        </is>
      </c>
      <c r="B186" s="27" t="inlineStr">
        <is>
          <t>6.29-7.5</t>
        </is>
      </c>
      <c r="C186" s="34" t="n">
        <v>898120785283</v>
      </c>
      <c r="D186" s="27" t="inlineStr">
        <is>
          <t>番茄</t>
        </is>
      </c>
      <c r="E186" s="27" t="inlineStr">
        <is>
          <t>进口意大利面风味奶香番茄牛肉味意式营多早餐儿童宝妈家庭餐拌面</t>
        </is>
      </c>
      <c r="F186" s="31" t="n">
        <v>27.16</v>
      </c>
      <c r="G186" s="35">
        <f>IFERROR(F186/1.13,0)</f>
        <v/>
      </c>
      <c r="H186" s="36" t="n">
        <v>2</v>
      </c>
      <c r="I186" s="37" t="n">
        <v>0.0005670541536716756</v>
      </c>
      <c r="J186" s="38">
        <f>IFERROR(F186/H186,0)</f>
        <v/>
      </c>
      <c r="K186" s="31" t="n">
        <v>0.929095548624894</v>
      </c>
      <c r="L186" s="31" t="n">
        <v>10.8642812588602</v>
      </c>
      <c r="M186" s="38">
        <f>IFERROR(L186/K186,0)</f>
        <v/>
      </c>
      <c r="N186" s="31" t="n">
        <v>1.08438332860788</v>
      </c>
      <c r="O186" s="31" t="n">
        <v>2.99924014743408</v>
      </c>
      <c r="P186" s="38">
        <f>IFERROR(O186/N186,0)</f>
        <v/>
      </c>
      <c r="Q186" s="31" t="n">
        <v>2.013479</v>
      </c>
      <c r="R186" s="31" t="n">
        <v>13.863521</v>
      </c>
      <c r="S186" s="38">
        <f>IFERROR(R186/Q186,0)</f>
        <v/>
      </c>
      <c r="T186" s="39">
        <f>IFERROR(Q186/SUMIF($A:$A,A186,$Q:$Q),0)</f>
        <v/>
      </c>
      <c r="U186" s="39">
        <f>IFERROR(Q186/F186,0)</f>
        <v/>
      </c>
      <c r="V186" s="35">
        <f>F186-R186</f>
        <v/>
      </c>
      <c r="W186" s="39">
        <f>IFERROR(V186/F186,0)</f>
        <v/>
      </c>
      <c r="X186" s="29" t="n">
        <v>1.106323</v>
      </c>
      <c r="Y186" s="31" t="n">
        <v>0.502</v>
      </c>
      <c r="Z186" s="39">
        <f>IFERROR(Y186/G186,0)</f>
        <v/>
      </c>
      <c r="AA186" s="35">
        <f>Y186-K186/1.06</f>
        <v/>
      </c>
      <c r="AB186" s="39">
        <f>IFERROR(AA186/G186,0)</f>
        <v/>
      </c>
      <c r="AC186" s="31" t="n">
        <v>-2.441209</v>
      </c>
      <c r="AD186" s="39">
        <f>IFERROR(AC186/G186,0)</f>
        <v/>
      </c>
    </row>
    <row r="187">
      <c r="A187" s="27" t="inlineStr">
        <is>
          <t>6.29-7.5</t>
        </is>
      </c>
      <c r="B187" s="27" t="inlineStr">
        <is>
          <t>6.29-7.5</t>
        </is>
      </c>
      <c r="C187" s="34" t="n">
        <v>775016827115</v>
      </c>
      <c r="D187" s="27" t="inlineStr">
        <is>
          <t>杯面混搭</t>
        </is>
      </c>
      <c r="E187" s="27" t="inlineStr">
        <is>
          <t>进口营多原味杯面日式杯面韩式杯面泡面方便面汤面宿舍速食夜宵</t>
        </is>
      </c>
      <c r="F187" s="31" t="n">
        <v>55.15</v>
      </c>
      <c r="G187" s="35">
        <f>IFERROR(F187/1.13,0)</f>
        <v/>
      </c>
      <c r="H187" s="36" t="n">
        <v>2</v>
      </c>
      <c r="I187" s="37" t="n">
        <v>0.0005670541536716756</v>
      </c>
      <c r="J187" s="38">
        <f>IFERROR(F187/H187,0)</f>
        <v/>
      </c>
      <c r="K187" s="31" t="n">
        <v>0.849095548624894</v>
      </c>
      <c r="L187" s="31" t="n">
        <v>10.8642812588602</v>
      </c>
      <c r="M187" s="38">
        <f>IFERROR(L187/K187,0)</f>
        <v/>
      </c>
      <c r="N187" s="31" t="n">
        <v>1.08438332860788</v>
      </c>
      <c r="O187" s="31" t="n">
        <v>2.99924014743408</v>
      </c>
      <c r="P187" s="38">
        <f>IFERROR(O187/N187,0)</f>
        <v/>
      </c>
      <c r="Q187" s="31" t="n">
        <v>1.933479</v>
      </c>
      <c r="R187" s="31" t="n">
        <v>13.863521</v>
      </c>
      <c r="S187" s="38">
        <f>IFERROR(R187/Q187,0)</f>
        <v/>
      </c>
      <c r="T187" s="39">
        <f>IFERROR(Q187/SUMIF($A:$A,A187,$Q:$Q),0)</f>
        <v/>
      </c>
      <c r="U187" s="39">
        <f>IFERROR(Q187/F187,0)</f>
        <v/>
      </c>
      <c r="V187" s="35">
        <f>F187-R187</f>
        <v/>
      </c>
      <c r="W187" s="39">
        <f>IFERROR(V187/F187,0)</f>
        <v/>
      </c>
      <c r="X187" s="29" t="n">
        <v>1.106323</v>
      </c>
      <c r="Y187" s="31" t="n">
        <v>6.768</v>
      </c>
      <c r="Z187" s="39">
        <f>IFERROR(Y187/G187,0)</f>
        <v/>
      </c>
      <c r="AA187" s="35">
        <f>Y187-K187/1.06</f>
        <v/>
      </c>
      <c r="AB187" s="39">
        <f>IFERROR(AA187/G187,0)</f>
        <v/>
      </c>
      <c r="AC187" s="31" t="n">
        <v>3.900263</v>
      </c>
      <c r="AD187" s="39">
        <f>IFERROR(AC187/G187,0)</f>
        <v/>
      </c>
    </row>
    <row r="188">
      <c r="A188" s="27" t="inlineStr">
        <is>
          <t>6.29-7.5</t>
        </is>
      </c>
      <c r="B188" s="27" t="inlineStr">
        <is>
          <t>6.29-7.5</t>
        </is>
      </c>
      <c r="C188" s="34" t="n">
        <v>869217868453</v>
      </c>
      <c r="D188" s="27" t="inlineStr">
        <is>
          <t>杯面混搭</t>
        </is>
      </c>
      <c r="E188" s="27" t="inlineStr">
        <is>
          <t>营多捞面韩式甜辣炸鸡辣蘑菇杯面方便面拌面泡面宿舍速食面</t>
        </is>
      </c>
      <c r="F188" s="31" t="n">
        <v>27.25</v>
      </c>
      <c r="G188" s="35">
        <f>IFERROR(F188/1.13,0)</f>
        <v/>
      </c>
      <c r="H188" s="36" t="n">
        <v>1</v>
      </c>
      <c r="I188" s="37" t="n">
        <v>0.0002835270768358378</v>
      </c>
      <c r="J188" s="38">
        <f>IFERROR(F188/H188,0)</f>
        <v/>
      </c>
      <c r="K188" s="31" t="n">
        <v>10.1945477743124</v>
      </c>
      <c r="L188" s="31" t="n">
        <v>32.6821406294301</v>
      </c>
      <c r="M188" s="38">
        <f>IFERROR(L188/K188,0)</f>
        <v/>
      </c>
      <c r="N188" s="31" t="n">
        <v>0.5421916643039409</v>
      </c>
      <c r="O188" s="31" t="n">
        <v>1.49962007371704</v>
      </c>
      <c r="P188" s="38">
        <f>IFERROR(O188/N188,0)</f>
        <v/>
      </c>
      <c r="Q188" s="31" t="n">
        <v>10.736739</v>
      </c>
      <c r="R188" s="31" t="n">
        <v>34.181761</v>
      </c>
      <c r="S188" s="38">
        <f>IFERROR(R188/Q188,0)</f>
        <v/>
      </c>
      <c r="T188" s="39">
        <f>IFERROR(Q188/SUMIF($A:$A,A188,$Q:$Q),0)</f>
        <v/>
      </c>
      <c r="U188" s="39">
        <f>IFERROR(Q188/F188,0)</f>
        <v/>
      </c>
      <c r="V188" s="35">
        <f>F188-R188</f>
        <v/>
      </c>
      <c r="W188" s="39">
        <f>IFERROR(V188/F188,0)</f>
        <v/>
      </c>
      <c r="X188" s="29" t="n">
        <v>0.553161</v>
      </c>
      <c r="Y188" s="31" t="n">
        <v>3.118</v>
      </c>
      <c r="Z188" s="39">
        <f>IFERROR(Y188/G188,0)</f>
        <v/>
      </c>
      <c r="AA188" s="35">
        <f>Y188-K188/1.06</f>
        <v/>
      </c>
      <c r="AB188" s="39">
        <f>IFERROR(AA188/G188,0)</f>
        <v/>
      </c>
      <c r="AC188" s="31" t="n">
        <v>-7.53285</v>
      </c>
      <c r="AD188" s="39">
        <f>IFERROR(AC188/G188,0)</f>
        <v/>
      </c>
    </row>
    <row r="189">
      <c r="A189" s="27" t="inlineStr">
        <is>
          <t>6.29-7.5</t>
        </is>
      </c>
      <c r="B189" s="27" t="inlineStr">
        <is>
          <t>6.29-7.5</t>
        </is>
      </c>
      <c r="C189" s="34" t="n">
        <v>1040679932754</v>
      </c>
      <c r="D189" s="27" t="inlineStr">
        <is>
          <t>杯面混搭</t>
        </is>
      </c>
      <c r="E189" s="27" t="inlineStr">
        <is>
          <t>印尼进口营多捞面杯面原味甜辣蘑菇味整箱速食拌面拉面泡面方便面</t>
        </is>
      </c>
      <c r="F189" s="31" t="n">
        <v>17.03</v>
      </c>
      <c r="G189" s="35">
        <f>IFERROR(F189/1.13,0)</f>
        <v/>
      </c>
      <c r="H189" s="36" t="n">
        <v>1</v>
      </c>
      <c r="I189" s="37" t="n">
        <v>0.0002835270768358378</v>
      </c>
      <c r="J189" s="38">
        <f>IFERROR(F189/H189,0)</f>
        <v/>
      </c>
      <c r="K189" s="31" t="n">
        <v>0.734547774312447</v>
      </c>
      <c r="L189" s="31" t="n">
        <v>5.4321406294301</v>
      </c>
      <c r="M189" s="38">
        <f>IFERROR(L189/K189,0)</f>
        <v/>
      </c>
      <c r="N189" s="31" t="n">
        <v>0.5421916643039409</v>
      </c>
      <c r="O189" s="31" t="n">
        <v>1.49962007371704</v>
      </c>
      <c r="P189" s="38">
        <f>IFERROR(O189/N189,0)</f>
        <v/>
      </c>
      <c r="Q189" s="31" t="n">
        <v>1.276739</v>
      </c>
      <c r="R189" s="31" t="n">
        <v>6.931761</v>
      </c>
      <c r="S189" s="38">
        <f>IFERROR(R189/Q189,0)</f>
        <v/>
      </c>
      <c r="T189" s="39">
        <f>IFERROR(Q189/SUMIF($A:$A,A189,$Q:$Q),0)</f>
        <v/>
      </c>
      <c r="U189" s="39">
        <f>IFERROR(Q189/F189,0)</f>
        <v/>
      </c>
      <c r="V189" s="35">
        <f>F189-R189</f>
        <v/>
      </c>
      <c r="W189" s="39">
        <f>IFERROR(V189/F189,0)</f>
        <v/>
      </c>
      <c r="X189" s="29" t="n">
        <v>0.553161</v>
      </c>
      <c r="Y189" s="31" t="n">
        <v>-0.315</v>
      </c>
      <c r="Z189" s="39">
        <f>IFERROR(Y189/G189,0)</f>
        <v/>
      </c>
      <c r="AA189" s="35">
        <f>Y189-K189/1.06</f>
        <v/>
      </c>
      <c r="AB189" s="39">
        <f>IFERROR(AA189/G189,0)</f>
        <v/>
      </c>
      <c r="AC189" s="31" t="n">
        <v>-2.041321</v>
      </c>
      <c r="AD189" s="39">
        <f>IFERROR(AC189/G189,0)</f>
        <v/>
      </c>
    </row>
    <row r="190">
      <c r="A190" s="27" t="inlineStr">
        <is>
          <t>6.29-7.5</t>
        </is>
      </c>
      <c r="B190" s="27" t="inlineStr">
        <is>
          <t>6.29-7.5</t>
        </is>
      </c>
      <c r="C190" s="34" t="n">
        <v>965545088099</v>
      </c>
      <c r="D190" s="27" t="inlineStr">
        <is>
          <t>十全十美</t>
        </is>
      </c>
      <c r="E190" s="27" t="inlineStr">
        <is>
          <t>营多捞面多口味袋装泡面拌面速食面干拌面方便面速食宵夜宿舍旅行</t>
        </is>
      </c>
      <c r="F190" s="31" t="n">
        <v>33.9</v>
      </c>
      <c r="G190" s="35">
        <f>IFERROR(F190/1.13,0)</f>
        <v/>
      </c>
      <c r="H190" s="36" t="n">
        <v>1</v>
      </c>
      <c r="I190" s="37" t="n">
        <v>0.0002835270768358378</v>
      </c>
      <c r="J190" s="38">
        <f>IFERROR(F190/H190,0)</f>
        <v/>
      </c>
      <c r="K190" s="31" t="n">
        <v>0.414547774312447</v>
      </c>
      <c r="L190" s="31" t="n">
        <v>5.4321406294301</v>
      </c>
      <c r="M190" s="38">
        <f>IFERROR(L190/K190,0)</f>
        <v/>
      </c>
      <c r="N190" s="31" t="n">
        <v>0.5421916643039409</v>
      </c>
      <c r="O190" s="31" t="n">
        <v>1.49962007371704</v>
      </c>
      <c r="P190" s="38">
        <f>IFERROR(O190/N190,0)</f>
        <v/>
      </c>
      <c r="Q190" s="31" t="n">
        <v>0.956739</v>
      </c>
      <c r="R190" s="31" t="n">
        <v>6.931761</v>
      </c>
      <c r="S190" s="38">
        <f>IFERROR(R190/Q190,0)</f>
        <v/>
      </c>
      <c r="T190" s="39">
        <f>IFERROR(Q190/SUMIF($A:$A,A190,$Q:$Q),0)</f>
        <v/>
      </c>
      <c r="U190" s="39">
        <f>IFERROR(Q190/F190,0)</f>
        <v/>
      </c>
      <c r="V190" s="35">
        <f>F190-R190</f>
        <v/>
      </c>
      <c r="W190" s="39">
        <f>IFERROR(V190/F190,0)</f>
        <v/>
      </c>
      <c r="X190" s="29" t="n">
        <v>0.553161</v>
      </c>
      <c r="Y190" s="31" t="n">
        <v>8.670999999999999</v>
      </c>
      <c r="Z190" s="39">
        <f>IFERROR(Y190/G190,0)</f>
        <v/>
      </c>
      <c r="AA190" s="35">
        <f>Y190-K190/1.06</f>
        <v/>
      </c>
      <c r="AB190" s="39">
        <f>IFERROR(AA190/G190,0)</f>
        <v/>
      </c>
      <c r="AC190" s="31" t="n">
        <v>7.246565</v>
      </c>
      <c r="AD190" s="39">
        <f>IFERROR(AC190/G190,0)</f>
        <v/>
      </c>
    </row>
    <row r="191">
      <c r="A191" s="27" t="inlineStr">
        <is>
          <t>6.29-7.5</t>
        </is>
      </c>
      <c r="B191" s="27" t="inlineStr">
        <is>
          <t>6.29-7.5</t>
        </is>
      </c>
      <c r="C191" s="34" t="n">
        <v>976466902934</v>
      </c>
      <c r="D191" s="27" t="inlineStr">
        <is>
          <t>日韩杯面</t>
        </is>
      </c>
      <c r="E191" s="27" t="inlineStr">
        <is>
          <t>【天猫U选】indomie营多捞面辣火鸡味日式鸡肉原味杯面</t>
        </is>
      </c>
      <c r="F191" s="31" t="n">
        <v>9.23</v>
      </c>
      <c r="G191" s="35">
        <f>IFERROR(F191/1.13,0)</f>
        <v/>
      </c>
      <c r="H191" s="36" t="n">
        <v>1</v>
      </c>
      <c r="I191" s="37" t="n">
        <v>0.0002835270768358378</v>
      </c>
      <c r="J191" s="38">
        <f>IFERROR(F191/H191,0)</f>
        <v/>
      </c>
      <c r="K191" s="31" t="n">
        <v>0.214547774312447</v>
      </c>
      <c r="L191" s="31" t="n">
        <v>5.4321406294301</v>
      </c>
      <c r="M191" s="38">
        <f>IFERROR(L191/K191,0)</f>
        <v/>
      </c>
      <c r="N191" s="31" t="n">
        <v>0.5421916643039409</v>
      </c>
      <c r="O191" s="31" t="n">
        <v>1.49962007371704</v>
      </c>
      <c r="P191" s="38">
        <f>IFERROR(O191/N191,0)</f>
        <v/>
      </c>
      <c r="Q191" s="31" t="n">
        <v>0.7567390000000001</v>
      </c>
      <c r="R191" s="31" t="n">
        <v>6.931761</v>
      </c>
      <c r="S191" s="38">
        <f>IFERROR(R191/Q191,0)</f>
        <v/>
      </c>
      <c r="T191" s="39">
        <f>IFERROR(Q191/SUMIF($A:$A,A191,$Q:$Q),0)</f>
        <v/>
      </c>
      <c r="U191" s="39">
        <f>IFERROR(Q191/F191,0)</f>
        <v/>
      </c>
      <c r="V191" s="35">
        <f>F191-R191</f>
        <v/>
      </c>
      <c r="W191" s="39">
        <f>IFERROR(V191/F191,0)</f>
        <v/>
      </c>
      <c r="X191" s="29" t="n">
        <v>0.553161</v>
      </c>
      <c r="Y191" s="31" t="n">
        <v>-1.907</v>
      </c>
      <c r="Z191" s="39">
        <f>IFERROR(Y191/G191,0)</f>
        <v/>
      </c>
      <c r="AA191" s="35">
        <f>Y191-K191/1.06</f>
        <v/>
      </c>
      <c r="AB191" s="39">
        <f>IFERROR(AA191/G191,0)</f>
        <v/>
      </c>
      <c r="AC191" s="31" t="n">
        <v>-3.142755</v>
      </c>
      <c r="AD191" s="39">
        <f>IFERROR(AC191/G191,0)</f>
        <v/>
      </c>
    </row>
    <row r="192">
      <c r="A192" s="27" t="inlineStr">
        <is>
          <t>6.29-7.5</t>
        </is>
      </c>
      <c r="B192" s="27" t="inlineStr">
        <is>
          <t>6.29-7.5</t>
        </is>
      </c>
      <c r="C192" s="34" t="n">
        <v>773972883430</v>
      </c>
      <c r="D192" s="27" t="inlineStr">
        <is>
          <t>韩式袋面</t>
        </is>
      </c>
      <c r="E192" s="27" t="inlineStr">
        <is>
          <t>营多捞面韩式火鸡面辣蘑菇汤面袋装泡面辣味速食方便面宿舍宵夜面</t>
        </is>
      </c>
      <c r="F192" s="31" t="n">
        <v>18.9</v>
      </c>
      <c r="G192" s="35">
        <f>IFERROR(F192/1.13,0)</f>
        <v/>
      </c>
      <c r="H192" s="36" t="n">
        <v>1</v>
      </c>
      <c r="I192" s="37" t="n">
        <v>0.0002835270768358378</v>
      </c>
      <c r="J192" s="38">
        <f>IFERROR(F192/H192,0)</f>
        <v/>
      </c>
      <c r="K192" s="31" t="n">
        <v>2.67454777431245</v>
      </c>
      <c r="L192" s="31" t="n">
        <v>5.4321406294301</v>
      </c>
      <c r="M192" s="38">
        <f>IFERROR(L192/K192,0)</f>
        <v/>
      </c>
      <c r="N192" s="31" t="n">
        <v>0.5421916643039409</v>
      </c>
      <c r="O192" s="31" t="n">
        <v>1.49962007371704</v>
      </c>
      <c r="P192" s="38">
        <f>IFERROR(O192/N192,0)</f>
        <v/>
      </c>
      <c r="Q192" s="31" t="n">
        <v>3.216739</v>
      </c>
      <c r="R192" s="31" t="n">
        <v>6.931761</v>
      </c>
      <c r="S192" s="38">
        <f>IFERROR(R192/Q192,0)</f>
        <v/>
      </c>
      <c r="T192" s="39">
        <f>IFERROR(Q192/SUMIF($A:$A,A192,$Q:$Q),0)</f>
        <v/>
      </c>
      <c r="U192" s="39">
        <f>IFERROR(Q192/F192,0)</f>
        <v/>
      </c>
      <c r="V192" s="35">
        <f>F192-R192</f>
        <v/>
      </c>
      <c r="W192" s="39">
        <f>IFERROR(V192/F192,0)</f>
        <v/>
      </c>
      <c r="X192" s="29" t="n">
        <v>0.553161</v>
      </c>
      <c r="Y192" s="31" t="n">
        <v>2.317</v>
      </c>
      <c r="Z192" s="39">
        <f>IFERROR(Y192/G192,0)</f>
        <v/>
      </c>
      <c r="AA192" s="35">
        <f>Y192-K192/1.06</f>
        <v/>
      </c>
      <c r="AB192" s="39">
        <f>IFERROR(AA192/G192,0)</f>
        <v/>
      </c>
      <c r="AC192" s="31" t="n">
        <v>-1.23951</v>
      </c>
      <c r="AD192" s="39">
        <f>IFERROR(AC192/G192,0)</f>
        <v/>
      </c>
    </row>
    <row r="193">
      <c r="A193" s="27" t="inlineStr">
        <is>
          <t>6.29-7.5</t>
        </is>
      </c>
      <c r="B193" s="27" t="inlineStr">
        <is>
          <t>6.29-7.5</t>
        </is>
      </c>
      <c r="C193" s="34" t="n">
        <v>1028450344901</v>
      </c>
      <c r="D193" s="27" t="inlineStr">
        <is>
          <t>韩式袋面</t>
        </is>
      </c>
      <c r="E193" s="27" t="inlineStr">
        <is>
          <t>营多韩式火鸡面袋装拌面干拌面泡面方便面速食面宿舍宵夜旅行</t>
        </is>
      </c>
      <c r="F193" s="31" t="n">
        <v>11.94</v>
      </c>
      <c r="G193" s="35">
        <f>IFERROR(F193/1.13,0)</f>
        <v/>
      </c>
      <c r="H193" s="36" t="n">
        <v>1</v>
      </c>
      <c r="I193" s="37" t="n">
        <v>0.0002835270768358378</v>
      </c>
      <c r="J193" s="38">
        <f>IFERROR(F193/H193,0)</f>
        <v/>
      </c>
      <c r="K193" s="31" t="n">
        <v>4.63454777431245</v>
      </c>
      <c r="L193" s="31" t="n">
        <v>17.3721406294301</v>
      </c>
      <c r="M193" s="38">
        <f>IFERROR(L193/K193,0)</f>
        <v/>
      </c>
      <c r="N193" s="31" t="n">
        <v>0.5421916643039409</v>
      </c>
      <c r="O193" s="31" t="n">
        <v>1.49962007371704</v>
      </c>
      <c r="P193" s="38">
        <f>IFERROR(O193/N193,0)</f>
        <v/>
      </c>
      <c r="Q193" s="31" t="n">
        <v>5.176739</v>
      </c>
      <c r="R193" s="31" t="n">
        <v>18.871761</v>
      </c>
      <c r="S193" s="38">
        <f>IFERROR(R193/Q193,0)</f>
        <v/>
      </c>
      <c r="T193" s="39">
        <f>IFERROR(Q193/SUMIF($A:$A,A193,$Q:$Q),0)</f>
        <v/>
      </c>
      <c r="U193" s="39">
        <f>IFERROR(Q193/F193,0)</f>
        <v/>
      </c>
      <c r="V193" s="35">
        <f>F193-R193</f>
        <v/>
      </c>
      <c r="W193" s="39">
        <f>IFERROR(V193/F193,0)</f>
        <v/>
      </c>
      <c r="X193" s="29" t="n">
        <v>0.553161</v>
      </c>
      <c r="Y193" s="31" t="n">
        <v>-0.082</v>
      </c>
      <c r="Z193" s="39">
        <f>IFERROR(Y193/G193,0)</f>
        <v/>
      </c>
      <c r="AA193" s="35">
        <f>Y193-K193/1.06</f>
        <v/>
      </c>
      <c r="AB193" s="39">
        <f>IFERROR(AA193/G193,0)</f>
        <v/>
      </c>
      <c r="AC193" s="31" t="n">
        <v>-5.487567</v>
      </c>
      <c r="AD193" s="39">
        <f>IFERROR(AC193/G193,0)</f>
        <v/>
      </c>
    </row>
    <row r="194">
      <c r="A194" s="27" t="inlineStr">
        <is>
          <t>7.6-7.12</t>
        </is>
      </c>
      <c r="B194" s="27" t="inlineStr">
        <is>
          <t>7.6-7.12</t>
        </is>
      </c>
      <c r="C194" s="34" t="n">
        <v>668566625747</v>
      </c>
      <c r="D194" s="27" t="inlineStr">
        <is>
          <t>袋面主链接</t>
        </is>
      </c>
      <c r="E194" s="27" t="inlineStr">
        <is>
          <t>印尼营多捞面进口网红泡面袋装方便面速食食品拉面火鸡面拌面整箱</t>
        </is>
      </c>
      <c r="F194" s="31" t="n">
        <v>40188.9300000008</v>
      </c>
      <c r="G194" s="35">
        <f>IFERROR(F194/1.13,0)</f>
        <v/>
      </c>
      <c r="H194" s="36" t="n">
        <v>1602</v>
      </c>
      <c r="I194" s="37" t="n">
        <v>0.3611361587015329</v>
      </c>
      <c r="J194" s="38">
        <f>IFERROR(F194/H194,0)</f>
        <v/>
      </c>
      <c r="K194" s="31" t="n">
        <v>5196.71171866546</v>
      </c>
      <c r="L194" s="31" t="n">
        <v>28972.7690171326</v>
      </c>
      <c r="M194" s="38">
        <f>IFERROR(L194/K194,0)</f>
        <v/>
      </c>
      <c r="N194" s="31" t="n">
        <v>746.204810640216</v>
      </c>
      <c r="O194" s="31" t="n">
        <v>1965.26686203787</v>
      </c>
      <c r="P194" s="38">
        <f>IFERROR(O194/N194,0)</f>
        <v/>
      </c>
      <c r="Q194" s="31" t="n">
        <v>5942.916529</v>
      </c>
      <c r="R194" s="31" t="n">
        <v>30938.035879</v>
      </c>
      <c r="S194" s="38">
        <f>IFERROR(R194/Q194,0)</f>
        <v/>
      </c>
      <c r="T194" s="39">
        <f>IFERROR(Q194/SUMIF($A:$A,A194,$Q:$Q),0)</f>
        <v/>
      </c>
      <c r="U194" s="39">
        <f>IFERROR(Q194/F194,0)</f>
        <v/>
      </c>
      <c r="V194" s="35">
        <f>F194-R194</f>
        <v/>
      </c>
      <c r="W194" s="39">
        <f>IFERROR(V194/F194,0)</f>
        <v/>
      </c>
      <c r="X194" s="29" t="n">
        <v>741.77367</v>
      </c>
      <c r="Y194" s="31" t="n">
        <v>5394.89600000002</v>
      </c>
      <c r="Z194" s="39">
        <f>IFERROR(Y194/G194,0)</f>
        <v/>
      </c>
      <c r="AA194" s="35">
        <f>Y194-K194/1.06</f>
        <v/>
      </c>
      <c r="AB194" s="39">
        <f>IFERROR(AA194/G194,0)</f>
        <v/>
      </c>
      <c r="AC194" s="31" t="n">
        <v>-911.415509</v>
      </c>
      <c r="AD194" s="39">
        <f>IFERROR(AC194/G194,0)</f>
        <v/>
      </c>
    </row>
    <row r="195">
      <c r="A195" s="27" t="inlineStr">
        <is>
          <t>7.6-7.12</t>
        </is>
      </c>
      <c r="B195" s="27" t="inlineStr">
        <is>
          <t>7.6-7.12</t>
        </is>
      </c>
      <c r="C195" s="34" t="n">
        <v>649361890551</v>
      </c>
      <c r="D195" s="27" t="inlineStr">
        <is>
          <t>袋面次链接</t>
        </is>
      </c>
      <c r="E195" s="27" t="inlineStr">
        <is>
          <t>营多捞面印尼进口Indomie网红夜宵早餐方便面火鸡面泡面拌面</t>
        </is>
      </c>
      <c r="F195" s="31" t="n">
        <v>19322.2800000001</v>
      </c>
      <c r="G195" s="35">
        <f>IFERROR(F195/1.13,0)</f>
        <v/>
      </c>
      <c r="H195" s="36" t="n">
        <v>1016</v>
      </c>
      <c r="I195" s="37" t="n">
        <v>0.2290351668169522</v>
      </c>
      <c r="J195" s="38">
        <f>IFERROR(F195/H195,0)</f>
        <v/>
      </c>
      <c r="K195" s="31" t="n">
        <v>2912.93947700631</v>
      </c>
      <c r="L195" s="31" t="n">
        <v>14846.4526600541</v>
      </c>
      <c r="M195" s="38">
        <f>IFERROR(L195/K195,0)</f>
        <v/>
      </c>
      <c r="N195" s="31" t="n">
        <v>473.248494138864</v>
      </c>
      <c r="O195" s="31" t="n">
        <v>1246.38647430117</v>
      </c>
      <c r="P195" s="38">
        <f>IFERROR(O195/N195,0)</f>
        <v/>
      </c>
      <c r="Q195" s="31" t="n">
        <v>3386.187971</v>
      </c>
      <c r="R195" s="31" t="n">
        <v>16092.839134</v>
      </c>
      <c r="S195" s="38">
        <f>IFERROR(R195/Q195,0)</f>
        <v/>
      </c>
      <c r="T195" s="39">
        <f>IFERROR(Q195/SUMIF($A:$A,A195,$Q:$Q),0)</f>
        <v/>
      </c>
      <c r="U195" s="39">
        <f>IFERROR(Q195/F195,0)</f>
        <v/>
      </c>
      <c r="V195" s="35">
        <f>F195-R195</f>
        <v/>
      </c>
      <c r="W195" s="39">
        <f>IFERROR(V195/F195,0)</f>
        <v/>
      </c>
      <c r="X195" s="29" t="n">
        <v>470.438233</v>
      </c>
      <c r="Y195" s="31" t="n">
        <v>1830.43399999999</v>
      </c>
      <c r="Z195" s="39">
        <f>IFERROR(Y195/G195,0)</f>
        <v/>
      </c>
      <c r="AA195" s="35">
        <f>Y195-K195/1.06</f>
        <v/>
      </c>
      <c r="AB195" s="39">
        <f>IFERROR(AA195/G195,0)</f>
        <v/>
      </c>
      <c r="AC195" s="31" t="n">
        <v>-1807.892607</v>
      </c>
      <c r="AD195" s="39">
        <f>IFERROR(AC195/G195,0)</f>
        <v/>
      </c>
    </row>
    <row r="196">
      <c r="A196" s="27" t="inlineStr">
        <is>
          <t>7.6-7.12</t>
        </is>
      </c>
      <c r="B196" s="27" t="inlineStr">
        <is>
          <t>7.6-7.12</t>
        </is>
      </c>
      <c r="C196" s="34" t="n">
        <v>649735171438</v>
      </c>
      <c r="D196" s="27" t="inlineStr">
        <is>
          <t>杯面主链接</t>
        </is>
      </c>
      <c r="E196" s="27" t="inlineStr">
        <is>
          <t>印尼进口indomie营多捞面杯面速食泡面干拌面盒桶装方便面火鸡面</t>
        </is>
      </c>
      <c r="F196" s="31" t="n">
        <v>16136.27</v>
      </c>
      <c r="G196" s="35">
        <f>IFERROR(F196/1.13,0)</f>
        <v/>
      </c>
      <c r="H196" s="36" t="n">
        <v>620</v>
      </c>
      <c r="I196" s="37" t="n">
        <v>0.1397655545536519</v>
      </c>
      <c r="J196" s="38">
        <f>IFERROR(F196/H196,0)</f>
        <v/>
      </c>
      <c r="K196" s="31" t="n">
        <v>2442.18015329125</v>
      </c>
      <c r="L196" s="31" t="n">
        <v>10817.0055996393</v>
      </c>
      <c r="M196" s="38">
        <f>IFERROR(L196/K196,0)</f>
        <v/>
      </c>
      <c r="N196" s="31" t="n">
        <v>288.793372407574</v>
      </c>
      <c r="O196" s="31" t="n">
        <v>760.590171325518</v>
      </c>
      <c r="P196" s="38">
        <f>IFERROR(O196/N196,0)</f>
        <v/>
      </c>
      <c r="Q196" s="31" t="n">
        <v>2730.973526</v>
      </c>
      <c r="R196" s="31" t="n">
        <v>11577.595771</v>
      </c>
      <c r="S196" s="38">
        <f>IFERROR(R196/Q196,0)</f>
        <v/>
      </c>
      <c r="T196" s="39">
        <f>IFERROR(Q196/SUMIF($A:$A,A196,$Q:$Q),0)</f>
        <v/>
      </c>
      <c r="U196" s="39">
        <f>IFERROR(Q196/F196,0)</f>
        <v/>
      </c>
      <c r="V196" s="35">
        <f>F196-R196</f>
        <v/>
      </c>
      <c r="W196" s="39">
        <f>IFERROR(V196/F196,0)</f>
        <v/>
      </c>
      <c r="X196" s="29" t="n">
        <v>287.078449</v>
      </c>
      <c r="Y196" s="31" t="n">
        <v>1823.356</v>
      </c>
      <c r="Z196" s="39">
        <f>IFERROR(Y196/G196,0)</f>
        <v/>
      </c>
      <c r="AA196" s="35">
        <f>Y196-K196/1.06</f>
        <v/>
      </c>
      <c r="AB196" s="39">
        <f>IFERROR(AA196/G196,0)</f>
        <v/>
      </c>
      <c r="AC196" s="31" t="n">
        <v>-1023.862844</v>
      </c>
      <c r="AD196" s="39">
        <f>IFERROR(AC196/G196,0)</f>
        <v/>
      </c>
    </row>
    <row r="197">
      <c r="A197" s="27" t="inlineStr">
        <is>
          <t>7.6-7.12</t>
        </is>
      </c>
      <c r="B197" s="27" t="inlineStr">
        <is>
          <t>7.6-7.12</t>
        </is>
      </c>
      <c r="C197" s="34" t="n">
        <v>649369494424</v>
      </c>
      <c r="D197" s="27" t="inlineStr">
        <is>
          <t>24包经典/牛系列</t>
        </is>
      </c>
      <c r="E197" s="27" t="inlineStr">
        <is>
          <t>营多捞面干拌面一整箱24袋装批发泡面混搭宿舍速食方便面火鸡面</t>
        </is>
      </c>
      <c r="F197" s="31" t="n">
        <v>8349.27</v>
      </c>
      <c r="G197" s="35">
        <f>IFERROR(F197/1.13,0)</f>
        <v/>
      </c>
      <c r="H197" s="36" t="n">
        <v>151</v>
      </c>
      <c r="I197" s="37" t="n">
        <v>0.03403967538322814</v>
      </c>
      <c r="J197" s="38">
        <f>IFERROR(F197/H197,0)</f>
        <v/>
      </c>
      <c r="K197" s="31" t="n">
        <v>1039.7771663661</v>
      </c>
      <c r="L197" s="31" t="n">
        <v>4807.33428313796</v>
      </c>
      <c r="M197" s="38">
        <f>IFERROR(L197/K197,0)</f>
        <v/>
      </c>
      <c r="N197" s="31" t="n">
        <v>70.3351600541028</v>
      </c>
      <c r="O197" s="31" t="n">
        <v>185.240509467989</v>
      </c>
      <c r="P197" s="38">
        <f>IFERROR(O197/N197,0)</f>
        <v/>
      </c>
      <c r="Q197" s="31" t="n">
        <v>1110.112326</v>
      </c>
      <c r="R197" s="31" t="n">
        <v>4992.574793</v>
      </c>
      <c r="S197" s="38">
        <f>IFERROR(R197/Q197,0)</f>
        <v/>
      </c>
      <c r="T197" s="39">
        <f>IFERROR(Q197/SUMIF($A:$A,A197,$Q:$Q),0)</f>
        <v/>
      </c>
      <c r="U197" s="39">
        <f>IFERROR(Q197/F197,0)</f>
        <v/>
      </c>
      <c r="V197" s="35">
        <f>F197-R197</f>
        <v/>
      </c>
      <c r="W197" s="39">
        <f>IFERROR(V197/F197,0)</f>
        <v/>
      </c>
      <c r="X197" s="29" t="n">
        <v>69.91749299999999</v>
      </c>
      <c r="Y197" s="31" t="n">
        <v>1570.656</v>
      </c>
      <c r="Z197" s="39">
        <f>IFERROR(Y197/G197,0)</f>
        <v/>
      </c>
      <c r="AA197" s="35">
        <f>Y197-K197/1.06</f>
        <v/>
      </c>
      <c r="AB197" s="39">
        <f>IFERROR(AA197/G197,0)</f>
        <v/>
      </c>
      <c r="AC197" s="31" t="n">
        <v>457.420321</v>
      </c>
      <c r="AD197" s="39">
        <f>IFERROR(AC197/G197,0)</f>
        <v/>
      </c>
    </row>
    <row r="198">
      <c r="A198" s="27" t="inlineStr">
        <is>
          <t>7.6-7.12</t>
        </is>
      </c>
      <c r="B198" s="27" t="inlineStr">
        <is>
          <t>7.6-7.12</t>
        </is>
      </c>
      <c r="C198" s="34" t="n">
        <v>648600900806</v>
      </c>
      <c r="D198" s="27" t="inlineStr">
        <is>
          <t>巴东牛肉</t>
        </is>
      </c>
      <c r="E198" s="27" t="inlineStr">
        <is>
          <t>【新口味】印尼进口营多捞面巴东炖牛肉味泡面方便面宿舍速食宵夜</t>
        </is>
      </c>
      <c r="F198" s="31" t="n">
        <v>10039.79</v>
      </c>
      <c r="G198" s="35">
        <f>IFERROR(F198/1.13,0)</f>
        <v/>
      </c>
      <c r="H198" s="36" t="n">
        <v>148</v>
      </c>
      <c r="I198" s="37" t="n">
        <v>0.0333633904418395</v>
      </c>
      <c r="J198" s="38">
        <f>IFERROR(F198/H198,0)</f>
        <v/>
      </c>
      <c r="K198" s="31" t="n">
        <v>1761.80126239856</v>
      </c>
      <c r="L198" s="31" t="n">
        <v>9618.81082055906</v>
      </c>
      <c r="M198" s="38">
        <f>IFERROR(L198/K198,0)</f>
        <v/>
      </c>
      <c r="N198" s="31" t="n">
        <v>68.93777276825971</v>
      </c>
      <c r="O198" s="31" t="n">
        <v>181.560234445446</v>
      </c>
      <c r="P198" s="38">
        <f>IFERROR(O198/N198,0)</f>
        <v/>
      </c>
      <c r="Q198" s="31" t="n">
        <v>1830.739035</v>
      </c>
      <c r="R198" s="31" t="n">
        <v>9800.371055</v>
      </c>
      <c r="S198" s="38">
        <f>IFERROR(R198/Q198,0)</f>
        <v/>
      </c>
      <c r="T198" s="39">
        <f>IFERROR(Q198/SUMIF($A:$A,A198,$Q:$Q),0)</f>
        <v/>
      </c>
      <c r="U198" s="39">
        <f>IFERROR(Q198/F198,0)</f>
        <v/>
      </c>
      <c r="V198" s="35">
        <f>F198-R198</f>
        <v/>
      </c>
      <c r="W198" s="39">
        <f>IFERROR(V198/F198,0)</f>
        <v/>
      </c>
      <c r="X198" s="29" t="n">
        <v>68.52840399999999</v>
      </c>
      <c r="Y198" s="31" t="n">
        <v>1833.091</v>
      </c>
      <c r="Z198" s="39">
        <f>IFERROR(Y198/G198,0)</f>
        <v/>
      </c>
      <c r="AA198" s="35">
        <f>Y198-K198/1.06</f>
        <v/>
      </c>
      <c r="AB198" s="39">
        <f>IFERROR(AA198/G198,0)</f>
        <v/>
      </c>
      <c r="AC198" s="31" t="n">
        <v>41.329265</v>
      </c>
      <c r="AD198" s="39">
        <f>IFERROR(AC198/G198,0)</f>
        <v/>
      </c>
    </row>
    <row r="199">
      <c r="A199" s="27" t="inlineStr">
        <is>
          <t>7.6-7.12</t>
        </is>
      </c>
      <c r="B199" s="27" t="inlineStr">
        <is>
          <t>7.6-7.12</t>
        </is>
      </c>
      <c r="C199" s="34" t="n">
        <v>1057479227624</v>
      </c>
      <c r="D199" s="27" t="inlineStr">
        <is>
          <t>巴东牛肉</t>
        </is>
      </c>
      <c r="E199" s="27" t="inlineStr">
        <is>
          <t>【新口味】印尼进口营多捞面巴东炖牛肉味泡面方便面宿舍速食宵夜</t>
        </is>
      </c>
      <c r="F199" s="31" t="n">
        <v>2371.33</v>
      </c>
      <c r="G199" s="35">
        <f>IFERROR(F199/1.13,0)</f>
        <v/>
      </c>
      <c r="H199" s="36" t="n">
        <v>134</v>
      </c>
      <c r="I199" s="37" t="n">
        <v>0.03020739404869252</v>
      </c>
      <c r="J199" s="38">
        <f>IFERROR(F199/H199,0)</f>
        <v/>
      </c>
      <c r="K199" s="31" t="n">
        <v>844.283710550045</v>
      </c>
      <c r="L199" s="31" t="n">
        <v>3757.34466185753</v>
      </c>
      <c r="M199" s="38">
        <f>IFERROR(L199/K199,0)</f>
        <v/>
      </c>
      <c r="N199" s="31" t="n">
        <v>62.4166321009919</v>
      </c>
      <c r="O199" s="31" t="n">
        <v>164.38561767358</v>
      </c>
      <c r="P199" s="38">
        <f>IFERROR(O199/N199,0)</f>
        <v/>
      </c>
      <c r="Q199" s="31" t="n">
        <v>906.700343</v>
      </c>
      <c r="R199" s="31" t="n">
        <v>3921.73028</v>
      </c>
      <c r="S199" s="38">
        <f>IFERROR(R199/Q199,0)</f>
        <v/>
      </c>
      <c r="T199" s="39">
        <f>IFERROR(Q199/SUMIF($A:$A,A199,$Q:$Q),0)</f>
        <v/>
      </c>
      <c r="U199" s="39">
        <f>IFERROR(Q199/F199,0)</f>
        <v/>
      </c>
      <c r="V199" s="35">
        <f>F199-R199</f>
        <v/>
      </c>
      <c r="W199" s="39">
        <f>IFERROR(V199/F199,0)</f>
        <v/>
      </c>
      <c r="X199" s="29" t="n">
        <v>62.045987</v>
      </c>
      <c r="Y199" s="31" t="n">
        <v>257.016</v>
      </c>
      <c r="Z199" s="39">
        <f>IFERROR(Y199/G199,0)</f>
        <v/>
      </c>
      <c r="AA199" s="35">
        <f>Y199-K199/1.06</f>
        <v/>
      </c>
      <c r="AB199" s="39">
        <f>IFERROR(AA199/G199,0)</f>
        <v/>
      </c>
      <c r="AC199" s="31" t="n">
        <v>-656.895632</v>
      </c>
      <c r="AD199" s="39">
        <f>IFERROR(AC199/G199,0)</f>
        <v/>
      </c>
    </row>
    <row r="200">
      <c r="A200" s="27" t="inlineStr">
        <is>
          <t>7.6-7.12</t>
        </is>
      </c>
      <c r="B200" s="27" t="inlineStr">
        <is>
          <t>7.6-7.12</t>
        </is>
      </c>
      <c r="C200" s="34" t="n">
        <v>1058280415678</v>
      </c>
      <c r="D200" s="27" t="inlineStr">
        <is>
          <t>原味大包</t>
        </is>
      </c>
      <c r="E200" s="27" t="inlineStr">
        <is>
          <t>印尼进口大大包营多原味捞面5包干拌面速食超大包方便面速食宵夜</t>
        </is>
      </c>
      <c r="F200" s="31" t="n">
        <v>3110.5</v>
      </c>
      <c r="G200" s="35">
        <f>IFERROR(F200/1.13,0)</f>
        <v/>
      </c>
      <c r="H200" s="36" t="n">
        <v>123</v>
      </c>
      <c r="I200" s="37" t="n">
        <v>0.02772768259693418</v>
      </c>
      <c r="J200" s="38">
        <f>IFERROR(F200/H200,0)</f>
        <v/>
      </c>
      <c r="K200" s="31" t="n">
        <v>529.482062669071</v>
      </c>
      <c r="L200" s="31" t="n">
        <v>2824.4019657349</v>
      </c>
      <c r="M200" s="38">
        <f>IFERROR(L200/K200,0)</f>
        <v/>
      </c>
      <c r="N200" s="31" t="n">
        <v>57.2928787195672</v>
      </c>
      <c r="O200" s="31" t="n">
        <v>150.891275924256</v>
      </c>
      <c r="P200" s="38">
        <f>IFERROR(O200/N200,0)</f>
        <v/>
      </c>
      <c r="Q200" s="31" t="n">
        <v>586.774941</v>
      </c>
      <c r="R200" s="31" t="n">
        <v>2975.293242</v>
      </c>
      <c r="S200" s="38">
        <f>IFERROR(R200/Q200,0)</f>
        <v/>
      </c>
      <c r="T200" s="39">
        <f>IFERROR(Q200/SUMIF($A:$A,A200,$Q:$Q),0)</f>
        <v/>
      </c>
      <c r="U200" s="39">
        <f>IFERROR(Q200/F200,0)</f>
        <v/>
      </c>
      <c r="V200" s="35">
        <f>F200-R200</f>
        <v/>
      </c>
      <c r="W200" s="39">
        <f>IFERROR(V200/F200,0)</f>
        <v/>
      </c>
      <c r="X200" s="29" t="n">
        <v>56.95266</v>
      </c>
      <c r="Y200" s="31" t="n">
        <v>636.543000000001</v>
      </c>
      <c r="Z200" s="39">
        <f>IFERROR(Y200/G200,0)</f>
        <v/>
      </c>
      <c r="AA200" s="35">
        <f>Y200-K200/1.06</f>
        <v/>
      </c>
      <c r="AB200" s="39">
        <f>IFERROR(AA200/G200,0)</f>
        <v/>
      </c>
      <c r="AC200" s="31" t="n">
        <v>29.25281</v>
      </c>
      <c r="AD200" s="39">
        <f>IFERROR(AC200/G200,0)</f>
        <v/>
      </c>
    </row>
    <row r="201">
      <c r="A201" s="27" t="inlineStr">
        <is>
          <t>7.6-7.12</t>
        </is>
      </c>
      <c r="B201" s="27" t="inlineStr">
        <is>
          <t>7.6-7.12</t>
        </is>
      </c>
      <c r="C201" s="34" t="n">
        <v>648598580775</v>
      </c>
      <c r="D201" s="27" t="inlineStr">
        <is>
          <t>15包</t>
        </is>
      </c>
      <c r="E201" s="27" t="inlineStr">
        <is>
          <t>进口营多捞面15包Indomie方便面干拌面夜宵方便速食五连包85g*5</t>
        </is>
      </c>
      <c r="F201" s="31" t="n">
        <v>3562.12</v>
      </c>
      <c r="G201" s="35">
        <f>IFERROR(F201/1.13,0)</f>
        <v/>
      </c>
      <c r="H201" s="36" t="n">
        <v>97</v>
      </c>
      <c r="I201" s="37" t="n">
        <v>0.02186654643823264</v>
      </c>
      <c r="J201" s="38">
        <f>IFERROR(F201/H201,0)</f>
        <v/>
      </c>
      <c r="K201" s="31" t="n">
        <v>524.250894950406</v>
      </c>
      <c r="L201" s="31" t="n">
        <v>2610.94195671776</v>
      </c>
      <c r="M201" s="38">
        <f>IFERROR(L201/K201,0)</f>
        <v/>
      </c>
      <c r="N201" s="31" t="n">
        <v>45.182188908927</v>
      </c>
      <c r="O201" s="31" t="n">
        <v>118.995559062218</v>
      </c>
      <c r="P201" s="38">
        <f>IFERROR(O201/N201,0)</f>
        <v/>
      </c>
      <c r="Q201" s="31" t="n">
        <v>569.433084</v>
      </c>
      <c r="R201" s="31" t="n">
        <v>2729.937516</v>
      </c>
      <c r="S201" s="38">
        <f>IFERROR(R201/Q201,0)</f>
        <v/>
      </c>
      <c r="T201" s="39">
        <f>IFERROR(Q201/SUMIF($A:$A,A201,$Q:$Q),0)</f>
        <v/>
      </c>
      <c r="U201" s="39">
        <f>IFERROR(Q201/F201,0)</f>
        <v/>
      </c>
      <c r="V201" s="35">
        <f>F201-R201</f>
        <v/>
      </c>
      <c r="W201" s="39">
        <f>IFERROR(V201/F201,0)</f>
        <v/>
      </c>
      <c r="X201" s="29" t="n">
        <v>44.913886</v>
      </c>
      <c r="Y201" s="31" t="n">
        <v>643.17</v>
      </c>
      <c r="Z201" s="39">
        <f>IFERROR(Y201/G201,0)</f>
        <v/>
      </c>
      <c r="AA201" s="35">
        <f>Y201-K201/1.06</f>
        <v/>
      </c>
      <c r="AB201" s="39">
        <f>IFERROR(AA201/G201,0)</f>
        <v/>
      </c>
      <c r="AC201" s="31" t="n">
        <v>63.597387</v>
      </c>
      <c r="AD201" s="39">
        <f>IFERROR(AC201/G201,0)</f>
        <v/>
      </c>
    </row>
    <row r="202">
      <c r="A202" s="27" t="inlineStr">
        <is>
          <t>7.6-7.12</t>
        </is>
      </c>
      <c r="B202" s="27" t="inlineStr">
        <is>
          <t>7.6-7.12</t>
        </is>
      </c>
      <c r="C202" s="34" t="n">
        <v>649014937782</v>
      </c>
      <c r="D202" s="27" t="inlineStr">
        <is>
          <t>24包</t>
        </is>
      </c>
      <c r="E202" s="27" t="inlineStr">
        <is>
          <t>印尼营多捞面干拌面一整箱24袋装批发泡面宿舍速食方便面火鸡面</t>
        </is>
      </c>
      <c r="F202" s="31" t="n">
        <v>4671.21</v>
      </c>
      <c r="G202" s="35">
        <f>IFERROR(F202/1.13,0)</f>
        <v/>
      </c>
      <c r="H202" s="36" t="n">
        <v>83</v>
      </c>
      <c r="I202" s="37" t="n">
        <v>0.01871055004508566</v>
      </c>
      <c r="J202" s="38">
        <f>IFERROR(F202/H202,0)</f>
        <v/>
      </c>
      <c r="K202" s="31" t="n">
        <v>903.783343101894</v>
      </c>
      <c r="L202" s="31" t="n">
        <v>4063.60579801623</v>
      </c>
      <c r="M202" s="38">
        <f>IFERROR(L202/K202,0)</f>
        <v/>
      </c>
      <c r="N202" s="31" t="n">
        <v>38.6610482416592</v>
      </c>
      <c r="O202" s="31" t="n">
        <v>101.820942290352</v>
      </c>
      <c r="P202" s="38">
        <f>IFERROR(O202/N202,0)</f>
        <v/>
      </c>
      <c r="Q202" s="31" t="n">
        <v>942.444391</v>
      </c>
      <c r="R202" s="31" t="n">
        <v>4165.42674</v>
      </c>
      <c r="S202" s="38">
        <f>IFERROR(R202/Q202,0)</f>
        <v/>
      </c>
      <c r="T202" s="39">
        <f>IFERROR(Q202/SUMIF($A:$A,A202,$Q:$Q),0)</f>
        <v/>
      </c>
      <c r="U202" s="39">
        <f>IFERROR(Q202/F202,0)</f>
        <v/>
      </c>
      <c r="V202" s="35">
        <f>F202-R202</f>
        <v/>
      </c>
      <c r="W202" s="39">
        <f>IFERROR(V202/F202,0)</f>
        <v/>
      </c>
      <c r="X202" s="29" t="n">
        <v>38.43147</v>
      </c>
      <c r="Y202" s="31" t="n">
        <v>920.4120000000009</v>
      </c>
      <c r="Z202" s="39">
        <f>IFERROR(Y202/G202,0)</f>
        <v/>
      </c>
      <c r="AA202" s="35">
        <f>Y202-K202/1.06</f>
        <v/>
      </c>
      <c r="AB202" s="39">
        <f>IFERROR(AA202/G202,0)</f>
        <v/>
      </c>
      <c r="AC202" s="31" t="n">
        <v>-4.942586</v>
      </c>
      <c r="AD202" s="39">
        <f>IFERROR(AC202/G202,0)</f>
        <v/>
      </c>
    </row>
    <row r="203">
      <c r="A203" s="27" t="inlineStr">
        <is>
          <t>7.6-7.12</t>
        </is>
      </c>
      <c r="B203" s="27" t="inlineStr">
        <is>
          <t>7.6-7.12</t>
        </is>
      </c>
      <c r="C203" s="34" t="n">
        <v>1060999732877</v>
      </c>
      <c r="D203" s="27" t="inlineStr">
        <is>
          <t>原味大包</t>
        </is>
      </c>
      <c r="E203" s="27" t="inlineStr">
        <is>
          <t>印尼进口大大包营多原味捞面5包干拌面速食超大包方便面速食宵夜</t>
        </is>
      </c>
      <c r="F203" s="31" t="n">
        <v>1999.22</v>
      </c>
      <c r="G203" s="35">
        <f>IFERROR(F203/1.13,0)</f>
        <v/>
      </c>
      <c r="H203" s="36" t="n">
        <v>73</v>
      </c>
      <c r="I203" s="37" t="n">
        <v>0.01645626690712353</v>
      </c>
      <c r="J203" s="38">
        <f>IFERROR(F203/H203,0)</f>
        <v/>
      </c>
      <c r="K203" s="31" t="n">
        <v>424.363663210099</v>
      </c>
      <c r="L203" s="31" t="n">
        <v>2128.85425608656</v>
      </c>
      <c r="M203" s="38">
        <f>IFERROR(L203/K203,0)</f>
        <v/>
      </c>
      <c r="N203" s="31" t="n">
        <v>34.0030906221821</v>
      </c>
      <c r="O203" s="31" t="n">
        <v>89.5533588818756</v>
      </c>
      <c r="P203" s="38">
        <f>IFERROR(O203/N203,0)</f>
        <v/>
      </c>
      <c r="Q203" s="31" t="n">
        <v>458.366754</v>
      </c>
      <c r="R203" s="31" t="n">
        <v>2218.407615</v>
      </c>
      <c r="S203" s="38">
        <f>IFERROR(R203/Q203,0)</f>
        <v/>
      </c>
      <c r="T203" s="39">
        <f>IFERROR(Q203/SUMIF($A:$A,A203,$Q:$Q),0)</f>
        <v/>
      </c>
      <c r="U203" s="39">
        <f>IFERROR(Q203/F203,0)</f>
        <v/>
      </c>
      <c r="V203" s="35">
        <f>F203-R203</f>
        <v/>
      </c>
      <c r="W203" s="39">
        <f>IFERROR(V203/F203,0)</f>
        <v/>
      </c>
      <c r="X203" s="29" t="n">
        <v>33.801172</v>
      </c>
      <c r="Y203" s="31" t="n">
        <v>424.074</v>
      </c>
      <c r="Z203" s="39">
        <f>IFERROR(Y203/G203,0)</f>
        <v/>
      </c>
      <c r="AA203" s="35">
        <f>Y203-K203/1.06</f>
        <v/>
      </c>
      <c r="AB203" s="39">
        <f>IFERROR(AA203/G203,0)</f>
        <v/>
      </c>
      <c r="AC203" s="31" t="n">
        <v>-40.235364</v>
      </c>
      <c r="AD203" s="39">
        <f>IFERROR(AC203/G203,0)</f>
        <v/>
      </c>
    </row>
    <row r="204">
      <c r="A204" s="27" t="inlineStr">
        <is>
          <t>7.6-7.12</t>
        </is>
      </c>
      <c r="B204" s="27" t="inlineStr">
        <is>
          <t>7.6-7.12</t>
        </is>
      </c>
      <c r="C204" s="34" t="n">
        <v>1013887677295</v>
      </c>
      <c r="D204" s="27" t="inlineStr">
        <is>
          <t>混搭5杯</t>
        </is>
      </c>
      <c r="E204" s="27" t="inlineStr">
        <is>
          <t>进口营多原味杯面日式杯面韩式杯面泡面方便面汤面宿舍速食夜宵</t>
        </is>
      </c>
      <c r="F204" s="31" t="n">
        <v>1657.85</v>
      </c>
      <c r="G204" s="35">
        <f>IFERROR(F204/1.13,0)</f>
        <v/>
      </c>
      <c r="H204" s="36" t="n">
        <v>64</v>
      </c>
      <c r="I204" s="37" t="n">
        <v>0.01442741208295762</v>
      </c>
      <c r="J204" s="38">
        <f>IFERROR(F204/H204,0)</f>
        <v/>
      </c>
      <c r="K204" s="31" t="n">
        <v>273.425951307484</v>
      </c>
      <c r="L204" s="31" t="n">
        <v>1077.48386834987</v>
      </c>
      <c r="M204" s="38">
        <f>IFERROR(L204/K204,0)</f>
        <v/>
      </c>
      <c r="N204" s="31" t="n">
        <v>29.8109287646528</v>
      </c>
      <c r="O204" s="31" t="n">
        <v>78.51253381424711</v>
      </c>
      <c r="P204" s="38">
        <f>IFERROR(O204/N204,0)</f>
        <v/>
      </c>
      <c r="Q204" s="31" t="n">
        <v>303.23688</v>
      </c>
      <c r="R204" s="31" t="n">
        <v>1155.996402</v>
      </c>
      <c r="S204" s="38">
        <f>IFERROR(R204/Q204,0)</f>
        <v/>
      </c>
      <c r="T204" s="39">
        <f>IFERROR(Q204/SUMIF($A:$A,A204,$Q:$Q),0)</f>
        <v/>
      </c>
      <c r="U204" s="39">
        <f>IFERROR(Q204/F204,0)</f>
        <v/>
      </c>
      <c r="V204" s="35">
        <f>F204-R204</f>
        <v/>
      </c>
      <c r="W204" s="39">
        <f>IFERROR(V204/F204,0)</f>
        <v/>
      </c>
      <c r="X204" s="29" t="n">
        <v>29.633904</v>
      </c>
      <c r="Y204" s="31" t="n">
        <v>186.377</v>
      </c>
      <c r="Z204" s="39">
        <f>IFERROR(Y204/G204,0)</f>
        <v/>
      </c>
      <c r="AA204" s="35">
        <f>Y204-K204/1.06</f>
        <v/>
      </c>
      <c r="AB204" s="39">
        <f>IFERROR(AA204/G204,0)</f>
        <v/>
      </c>
      <c r="AC204" s="31" t="n">
        <v>-127.652042</v>
      </c>
      <c r="AD204" s="39">
        <f>IFERROR(AC204/G204,0)</f>
        <v/>
      </c>
    </row>
    <row r="205">
      <c r="A205" s="27" t="inlineStr">
        <is>
          <t>7.6-7.12</t>
        </is>
      </c>
      <c r="B205" s="27" t="inlineStr">
        <is>
          <t>7.6-7.12</t>
        </is>
      </c>
      <c r="C205" s="34" t="n">
        <v>648681860568</v>
      </c>
      <c r="D205" s="27" t="inlineStr">
        <is>
          <t>原味大包</t>
        </is>
      </c>
      <c r="E205" s="27" t="inlineStr">
        <is>
          <t>indomie印尼进口营多原味大大包129g捞面方便面速食食品宵夜小吃</t>
        </is>
      </c>
      <c r="F205" s="31" t="n">
        <v>1204.3</v>
      </c>
      <c r="G205" s="35">
        <f>IFERROR(F205/1.13,0)</f>
        <v/>
      </c>
      <c r="H205" s="36" t="n">
        <v>51</v>
      </c>
      <c r="I205" s="37" t="n">
        <v>0.01149684400360685</v>
      </c>
      <c r="J205" s="38">
        <f>IFERROR(F205/H205,0)</f>
        <v/>
      </c>
      <c r="K205" s="31" t="n">
        <v>253.710367448152</v>
      </c>
      <c r="L205" s="31" t="n">
        <v>1232.9488638413</v>
      </c>
      <c r="M205" s="38">
        <f>IFERROR(L205/K205,0)</f>
        <v/>
      </c>
      <c r="N205" s="31" t="n">
        <v>23.7555838593327</v>
      </c>
      <c r="O205" s="31" t="n">
        <v>62.5646753832281</v>
      </c>
      <c r="P205" s="38">
        <f>IFERROR(O205/N205,0)</f>
        <v/>
      </c>
      <c r="Q205" s="31" t="n">
        <v>277.465951</v>
      </c>
      <c r="R205" s="31" t="n">
        <v>1295.513539</v>
      </c>
      <c r="S205" s="38">
        <f>IFERROR(R205/Q205,0)</f>
        <v/>
      </c>
      <c r="T205" s="39">
        <f>IFERROR(Q205/SUMIF($A:$A,A205,$Q:$Q),0)</f>
        <v/>
      </c>
      <c r="U205" s="39">
        <f>IFERROR(Q205/F205,0)</f>
        <v/>
      </c>
      <c r="V205" s="35">
        <f>F205-R205</f>
        <v/>
      </c>
      <c r="W205" s="39">
        <f>IFERROR(V205/F205,0)</f>
        <v/>
      </c>
      <c r="X205" s="29" t="n">
        <v>23.614518</v>
      </c>
      <c r="Y205" s="31" t="n">
        <v>123.953</v>
      </c>
      <c r="Z205" s="39">
        <f>IFERROR(Y205/G205,0)</f>
        <v/>
      </c>
      <c r="AA205" s="35">
        <f>Y205-K205/1.06</f>
        <v/>
      </c>
      <c r="AB205" s="39">
        <f>IFERROR(AA205/G205,0)</f>
        <v/>
      </c>
      <c r="AC205" s="31" t="n">
        <v>-160.085178</v>
      </c>
      <c r="AD205" s="39">
        <f>IFERROR(AC205/G205,0)</f>
        <v/>
      </c>
    </row>
    <row r="206">
      <c r="A206" s="27" t="inlineStr">
        <is>
          <t>7.6-7.12</t>
        </is>
      </c>
      <c r="B206" s="27" t="inlineStr">
        <is>
          <t>7.6-7.12</t>
        </is>
      </c>
      <c r="C206" s="34" t="n">
        <v>766165464414</v>
      </c>
      <c r="D206" s="27" t="inlineStr">
        <is>
          <t>巴东牛肉</t>
        </is>
      </c>
      <c r="E206" s="27" t="inlineStr">
        <is>
          <t>营多进口新口味巴东炖牛肉味捞面印尼料理方便面泡面捞面夜宵速食</t>
        </is>
      </c>
      <c r="F206" s="31" t="n">
        <v>1293.51</v>
      </c>
      <c r="G206" s="35">
        <f>IFERROR(F206/1.13,0)</f>
        <v/>
      </c>
      <c r="H206" s="36" t="n">
        <v>44</v>
      </c>
      <c r="I206" s="37" t="n">
        <v>0.009918845807033363</v>
      </c>
      <c r="J206" s="38">
        <f>IFERROR(F206/H206,0)</f>
        <v/>
      </c>
      <c r="K206" s="31" t="n">
        <v>48.4365915238955</v>
      </c>
      <c r="L206" s="31" t="n">
        <v>147.570784490532</v>
      </c>
      <c r="M206" s="38">
        <f>IFERROR(L206/K206,0)</f>
        <v/>
      </c>
      <c r="N206" s="31" t="n">
        <v>20.4950135256988</v>
      </c>
      <c r="O206" s="31" t="n">
        <v>53.9773669972949</v>
      </c>
      <c r="P206" s="38">
        <f>IFERROR(O206/N206,0)</f>
        <v/>
      </c>
      <c r="Q206" s="31" t="n">
        <v>68.931605</v>
      </c>
      <c r="R206" s="31" t="n">
        <v>201.548151</v>
      </c>
      <c r="S206" s="38">
        <f>IFERROR(R206/Q206,0)</f>
        <v/>
      </c>
      <c r="T206" s="39">
        <f>IFERROR(Q206/SUMIF($A:$A,A206,$Q:$Q),0)</f>
        <v/>
      </c>
      <c r="U206" s="39">
        <f>IFERROR(Q206/F206,0)</f>
        <v/>
      </c>
      <c r="V206" s="35">
        <f>F206-R206</f>
        <v/>
      </c>
      <c r="W206" s="39">
        <f>IFERROR(V206/F206,0)</f>
        <v/>
      </c>
      <c r="X206" s="29" t="n">
        <v>20.373309</v>
      </c>
      <c r="Y206" s="31" t="n">
        <v>213.523</v>
      </c>
      <c r="Z206" s="39">
        <f>IFERROR(Y206/G206,0)</f>
        <v/>
      </c>
      <c r="AA206" s="35">
        <f>Y206-K206/1.06</f>
        <v/>
      </c>
      <c r="AB206" s="39">
        <f>IFERROR(AA206/G206,0)</f>
        <v/>
      </c>
      <c r="AC206" s="31" t="n">
        <v>129.273081</v>
      </c>
      <c r="AD206" s="39">
        <f>IFERROR(AC206/G206,0)</f>
        <v/>
      </c>
    </row>
    <row r="207">
      <c r="A207" s="27" t="inlineStr">
        <is>
          <t>7.6-7.12</t>
        </is>
      </c>
      <c r="B207" s="27" t="inlineStr">
        <is>
          <t>7.6-7.12</t>
        </is>
      </c>
      <c r="C207" s="34" t="n">
        <v>735014804839</v>
      </c>
      <c r="D207" s="27" t="inlineStr">
        <is>
          <t>24/30包</t>
        </is>
      </c>
      <c r="E207" s="27" t="inlineStr">
        <is>
          <t>进口营多捞面多口味Indomie网红方便面干拌面泡面30包整箱批发面</t>
        </is>
      </c>
      <c r="F207" s="31" t="n">
        <v>2314.55</v>
      </c>
      <c r="G207" s="35">
        <f>IFERROR(F207/1.13,0)</f>
        <v/>
      </c>
      <c r="H207" s="36" t="n">
        <v>34</v>
      </c>
      <c r="I207" s="37" t="n">
        <v>0.007664562669071236</v>
      </c>
      <c r="J207" s="38">
        <f>IFERROR(F207/H207,0)</f>
        <v/>
      </c>
      <c r="K207" s="31" t="n">
        <v>328.176911632101</v>
      </c>
      <c r="L207" s="31" t="n">
        <v>1796.94924256087</v>
      </c>
      <c r="M207" s="38">
        <f>IFERROR(L207/K207,0)</f>
        <v/>
      </c>
      <c r="N207" s="31" t="n">
        <v>15.8370559062218</v>
      </c>
      <c r="O207" s="31" t="n">
        <v>41.7097835888188</v>
      </c>
      <c r="P207" s="38">
        <f>IFERROR(O207/N207,0)</f>
        <v/>
      </c>
      <c r="Q207" s="31" t="n">
        <v>344.013968</v>
      </c>
      <c r="R207" s="31" t="n">
        <v>1838.659026</v>
      </c>
      <c r="S207" s="38">
        <f>IFERROR(R207/Q207,0)</f>
        <v/>
      </c>
      <c r="T207" s="39">
        <f>IFERROR(Q207/SUMIF($A:$A,A207,$Q:$Q),0)</f>
        <v/>
      </c>
      <c r="U207" s="39">
        <f>IFERROR(Q207/F207,0)</f>
        <v/>
      </c>
      <c r="V207" s="35">
        <f>F207-R207</f>
        <v/>
      </c>
      <c r="W207" s="39">
        <f>IFERROR(V207/F207,0)</f>
        <v/>
      </c>
      <c r="X207" s="29" t="n">
        <v>15.743012</v>
      </c>
      <c r="Y207" s="31" t="n">
        <v>447.02</v>
      </c>
      <c r="Z207" s="39">
        <f>IFERROR(Y207/G207,0)</f>
        <v/>
      </c>
      <c r="AA207" s="35">
        <f>Y207-K207/1.06</f>
        <v/>
      </c>
      <c r="AB207" s="39">
        <f>IFERROR(AA207/G207,0)</f>
        <v/>
      </c>
      <c r="AC207" s="31" t="n">
        <v>107.626623</v>
      </c>
      <c r="AD207" s="39">
        <f>IFERROR(AC207/G207,0)</f>
        <v/>
      </c>
    </row>
    <row r="208">
      <c r="A208" s="27" t="inlineStr">
        <is>
          <t>7.6-7.12</t>
        </is>
      </c>
      <c r="B208" s="27" t="inlineStr">
        <is>
          <t>7.6-7.12</t>
        </is>
      </c>
      <c r="C208" s="34" t="n">
        <v>929504658691</v>
      </c>
      <c r="D208" s="27" t="inlineStr">
        <is>
          <t>日式袋面</t>
        </is>
      </c>
      <c r="E208" s="27" t="inlineStr">
        <is>
          <t>营多捞面日式鸡肉汤面原味辛辣味袋装泡面方便面速食宿舍夜宵食品</t>
        </is>
      </c>
      <c r="F208" s="31" t="n">
        <v>756.52</v>
      </c>
      <c r="G208" s="35">
        <f>IFERROR(F208/1.13,0)</f>
        <v/>
      </c>
      <c r="H208" s="36" t="n">
        <v>33</v>
      </c>
      <c r="I208" s="37" t="n">
        <v>0.007439134355275023</v>
      </c>
      <c r="J208" s="38">
        <f>IFERROR(F208/H208,0)</f>
        <v/>
      </c>
      <c r="K208" s="31" t="n">
        <v>147.434943642922</v>
      </c>
      <c r="L208" s="31" t="n">
        <v>596.088088367899</v>
      </c>
      <c r="M208" s="38">
        <f>IFERROR(L208/K208,0)</f>
        <v/>
      </c>
      <c r="N208" s="31" t="n">
        <v>15.3712601442741</v>
      </c>
      <c r="O208" s="31" t="n">
        <v>40.4830252479711</v>
      </c>
      <c r="P208" s="38">
        <f>IFERROR(O208/N208,0)</f>
        <v/>
      </c>
      <c r="Q208" s="31" t="n">
        <v>162.806204</v>
      </c>
      <c r="R208" s="31" t="n">
        <v>636.571114</v>
      </c>
      <c r="S208" s="38">
        <f>IFERROR(R208/Q208,0)</f>
        <v/>
      </c>
      <c r="T208" s="39">
        <f>IFERROR(Q208/SUMIF($A:$A,A208,$Q:$Q),0)</f>
        <v/>
      </c>
      <c r="U208" s="39">
        <f>IFERROR(Q208/F208,0)</f>
        <v/>
      </c>
      <c r="V208" s="35">
        <f>F208-R208</f>
        <v/>
      </c>
      <c r="W208" s="39">
        <f>IFERROR(V208/F208,0)</f>
        <v/>
      </c>
      <c r="X208" s="29" t="n">
        <v>15.279982</v>
      </c>
      <c r="Y208" s="31" t="n">
        <v>103.89</v>
      </c>
      <c r="Z208" s="39">
        <f>IFERROR(Y208/G208,0)</f>
        <v/>
      </c>
      <c r="AA208" s="35">
        <f>Y208-K208/1.06</f>
        <v/>
      </c>
      <c r="AB208" s="39">
        <f>IFERROR(AA208/G208,0)</f>
        <v/>
      </c>
      <c r="AC208" s="31" t="n">
        <v>-64.115836</v>
      </c>
      <c r="AD208" s="39">
        <f>IFERROR(AC208/G208,0)</f>
        <v/>
      </c>
    </row>
    <row r="209">
      <c r="A209" s="27" t="inlineStr">
        <is>
          <t>7.6-7.12</t>
        </is>
      </c>
      <c r="B209" s="27" t="inlineStr">
        <is>
          <t>7.6-7.12</t>
        </is>
      </c>
      <c r="C209" s="34" t="n">
        <v>1059563993918</v>
      </c>
      <c r="D209" s="27" t="inlineStr">
        <is>
          <t>巴东牛肉</t>
        </is>
      </c>
      <c r="E209" s="27" t="inlineStr">
        <is>
          <t>营多进口新口味巴东炖牛肉味捞面印尼料理方便面泡面捞面夜宵速食</t>
        </is>
      </c>
      <c r="F209" s="31" t="n">
        <v>394.04</v>
      </c>
      <c r="G209" s="35">
        <f>IFERROR(F209/1.13,0)</f>
        <v/>
      </c>
      <c r="H209" s="36" t="n">
        <v>23</v>
      </c>
      <c r="I209" s="37" t="n">
        <v>0.005184851217312894</v>
      </c>
      <c r="J209" s="38">
        <f>IFERROR(F209/H209,0)</f>
        <v/>
      </c>
      <c r="K209" s="31" t="n">
        <v>75.5752637511272</v>
      </c>
      <c r="L209" s="31" t="n">
        <v>181.796546438233</v>
      </c>
      <c r="M209" s="38">
        <f>IFERROR(L209/K209,0)</f>
        <v/>
      </c>
      <c r="N209" s="31" t="n">
        <v>10.7133025247971</v>
      </c>
      <c r="O209" s="31" t="n">
        <v>28.215441839495</v>
      </c>
      <c r="P209" s="38">
        <f>IFERROR(O209/N209,0)</f>
        <v/>
      </c>
      <c r="Q209" s="31" t="n">
        <v>86.288566</v>
      </c>
      <c r="R209" s="31" t="n">
        <v>210.011988</v>
      </c>
      <c r="S209" s="38">
        <f>IFERROR(R209/Q209,0)</f>
        <v/>
      </c>
      <c r="T209" s="39">
        <f>IFERROR(Q209/SUMIF($A:$A,A209,$Q:$Q),0)</f>
        <v/>
      </c>
      <c r="U209" s="39">
        <f>IFERROR(Q209/F209,0)</f>
        <v/>
      </c>
      <c r="V209" s="35">
        <f>F209-R209</f>
        <v/>
      </c>
      <c r="W209" s="39">
        <f>IFERROR(V209/F209,0)</f>
        <v/>
      </c>
      <c r="X209" s="29" t="n">
        <v>10.649684</v>
      </c>
      <c r="Y209" s="31" t="n">
        <v>41.269</v>
      </c>
      <c r="Z209" s="39">
        <f>IFERROR(Y209/G209,0)</f>
        <v/>
      </c>
      <c r="AA209" s="35">
        <f>Y209-K209/1.06</f>
        <v/>
      </c>
      <c r="AB209" s="39">
        <f>IFERROR(AA209/G209,0)</f>
        <v/>
      </c>
      <c r="AC209" s="31" t="n">
        <v>-50.18218</v>
      </c>
      <c r="AD209" s="39">
        <f>IFERROR(AC209/G209,0)</f>
        <v/>
      </c>
    </row>
    <row r="210">
      <c r="A210" s="27" t="inlineStr">
        <is>
          <t>7.6-7.12</t>
        </is>
      </c>
      <c r="B210" s="27" t="inlineStr">
        <is>
          <t>7.6-7.12</t>
        </is>
      </c>
      <c r="C210" s="34" t="n">
        <v>744317232690</v>
      </c>
      <c r="D210" s="27" t="inlineStr">
        <is>
          <t>多规格</t>
        </is>
      </c>
      <c r="E210" s="27" t="inlineStr">
        <is>
          <t>营多捞面汤面清香牛肉味方便面泡面速食食品泡面拉面整箱旅行宿舍</t>
        </is>
      </c>
      <c r="F210" s="31" t="n">
        <v>551.29</v>
      </c>
      <c r="G210" s="35">
        <f>IFERROR(F210/1.13,0)</f>
        <v/>
      </c>
      <c r="H210" s="36" t="n">
        <v>22</v>
      </c>
      <c r="I210" s="37" t="n">
        <v>0.004959422903516681</v>
      </c>
      <c r="J210" s="38">
        <f>IFERROR(F210/H210,0)</f>
        <v/>
      </c>
      <c r="K210" s="31" t="n">
        <v>58.7932957619477</v>
      </c>
      <c r="L210" s="31" t="n">
        <v>348.885392245266</v>
      </c>
      <c r="M210" s="38">
        <f>IFERROR(L210/K210,0)</f>
        <v/>
      </c>
      <c r="N210" s="31" t="n">
        <v>10.2475067628494</v>
      </c>
      <c r="O210" s="31" t="n">
        <v>26.9886834986474</v>
      </c>
      <c r="P210" s="38">
        <f>IFERROR(O210/N210,0)</f>
        <v/>
      </c>
      <c r="Q210" s="31" t="n">
        <v>69.040803</v>
      </c>
      <c r="R210" s="31" t="n">
        <v>375.874076</v>
      </c>
      <c r="S210" s="38">
        <f>IFERROR(R210/Q210,0)</f>
        <v/>
      </c>
      <c r="T210" s="39">
        <f>IFERROR(Q210/SUMIF($A:$A,A210,$Q:$Q),0)</f>
        <v/>
      </c>
      <c r="U210" s="39">
        <f>IFERROR(Q210/F210,0)</f>
        <v/>
      </c>
      <c r="V210" s="35">
        <f>F210-R210</f>
        <v/>
      </c>
      <c r="W210" s="39">
        <f>IFERROR(V210/F210,0)</f>
        <v/>
      </c>
      <c r="X210" s="29" t="n">
        <v>10.186655</v>
      </c>
      <c r="Y210" s="31" t="n">
        <v>82.45999999999999</v>
      </c>
      <c r="Z210" s="39">
        <f>IFERROR(Y210/G210,0)</f>
        <v/>
      </c>
      <c r="AA210" s="35">
        <f>Y210-K210/1.06</f>
        <v/>
      </c>
      <c r="AB210" s="39">
        <f>IFERROR(AA210/G210,0)</f>
        <v/>
      </c>
      <c r="AC210" s="31" t="n">
        <v>7.717116</v>
      </c>
      <c r="AD210" s="39">
        <f>IFERROR(AC210/G210,0)</f>
        <v/>
      </c>
    </row>
    <row r="211">
      <c r="A211" s="27" t="inlineStr">
        <is>
          <t>7.6-7.12</t>
        </is>
      </c>
      <c r="B211" s="27" t="inlineStr">
        <is>
          <t>7.6-7.12</t>
        </is>
      </c>
      <c r="C211" s="34" t="n">
        <v>969423151512</v>
      </c>
      <c r="D211" s="27" t="inlineStr">
        <is>
          <t>日韩混搭</t>
        </is>
      </c>
      <c r="E211" s="27" t="inlineStr">
        <is>
          <t>营多捞面甜辣炸鸡火鸡面辣蘑菇泡面方便面速食干拌面宿舍宵夜旅行</t>
        </is>
      </c>
      <c r="F211" s="31" t="n">
        <v>328.6</v>
      </c>
      <c r="G211" s="35">
        <f>IFERROR(F211/1.13,0)</f>
        <v/>
      </c>
      <c r="H211" s="36" t="n">
        <v>14</v>
      </c>
      <c r="I211" s="37" t="n">
        <v>0.003155996393146979</v>
      </c>
      <c r="J211" s="38">
        <f>IFERROR(F211/H211,0)</f>
        <v/>
      </c>
      <c r="K211" s="31" t="n">
        <v>57.1475518485122</v>
      </c>
      <c r="L211" s="31" t="n">
        <v>202.566158701533</v>
      </c>
      <c r="M211" s="38">
        <f>IFERROR(L211/K211,0)</f>
        <v/>
      </c>
      <c r="N211" s="31" t="n">
        <v>6.52114066726781</v>
      </c>
      <c r="O211" s="31" t="n">
        <v>17.1746167718665</v>
      </c>
      <c r="P211" s="38">
        <f>IFERROR(O211/N211,0)</f>
        <v/>
      </c>
      <c r="Q211" s="31" t="n">
        <v>63.668693</v>
      </c>
      <c r="R211" s="31" t="n">
        <v>219.740775</v>
      </c>
      <c r="S211" s="38">
        <f>IFERROR(R211/Q211,0)</f>
        <v/>
      </c>
      <c r="T211" s="39">
        <f>IFERROR(Q211/SUMIF($A:$A,A211,$Q:$Q),0)</f>
        <v/>
      </c>
      <c r="U211" s="39">
        <f>IFERROR(Q211/F211,0)</f>
        <v/>
      </c>
      <c r="V211" s="35">
        <f>F211-R211</f>
        <v/>
      </c>
      <c r="W211" s="39">
        <f>IFERROR(V211/F211,0)</f>
        <v/>
      </c>
      <c r="X211" s="29" t="n">
        <v>6.482417</v>
      </c>
      <c r="Y211" s="31" t="n">
        <v>50.334</v>
      </c>
      <c r="Z211" s="39">
        <f>IFERROR(Y211/G211,0)</f>
        <v/>
      </c>
      <c r="AA211" s="35">
        <f>Y211-K211/1.06</f>
        <v/>
      </c>
      <c r="AB211" s="39">
        <f>IFERROR(AA211/G211,0)</f>
        <v/>
      </c>
      <c r="AC211" s="31" t="n">
        <v>-15.846292</v>
      </c>
      <c r="AD211" s="39">
        <f>IFERROR(AC211/G211,0)</f>
        <v/>
      </c>
    </row>
    <row r="212">
      <c r="A212" s="27" t="inlineStr">
        <is>
          <t>7.6-7.12</t>
        </is>
      </c>
      <c r="B212" s="27" t="inlineStr">
        <is>
          <t>7.6-7.12</t>
        </is>
      </c>
      <c r="C212" s="34" t="n">
        <v>898076297965</v>
      </c>
      <c r="D212" s="27" t="inlineStr">
        <is>
          <t>番茄牛肉</t>
        </is>
      </c>
      <c r="E212" s="27" t="inlineStr">
        <is>
          <t>进口正品意面风味奶香番茄牛肉味意式拌面营多捞面早餐儿童宝妈餐</t>
        </is>
      </c>
      <c r="F212" s="31" t="n">
        <v>233.07</v>
      </c>
      <c r="G212" s="35">
        <f>IFERROR(F212/1.13,0)</f>
        <v/>
      </c>
      <c r="H212" s="36" t="n">
        <v>14</v>
      </c>
      <c r="I212" s="37" t="n">
        <v>0.003155996393146979</v>
      </c>
      <c r="J212" s="38">
        <f>IFERROR(F212/H212,0)</f>
        <v/>
      </c>
      <c r="K212" s="31" t="n">
        <v>26.5575518485122</v>
      </c>
      <c r="L212" s="31" t="n">
        <v>120.936158701533</v>
      </c>
      <c r="M212" s="38">
        <f>IFERROR(L212/K212,0)</f>
        <v/>
      </c>
      <c r="N212" s="31" t="n">
        <v>6.52114066726781</v>
      </c>
      <c r="O212" s="31" t="n">
        <v>17.1746167718665</v>
      </c>
      <c r="P212" s="38">
        <f>IFERROR(O212/N212,0)</f>
        <v/>
      </c>
      <c r="Q212" s="31" t="n">
        <v>33.078693</v>
      </c>
      <c r="R212" s="31" t="n">
        <v>138.110775</v>
      </c>
      <c r="S212" s="38">
        <f>IFERROR(R212/Q212,0)</f>
        <v/>
      </c>
      <c r="T212" s="39">
        <f>IFERROR(Q212/SUMIF($A:$A,A212,$Q:$Q),0)</f>
        <v/>
      </c>
      <c r="U212" s="39">
        <f>IFERROR(Q212/F212,0)</f>
        <v/>
      </c>
      <c r="V212" s="35">
        <f>F212-R212</f>
        <v/>
      </c>
      <c r="W212" s="39">
        <f>IFERROR(V212/F212,0)</f>
        <v/>
      </c>
      <c r="X212" s="29" t="n">
        <v>6.482417</v>
      </c>
      <c r="Y212" s="31" t="n">
        <v>18.156</v>
      </c>
      <c r="Z212" s="39">
        <f>IFERROR(Y212/G212,0)</f>
        <v/>
      </c>
      <c r="AA212" s="35">
        <f>Y212-K212/1.06</f>
        <v/>
      </c>
      <c r="AB212" s="39">
        <f>IFERROR(AA212/G212,0)</f>
        <v/>
      </c>
      <c r="AC212" s="31" t="n">
        <v>-19.165801</v>
      </c>
      <c r="AD212" s="39">
        <f>IFERROR(AC212/G212,0)</f>
        <v/>
      </c>
    </row>
    <row r="213">
      <c r="A213" s="27" t="inlineStr">
        <is>
          <t>7.6-7.12</t>
        </is>
      </c>
      <c r="B213" s="27" t="inlineStr">
        <is>
          <t>7.6-7.12</t>
        </is>
      </c>
      <c r="C213" s="34" t="n">
        <v>648604228786</v>
      </c>
      <c r="D213" s="27" t="inlineStr">
        <is>
          <t>杯面混搭</t>
        </is>
      </c>
      <c r="E213" s="27" t="inlineStr">
        <is>
          <t>INDOMIE营多日式杯面原味经典泡面整箱批发速食宿舍旅行宵夜宿舍</t>
        </is>
      </c>
      <c r="F213" s="31" t="n">
        <v>323.25</v>
      </c>
      <c r="G213" s="35">
        <f>IFERROR(F213/1.13,0)</f>
        <v/>
      </c>
      <c r="H213" s="36" t="n">
        <v>12</v>
      </c>
      <c r="I213" s="37" t="n">
        <v>0.002705139765554554</v>
      </c>
      <c r="J213" s="38">
        <f>IFERROR(F213/H213,0)</f>
        <v/>
      </c>
      <c r="K213" s="31" t="n">
        <v>17.0936158701533</v>
      </c>
      <c r="L213" s="31" t="n">
        <v>37.8738503155997</v>
      </c>
      <c r="M213" s="38">
        <f>IFERROR(L213/K213,0)</f>
        <v/>
      </c>
      <c r="N213" s="31" t="n">
        <v>5.58954914337241</v>
      </c>
      <c r="O213" s="31" t="n">
        <v>14.7211000901713</v>
      </c>
      <c r="P213" s="38">
        <f>IFERROR(O213/N213,0)</f>
        <v/>
      </c>
      <c r="Q213" s="31" t="n">
        <v>22.683165</v>
      </c>
      <c r="R213" s="31" t="n">
        <v>52.59495</v>
      </c>
      <c r="S213" s="38">
        <f>IFERROR(R213/Q213,0)</f>
        <v/>
      </c>
      <c r="T213" s="39">
        <f>IFERROR(Q213/SUMIF($A:$A,A213,$Q:$Q),0)</f>
        <v/>
      </c>
      <c r="U213" s="39">
        <f>IFERROR(Q213/F213,0)</f>
        <v/>
      </c>
      <c r="V213" s="35">
        <f>F213-R213</f>
        <v/>
      </c>
      <c r="W213" s="39">
        <f>IFERROR(V213/F213,0)</f>
        <v/>
      </c>
      <c r="X213" s="29" t="n">
        <v>5.556357</v>
      </c>
      <c r="Y213" s="31" t="n">
        <v>43.025</v>
      </c>
      <c r="Z213" s="39">
        <f>IFERROR(Y213/G213,0)</f>
        <v/>
      </c>
      <c r="AA213" s="35">
        <f>Y213-K213/1.06</f>
        <v/>
      </c>
      <c r="AB213" s="39">
        <f>IFERROR(AA213/G213,0)</f>
        <v/>
      </c>
      <c r="AC213" s="31" t="n">
        <v>16.383941</v>
      </c>
      <c r="AD213" s="39">
        <f>IFERROR(AC213/G213,0)</f>
        <v/>
      </c>
    </row>
    <row r="214">
      <c r="A214" s="27" t="inlineStr">
        <is>
          <t>7.6-7.12</t>
        </is>
      </c>
      <c r="B214" s="27" t="inlineStr">
        <is>
          <t>7.6-7.12</t>
        </is>
      </c>
      <c r="C214" s="34" t="n">
        <v>976479938842</v>
      </c>
      <c r="D214" s="27" t="inlineStr">
        <is>
          <t>【U选】原味5</t>
        </is>
      </c>
      <c r="E214" s="27" t="inlineStr">
        <is>
          <t>【天猫U选】indomie营多大骨牛肉味捞面拌面5包</t>
        </is>
      </c>
      <c r="F214" s="31" t="n">
        <v>85.86</v>
      </c>
      <c r="G214" s="35">
        <f>IFERROR(F214/1.13,0)</f>
        <v/>
      </c>
      <c r="H214" s="36" t="n">
        <v>9</v>
      </c>
      <c r="I214" s="37" t="n">
        <v>0.002028854824165915</v>
      </c>
      <c r="J214" s="38">
        <f>IFERROR(F214/H214,0)</f>
        <v/>
      </c>
      <c r="K214" s="31" t="n">
        <v>1.54771190261498</v>
      </c>
      <c r="L214" s="31" t="n">
        <v>7.48038773669979</v>
      </c>
      <c r="M214" s="38">
        <f>IFERROR(L214/K214,0)</f>
        <v/>
      </c>
      <c r="N214" s="31" t="n">
        <v>4.19216185752931</v>
      </c>
      <c r="O214" s="31" t="n">
        <v>11.0408250676285</v>
      </c>
      <c r="P214" s="38">
        <f>IFERROR(O214/N214,0)</f>
        <v/>
      </c>
      <c r="Q214" s="31" t="n">
        <v>5.739874</v>
      </c>
      <c r="R214" s="31" t="n">
        <v>18.521213</v>
      </c>
      <c r="S214" s="38">
        <f>IFERROR(R214/Q214,0)</f>
        <v/>
      </c>
      <c r="T214" s="39">
        <f>IFERROR(Q214/SUMIF($A:$A,A214,$Q:$Q),0)</f>
        <v/>
      </c>
      <c r="U214" s="39">
        <f>IFERROR(Q214/F214,0)</f>
        <v/>
      </c>
      <c r="V214" s="35">
        <f>F214-R214</f>
        <v/>
      </c>
      <c r="W214" s="39">
        <f>IFERROR(V214/F214,0)</f>
        <v/>
      </c>
      <c r="X214" s="29" t="n">
        <v>4.167268</v>
      </c>
      <c r="Y214" s="31" t="n">
        <v>-27.524</v>
      </c>
      <c r="Z214" s="39">
        <f>IFERROR(Y214/G214,0)</f>
        <v/>
      </c>
      <c r="AA214" s="35">
        <f>Y214-K214/1.06</f>
        <v/>
      </c>
      <c r="AB214" s="39">
        <f>IFERROR(AA214/G214,0)</f>
        <v/>
      </c>
      <c r="AC214" s="31" t="n">
        <v>-36.87036</v>
      </c>
      <c r="AD214" s="39">
        <f>IFERROR(AC214/G214,0)</f>
        <v/>
      </c>
    </row>
    <row r="215">
      <c r="A215" s="27" t="inlineStr">
        <is>
          <t>7.6-7.12</t>
        </is>
      </c>
      <c r="B215" s="27" t="inlineStr">
        <is>
          <t>7.6-7.12</t>
        </is>
      </c>
      <c r="C215" s="34" t="n">
        <v>971242260371</v>
      </c>
      <c r="D215" s="27" t="inlineStr">
        <is>
          <t>韩式袋面</t>
        </is>
      </c>
      <c r="E215" s="27" t="inlineStr">
        <is>
          <t>新品营多捞面韩式辣蘑菇汤面泡面方便面速食干拌面宿舍宵夜旅行</t>
        </is>
      </c>
      <c r="F215" s="31" t="n">
        <v>150.34</v>
      </c>
      <c r="G215" s="35">
        <f>IFERROR(F215/1.13,0)</f>
        <v/>
      </c>
      <c r="H215" s="36" t="n">
        <v>7</v>
      </c>
      <c r="I215" s="37" t="n">
        <v>0.00157799819657349</v>
      </c>
      <c r="J215" s="38">
        <f>IFERROR(F215/H215,0)</f>
        <v/>
      </c>
      <c r="K215" s="31" t="n">
        <v>82.06377592425611</v>
      </c>
      <c r="L215" s="31" t="n">
        <v>281.328079350766</v>
      </c>
      <c r="M215" s="38">
        <f>IFERROR(L215/K215,0)</f>
        <v/>
      </c>
      <c r="N215" s="31" t="n">
        <v>3.2605703336339</v>
      </c>
      <c r="O215" s="31" t="n">
        <v>8.58730838593327</v>
      </c>
      <c r="P215" s="38">
        <f>IFERROR(O215/N215,0)</f>
        <v/>
      </c>
      <c r="Q215" s="31" t="n">
        <v>85.32434600000001</v>
      </c>
      <c r="R215" s="31" t="n">
        <v>289.915388</v>
      </c>
      <c r="S215" s="38">
        <f>IFERROR(R215/Q215,0)</f>
        <v/>
      </c>
      <c r="T215" s="39">
        <f>IFERROR(Q215/SUMIF($A:$A,A215,$Q:$Q),0)</f>
        <v/>
      </c>
      <c r="U215" s="39">
        <f>IFERROR(Q215/F215,0)</f>
        <v/>
      </c>
      <c r="V215" s="35">
        <f>F215-R215</f>
        <v/>
      </c>
      <c r="W215" s="39">
        <f>IFERROR(V215/F215,0)</f>
        <v/>
      </c>
      <c r="X215" s="29" t="n">
        <v>3.241208</v>
      </c>
      <c r="Y215" s="31" t="n">
        <v>23.637</v>
      </c>
      <c r="Z215" s="39">
        <f>IFERROR(Y215/G215,0)</f>
        <v/>
      </c>
      <c r="AA215" s="35">
        <f>Y215-K215/1.06</f>
        <v/>
      </c>
      <c r="AB215" s="39">
        <f>IFERROR(AA215/G215,0)</f>
        <v/>
      </c>
      <c r="AC215" s="31" t="n">
        <v>-59.91541</v>
      </c>
      <c r="AD215" s="39">
        <f>IFERROR(AC215/G215,0)</f>
        <v/>
      </c>
    </row>
    <row r="216">
      <c r="A216" s="27" t="inlineStr">
        <is>
          <t>7.6-7.12</t>
        </is>
      </c>
      <c r="B216" s="27" t="inlineStr">
        <is>
          <t>7.6-7.12</t>
        </is>
      </c>
      <c r="C216" s="34" t="n">
        <v>937005385662</v>
      </c>
      <c r="D216" s="27" t="inlineStr">
        <is>
          <t>日式袋面</t>
        </is>
      </c>
      <c r="E216" s="27" t="inlineStr">
        <is>
          <t>进口营多正品捞面日式鸡肉鸡汤辛辣味袋装泡面辣味速食方便面汤面</t>
        </is>
      </c>
      <c r="F216" s="31" t="n">
        <v>141.6</v>
      </c>
      <c r="G216" s="35">
        <f>IFERROR(F216/1.13,0)</f>
        <v/>
      </c>
      <c r="H216" s="36" t="n">
        <v>7</v>
      </c>
      <c r="I216" s="37" t="n">
        <v>0.00157799819657349</v>
      </c>
      <c r="J216" s="38">
        <f>IFERROR(F216/H216,0)</f>
        <v/>
      </c>
      <c r="K216" s="31" t="n">
        <v>19.0537759242561</v>
      </c>
      <c r="L216" s="31" t="n">
        <v>5.8180793507665</v>
      </c>
      <c r="M216" s="38">
        <f>IFERROR(L216/K216,0)</f>
        <v/>
      </c>
      <c r="N216" s="31" t="n">
        <v>3.2605703336339</v>
      </c>
      <c r="O216" s="31" t="n">
        <v>8.58730838593327</v>
      </c>
      <c r="P216" s="38">
        <f>IFERROR(O216/N216,0)</f>
        <v/>
      </c>
      <c r="Q216" s="31" t="n">
        <v>22.314346</v>
      </c>
      <c r="R216" s="31" t="n">
        <v>14.405388</v>
      </c>
      <c r="S216" s="38">
        <f>IFERROR(R216/Q216,0)</f>
        <v/>
      </c>
      <c r="T216" s="39">
        <f>IFERROR(Q216/SUMIF($A:$A,A216,$Q:$Q),0)</f>
        <v/>
      </c>
      <c r="U216" s="39">
        <f>IFERROR(Q216/F216,0)</f>
        <v/>
      </c>
      <c r="V216" s="35">
        <f>F216-R216</f>
        <v/>
      </c>
      <c r="W216" s="39">
        <f>IFERROR(V216/F216,0)</f>
        <v/>
      </c>
      <c r="X216" s="29" t="n">
        <v>3.241208</v>
      </c>
      <c r="Y216" s="31" t="n">
        <v>15.209</v>
      </c>
      <c r="Z216" s="39">
        <f>IFERROR(Y216/G216,0)</f>
        <v/>
      </c>
      <c r="AA216" s="35">
        <f>Y216-K216/1.06</f>
        <v/>
      </c>
      <c r="AB216" s="39">
        <f>IFERROR(AA216/G216,0)</f>
        <v/>
      </c>
      <c r="AC216" s="31" t="n">
        <v>-8.900014000000001</v>
      </c>
      <c r="AD216" s="39">
        <f>IFERROR(AC216/G216,0)</f>
        <v/>
      </c>
    </row>
    <row r="217">
      <c r="A217" s="27" t="inlineStr">
        <is>
          <t>7.6-7.12</t>
        </is>
      </c>
      <c r="B217" s="27" t="inlineStr">
        <is>
          <t>7.6-7.12</t>
        </is>
      </c>
      <c r="C217" s="34" t="n">
        <v>886856687067</v>
      </c>
      <c r="D217" s="27" t="inlineStr">
        <is>
          <t>大骨</t>
        </is>
      </c>
      <c r="E217" s="27" t="inlineStr">
        <is>
          <t>营多捞面牛系列大骨牛肉味方便面食品泡面拉面汤面宿舍宵夜旅行</t>
        </is>
      </c>
      <c r="F217" s="31" t="n">
        <v>151.46</v>
      </c>
      <c r="G217" s="35">
        <f>IFERROR(F217/1.13,0)</f>
        <v/>
      </c>
      <c r="H217" s="36" t="n">
        <v>7</v>
      </c>
      <c r="I217" s="37" t="n">
        <v>0.00157799819657349</v>
      </c>
      <c r="J217" s="38">
        <f>IFERROR(F217/H217,0)</f>
        <v/>
      </c>
      <c r="K217" s="31" t="n">
        <v>5.9637759242561</v>
      </c>
      <c r="L217" s="31" t="n">
        <v>5.8180793507665</v>
      </c>
      <c r="M217" s="38">
        <f>IFERROR(L217/K217,0)</f>
        <v/>
      </c>
      <c r="N217" s="31" t="n">
        <v>3.2605703336339</v>
      </c>
      <c r="O217" s="31" t="n">
        <v>8.58730838593327</v>
      </c>
      <c r="P217" s="38">
        <f>IFERROR(O217/N217,0)</f>
        <v/>
      </c>
      <c r="Q217" s="31" t="n">
        <v>9.224346000000001</v>
      </c>
      <c r="R217" s="31" t="n">
        <v>14.405388</v>
      </c>
      <c r="S217" s="38">
        <f>IFERROR(R217/Q217,0)</f>
        <v/>
      </c>
      <c r="T217" s="39">
        <f>IFERROR(Q217/SUMIF($A:$A,A217,$Q:$Q),0)</f>
        <v/>
      </c>
      <c r="U217" s="39">
        <f>IFERROR(Q217/F217,0)</f>
        <v/>
      </c>
      <c r="V217" s="35">
        <f>F217-R217</f>
        <v/>
      </c>
      <c r="W217" s="39">
        <f>IFERROR(V217/F217,0)</f>
        <v/>
      </c>
      <c r="X217" s="29" t="n">
        <v>3.241208</v>
      </c>
      <c r="Y217" s="31" t="n">
        <v>20.033</v>
      </c>
      <c r="Z217" s="39">
        <f>IFERROR(Y217/G217,0)</f>
        <v/>
      </c>
      <c r="AA217" s="35">
        <f>Y217-K217/1.06</f>
        <v/>
      </c>
      <c r="AB217" s="39">
        <f>IFERROR(AA217/G217,0)</f>
        <v/>
      </c>
      <c r="AC217" s="31" t="n">
        <v>8.273042999999999</v>
      </c>
      <c r="AD217" s="39">
        <f>IFERROR(AC217/G217,0)</f>
        <v/>
      </c>
    </row>
    <row r="218">
      <c r="A218" s="27" t="inlineStr">
        <is>
          <t>7.6-7.12</t>
        </is>
      </c>
      <c r="B218" s="27" t="inlineStr">
        <is>
          <t>7.6-7.12</t>
        </is>
      </c>
      <c r="C218" s="34" t="n">
        <v>932687928859</v>
      </c>
      <c r="D218" s="27" t="inlineStr">
        <is>
          <t>8包组合</t>
        </is>
      </c>
      <c r="E218" s="27" t="inlineStr">
        <is>
          <t>营多捞面八口味袋装泡面拌面速食面干拌面方便面宿舍宵夜速食家用</t>
        </is>
      </c>
      <c r="F218" s="31" t="n">
        <v>156.85</v>
      </c>
      <c r="G218" s="35">
        <f>IFERROR(F218/1.13,0)</f>
        <v/>
      </c>
      <c r="H218" s="36" t="n">
        <v>6</v>
      </c>
      <c r="I218" s="37" t="n">
        <v>0.001352569882777277</v>
      </c>
      <c r="J218" s="38">
        <f>IFERROR(F218/H218,0)</f>
        <v/>
      </c>
      <c r="K218" s="31" t="n">
        <v>5.63180793507665</v>
      </c>
      <c r="L218" s="31" t="n">
        <v>66.88692515779989</v>
      </c>
      <c r="M218" s="38">
        <f>IFERROR(L218/K218,0)</f>
        <v/>
      </c>
      <c r="N218" s="31" t="n">
        <v>2.7947745716862</v>
      </c>
      <c r="O218" s="31" t="n">
        <v>7.36055004508566</v>
      </c>
      <c r="P218" s="38">
        <f>IFERROR(O218/N218,0)</f>
        <v/>
      </c>
      <c r="Q218" s="31" t="n">
        <v>8.426583000000001</v>
      </c>
      <c r="R218" s="31" t="n">
        <v>74.24747499999999</v>
      </c>
      <c r="S218" s="38">
        <f>IFERROR(R218/Q218,0)</f>
        <v/>
      </c>
      <c r="T218" s="39">
        <f>IFERROR(Q218/SUMIF($A:$A,A218,$Q:$Q),0)</f>
        <v/>
      </c>
      <c r="U218" s="39">
        <f>IFERROR(Q218/F218,0)</f>
        <v/>
      </c>
      <c r="V218" s="35">
        <f>F218-R218</f>
        <v/>
      </c>
      <c r="W218" s="39">
        <f>IFERROR(V218/F218,0)</f>
        <v/>
      </c>
      <c r="X218" s="29" t="n">
        <v>2.778179</v>
      </c>
      <c r="Y218" s="31" t="n">
        <v>23.807</v>
      </c>
      <c r="Z218" s="39">
        <f>IFERROR(Y218/G218,0)</f>
        <v/>
      </c>
      <c r="AA218" s="35">
        <f>Y218-K218/1.06</f>
        <v/>
      </c>
      <c r="AB218" s="39">
        <f>IFERROR(AA218/G218,0)</f>
        <v/>
      </c>
      <c r="AC218" s="31" t="n">
        <v>13.236471</v>
      </c>
      <c r="AD218" s="39">
        <f>IFERROR(AC218/G218,0)</f>
        <v/>
      </c>
    </row>
    <row r="219">
      <c r="A219" s="27" t="inlineStr">
        <is>
          <t>7.6-7.12</t>
        </is>
      </c>
      <c r="B219" s="27" t="inlineStr">
        <is>
          <t>7.6-7.12</t>
        </is>
      </c>
      <c r="C219" s="34" t="n">
        <v>649731447266</v>
      </c>
      <c r="D219" s="27" t="inlineStr">
        <is>
          <t>20包经典/牛系列</t>
        </is>
      </c>
      <c r="E219" s="27" t="inlineStr">
        <is>
          <t>营多印尼进口营多捞面方便面火鸡面干拌面20包宿舍速食泡面夜宵</t>
        </is>
      </c>
      <c r="F219" s="31" t="n">
        <v>289.95</v>
      </c>
      <c r="G219" s="35">
        <f>IFERROR(F219/1.13,0)</f>
        <v/>
      </c>
      <c r="H219" s="36" t="n">
        <v>6</v>
      </c>
      <c r="I219" s="37" t="n">
        <v>0.001352569882777277</v>
      </c>
      <c r="J219" s="38">
        <f>IFERROR(F219/H219,0)</f>
        <v/>
      </c>
      <c r="K219" s="31" t="n">
        <v>18.5218079350767</v>
      </c>
      <c r="L219" s="31" t="n">
        <v>53.8869251577999</v>
      </c>
      <c r="M219" s="38">
        <f>IFERROR(L219/K219,0)</f>
        <v/>
      </c>
      <c r="N219" s="31" t="n">
        <v>2.7947745716862</v>
      </c>
      <c r="O219" s="31" t="n">
        <v>7.36055004508566</v>
      </c>
      <c r="P219" s="38">
        <f>IFERROR(O219/N219,0)</f>
        <v/>
      </c>
      <c r="Q219" s="31" t="n">
        <v>21.316583</v>
      </c>
      <c r="R219" s="31" t="n">
        <v>61.247475</v>
      </c>
      <c r="S219" s="38">
        <f>IFERROR(R219/Q219,0)</f>
        <v/>
      </c>
      <c r="T219" s="39">
        <f>IFERROR(Q219/SUMIF($A:$A,A219,$Q:$Q),0)</f>
        <v/>
      </c>
      <c r="U219" s="39">
        <f>IFERROR(Q219/F219,0)</f>
        <v/>
      </c>
      <c r="V219" s="35">
        <f>F219-R219</f>
        <v/>
      </c>
      <c r="W219" s="39">
        <f>IFERROR(V219/F219,0)</f>
        <v/>
      </c>
      <c r="X219" s="29" t="n">
        <v>2.778179</v>
      </c>
      <c r="Y219" s="31" t="n">
        <v>58.524</v>
      </c>
      <c r="Z219" s="39">
        <f>IFERROR(Y219/G219,0)</f>
        <v/>
      </c>
      <c r="AA219" s="35">
        <f>Y219-K219/1.06</f>
        <v/>
      </c>
      <c r="AB219" s="39">
        <f>IFERROR(AA219/G219,0)</f>
        <v/>
      </c>
      <c r="AC219" s="31" t="n">
        <v>35.793093</v>
      </c>
      <c r="AD219" s="39">
        <f>IFERROR(AC219/G219,0)</f>
        <v/>
      </c>
    </row>
    <row r="220">
      <c r="A220" s="27" t="inlineStr">
        <is>
          <t>7.6-7.12</t>
        </is>
      </c>
      <c r="B220" s="27" t="inlineStr">
        <is>
          <t>7.6-7.12</t>
        </is>
      </c>
      <c r="C220" s="34" t="n">
        <v>649729851594</v>
      </c>
      <c r="D220" s="27" t="inlineStr">
        <is>
          <t>小规格</t>
        </is>
      </c>
      <c r="E220" s="27" t="inlineStr">
        <is>
          <t>营多捞面袋装8包装泡面宿舍速食面热干面干拌面方便面火鸡面食品</t>
        </is>
      </c>
      <c r="F220" s="31" t="n">
        <v>129.2</v>
      </c>
      <c r="G220" s="35">
        <f>IFERROR(F220/1.13,0)</f>
        <v/>
      </c>
      <c r="H220" s="36" t="n">
        <v>6</v>
      </c>
      <c r="I220" s="37" t="n">
        <v>0.001352569882777277</v>
      </c>
      <c r="J220" s="38">
        <f>IFERROR(F220/H220,0)</f>
        <v/>
      </c>
      <c r="K220" s="31" t="n">
        <v>4.71180793507665</v>
      </c>
      <c r="L220" s="31" t="n">
        <v>4.98692515779986</v>
      </c>
      <c r="M220" s="38">
        <f>IFERROR(L220/K220,0)</f>
        <v/>
      </c>
      <c r="N220" s="31" t="n">
        <v>2.7947745716862</v>
      </c>
      <c r="O220" s="31" t="n">
        <v>7.36055004508566</v>
      </c>
      <c r="P220" s="38">
        <f>IFERROR(O220/N220,0)</f>
        <v/>
      </c>
      <c r="Q220" s="31" t="n">
        <v>7.506583</v>
      </c>
      <c r="R220" s="31" t="n">
        <v>12.347475</v>
      </c>
      <c r="S220" s="38">
        <f>IFERROR(R220/Q220,0)</f>
        <v/>
      </c>
      <c r="T220" s="39">
        <f>IFERROR(Q220/SUMIF($A:$A,A220,$Q:$Q),0)</f>
        <v/>
      </c>
      <c r="U220" s="39">
        <f>IFERROR(Q220/F220,0)</f>
        <v/>
      </c>
      <c r="V220" s="35">
        <f>F220-R220</f>
        <v/>
      </c>
      <c r="W220" s="39">
        <f>IFERROR(V220/F220,0)</f>
        <v/>
      </c>
      <c r="X220" s="29" t="n">
        <v>2.778179</v>
      </c>
      <c r="Y220" s="31" t="n">
        <v>17.304</v>
      </c>
      <c r="Z220" s="39">
        <f>IFERROR(Y220/G220,0)</f>
        <v/>
      </c>
      <c r="AA220" s="35">
        <f>Y220-K220/1.06</f>
        <v/>
      </c>
      <c r="AB220" s="39">
        <f>IFERROR(AA220/G220,0)</f>
        <v/>
      </c>
      <c r="AC220" s="31" t="n">
        <v>7.601395</v>
      </c>
      <c r="AD220" s="39">
        <f>IFERROR(AC220/G220,0)</f>
        <v/>
      </c>
    </row>
    <row r="221">
      <c r="A221" s="27" t="inlineStr">
        <is>
          <t>7.6-7.12</t>
        </is>
      </c>
      <c r="B221" s="27" t="inlineStr">
        <is>
          <t>7.6-7.12</t>
        </is>
      </c>
      <c r="C221" s="34" t="n">
        <v>969433743398</v>
      </c>
      <c r="D221" s="27" t="inlineStr">
        <is>
          <t>韩蘑菇</t>
        </is>
      </c>
      <c r="E221" s="27" t="inlineStr">
        <is>
          <t>新品营多捞面韩式辣蘑菇汤面泡面方便面速食干拌面宿舍宵夜旅行</t>
        </is>
      </c>
      <c r="F221" s="31" t="n">
        <v>95.75</v>
      </c>
      <c r="G221" s="35">
        <f>IFERROR(F221/1.13,0)</f>
        <v/>
      </c>
      <c r="H221" s="36" t="n">
        <v>5</v>
      </c>
      <c r="I221" s="37" t="n">
        <v>0.001127141568981064</v>
      </c>
      <c r="J221" s="38">
        <f>IFERROR(F221/H221,0)</f>
        <v/>
      </c>
      <c r="K221" s="31" t="n">
        <v>6.28983994589721</v>
      </c>
      <c r="L221" s="31" t="n">
        <v>36.9157709648332</v>
      </c>
      <c r="M221" s="38">
        <f>IFERROR(L221/K221,0)</f>
        <v/>
      </c>
      <c r="N221" s="31" t="n">
        <v>2.3289788097385</v>
      </c>
      <c r="O221" s="31" t="n">
        <v>6.13379170423805</v>
      </c>
      <c r="P221" s="38">
        <f>IFERROR(O221/N221,0)</f>
        <v/>
      </c>
      <c r="Q221" s="31" t="n">
        <v>8.618819</v>
      </c>
      <c r="R221" s="31" t="n">
        <v>43.049563</v>
      </c>
      <c r="S221" s="38">
        <f>IFERROR(R221/Q221,0)</f>
        <v/>
      </c>
      <c r="T221" s="39">
        <f>IFERROR(Q221/SUMIF($A:$A,A221,$Q:$Q),0)</f>
        <v/>
      </c>
      <c r="U221" s="39">
        <f>IFERROR(Q221/F221,0)</f>
        <v/>
      </c>
      <c r="V221" s="35">
        <f>F221-R221</f>
        <v/>
      </c>
      <c r="W221" s="39">
        <f>IFERROR(V221/F221,0)</f>
        <v/>
      </c>
      <c r="X221" s="29" t="n">
        <v>2.315149</v>
      </c>
      <c r="Y221" s="31" t="n">
        <v>10.58</v>
      </c>
      <c r="Z221" s="39">
        <f>IFERROR(Y221/G221,0)</f>
        <v/>
      </c>
      <c r="AA221" s="35">
        <f>Y221-K221/1.06</f>
        <v/>
      </c>
      <c r="AB221" s="39">
        <f>IFERROR(AA221/G221,0)</f>
        <v/>
      </c>
      <c r="AC221" s="31" t="n">
        <v>0.264936</v>
      </c>
      <c r="AD221" s="39">
        <f>IFERROR(AC221/G221,0)</f>
        <v/>
      </c>
    </row>
    <row r="222">
      <c r="A222" s="27" t="inlineStr">
        <is>
          <t>7.6-7.12</t>
        </is>
      </c>
      <c r="B222" s="27" t="inlineStr">
        <is>
          <t>7.6-7.12</t>
        </is>
      </c>
      <c r="C222" s="34" t="n">
        <v>1028450344901</v>
      </c>
      <c r="D222" s="27" t="inlineStr">
        <is>
          <t>韩式火鸡</t>
        </is>
      </c>
      <c r="E222" s="27" t="inlineStr">
        <is>
          <t>营多韩式火鸡面袋装拌面干拌面泡面方便面速食面宿舍宵夜旅行</t>
        </is>
      </c>
      <c r="F222" s="31" t="n">
        <v>136.4</v>
      </c>
      <c r="G222" s="35">
        <f>IFERROR(F222/1.13,0)</f>
        <v/>
      </c>
      <c r="H222" s="36" t="n">
        <v>5</v>
      </c>
      <c r="I222" s="37" t="n">
        <v>0.001127141568981064</v>
      </c>
      <c r="J222" s="38">
        <f>IFERROR(F222/H222,0)</f>
        <v/>
      </c>
      <c r="K222" s="31" t="n">
        <v>22.5598399458972</v>
      </c>
      <c r="L222" s="31" t="n">
        <v>95.7457709648332</v>
      </c>
      <c r="M222" s="38">
        <f>IFERROR(L222/K222,0)</f>
        <v/>
      </c>
      <c r="N222" s="31" t="n">
        <v>2.3289788097385</v>
      </c>
      <c r="O222" s="31" t="n">
        <v>6.13379170423805</v>
      </c>
      <c r="P222" s="38">
        <f>IFERROR(O222/N222,0)</f>
        <v/>
      </c>
      <c r="Q222" s="31" t="n">
        <v>24.888819</v>
      </c>
      <c r="R222" s="31" t="n">
        <v>101.879563</v>
      </c>
      <c r="S222" s="38">
        <f>IFERROR(R222/Q222,0)</f>
        <v/>
      </c>
      <c r="T222" s="39">
        <f>IFERROR(Q222/SUMIF($A:$A,A222,$Q:$Q),0)</f>
        <v/>
      </c>
      <c r="U222" s="39">
        <f>IFERROR(Q222/F222,0)</f>
        <v/>
      </c>
      <c r="V222" s="35">
        <f>F222-R222</f>
        <v/>
      </c>
      <c r="W222" s="39">
        <f>IFERROR(V222/F222,0)</f>
        <v/>
      </c>
      <c r="X222" s="29" t="n">
        <v>2.315149</v>
      </c>
      <c r="Y222" s="31" t="n">
        <v>25.742</v>
      </c>
      <c r="Z222" s="39">
        <f>IFERROR(Y222/G222,0)</f>
        <v/>
      </c>
      <c r="AA222" s="35">
        <f>Y222-K222/1.06</f>
        <v/>
      </c>
      <c r="AB222" s="39">
        <f>IFERROR(AA222/G222,0)</f>
        <v/>
      </c>
      <c r="AC222" s="31" t="n">
        <v>0.07788</v>
      </c>
      <c r="AD222" s="39">
        <f>IFERROR(AC222/G222,0)</f>
        <v/>
      </c>
    </row>
    <row r="223">
      <c r="A223" s="27" t="inlineStr">
        <is>
          <t>7.6-7.12</t>
        </is>
      </c>
      <c r="B223" s="27" t="inlineStr">
        <is>
          <t>7.6-7.12</t>
        </is>
      </c>
      <c r="C223" s="34" t="n">
        <v>885645733215</v>
      </c>
      <c r="D223" s="27" t="inlineStr">
        <is>
          <t>大骨牛肉</t>
        </is>
      </c>
      <c r="E223" s="27" t="inlineStr">
        <is>
          <t>进口营多大骨番茄牛肉味营多捞面意式泡面宿舍宿舍宵夜速食方便面</t>
        </is>
      </c>
      <c r="F223" s="31" t="n">
        <v>60.38</v>
      </c>
      <c r="G223" s="35">
        <f>IFERROR(F223/1.13,0)</f>
        <v/>
      </c>
      <c r="H223" s="36" t="n">
        <v>4</v>
      </c>
      <c r="I223" s="37" t="n">
        <v>0.0009017132551848512</v>
      </c>
      <c r="J223" s="38">
        <f>IFERROR(F223/H223,0)</f>
        <v/>
      </c>
      <c r="K223" s="31" t="n">
        <v>3.83787195671777</v>
      </c>
      <c r="L223" s="31" t="n">
        <v>77.3746167718666</v>
      </c>
      <c r="M223" s="38">
        <f>IFERROR(L223/K223,0)</f>
        <v/>
      </c>
      <c r="N223" s="31" t="n">
        <v>1.8631830477908</v>
      </c>
      <c r="O223" s="31" t="n">
        <v>4.90703336339044</v>
      </c>
      <c r="P223" s="38">
        <f>IFERROR(O223/N223,0)</f>
        <v/>
      </c>
      <c r="Q223" s="31" t="n">
        <v>5.701055</v>
      </c>
      <c r="R223" s="31" t="n">
        <v>82.28165</v>
      </c>
      <c r="S223" s="38">
        <f>IFERROR(R223/Q223,0)</f>
        <v/>
      </c>
      <c r="T223" s="39">
        <f>IFERROR(Q223/SUMIF($A:$A,A223,$Q:$Q),0)</f>
        <v/>
      </c>
      <c r="U223" s="39">
        <f>IFERROR(Q223/F223,0)</f>
        <v/>
      </c>
      <c r="V223" s="35">
        <f>F223-R223</f>
        <v/>
      </c>
      <c r="W223" s="39">
        <f>IFERROR(V223/F223,0)</f>
        <v/>
      </c>
      <c r="X223" s="29" t="n">
        <v>1.852119</v>
      </c>
      <c r="Y223" s="31" t="n">
        <v>0.885</v>
      </c>
      <c r="Z223" s="39">
        <f>IFERROR(Y223/G223,0)</f>
        <v/>
      </c>
      <c r="AA223" s="35">
        <f>Y223-K223/1.06</f>
        <v/>
      </c>
      <c r="AB223" s="39">
        <f>IFERROR(AA223/G223,0)</f>
        <v/>
      </c>
      <c r="AC223" s="31" t="n">
        <v>-6.240636</v>
      </c>
      <c r="AD223" s="39">
        <f>IFERROR(AC223/G223,0)</f>
        <v/>
      </c>
    </row>
    <row r="224">
      <c r="A224" s="27" t="inlineStr">
        <is>
          <t>7.6-7.12</t>
        </is>
      </c>
      <c r="B224" s="27" t="inlineStr">
        <is>
          <t>7.6-7.12</t>
        </is>
      </c>
      <c r="C224" s="34" t="n">
        <v>869217868453</v>
      </c>
      <c r="D224" s="27" t="inlineStr">
        <is>
          <t>韩式杯面</t>
        </is>
      </c>
      <c r="E224" s="27" t="inlineStr">
        <is>
          <t>营多捞面韩式甜辣炸鸡辣蘑菇杯面方便面拌面泡面宿舍速食面</t>
        </is>
      </c>
      <c r="F224" s="31" t="n">
        <v>111.61</v>
      </c>
      <c r="G224" s="35">
        <f>IFERROR(F224/1.13,0)</f>
        <v/>
      </c>
      <c r="H224" s="36" t="n">
        <v>3</v>
      </c>
      <c r="I224" s="37" t="n">
        <v>0.0006762849413886385</v>
      </c>
      <c r="J224" s="38">
        <f>IFERROR(F224/H224,0)</f>
        <v/>
      </c>
      <c r="K224" s="31" t="n">
        <v>6.68590396753833</v>
      </c>
      <c r="L224" s="31" t="n">
        <v>99.9534625788999</v>
      </c>
      <c r="M224" s="38">
        <f>IFERROR(L224/K224,0)</f>
        <v/>
      </c>
      <c r="N224" s="31" t="n">
        <v>1.3973872858431</v>
      </c>
      <c r="O224" s="31" t="n">
        <v>3.68027502254283</v>
      </c>
      <c r="P224" s="38">
        <f>IFERROR(O224/N224,0)</f>
        <v/>
      </c>
      <c r="Q224" s="31" t="n">
        <v>8.083290999999999</v>
      </c>
      <c r="R224" s="31" t="n">
        <v>103.633738</v>
      </c>
      <c r="S224" s="38">
        <f>IFERROR(R224/Q224,0)</f>
        <v/>
      </c>
      <c r="T224" s="39">
        <f>IFERROR(Q224/SUMIF($A:$A,A224,$Q:$Q),0)</f>
        <v/>
      </c>
      <c r="U224" s="39">
        <f>IFERROR(Q224/F224,0)</f>
        <v/>
      </c>
      <c r="V224" s="35">
        <f>F224-R224</f>
        <v/>
      </c>
      <c r="W224" s="39">
        <f>IFERROR(V224/F224,0)</f>
        <v/>
      </c>
      <c r="X224" s="29" t="n">
        <v>1.389089</v>
      </c>
      <c r="Y224" s="31" t="n">
        <v>15.287</v>
      </c>
      <c r="Z224" s="39">
        <f>IFERROR(Y224/G224,0)</f>
        <v/>
      </c>
      <c r="AA224" s="35">
        <f>Y224-K224/1.06</f>
        <v/>
      </c>
      <c r="AB224" s="39">
        <f>IFERROR(AA224/G224,0)</f>
        <v/>
      </c>
      <c r="AC224" s="31" t="n">
        <v>6.350792</v>
      </c>
      <c r="AD224" s="39">
        <f>IFERROR(AC224/G224,0)</f>
        <v/>
      </c>
    </row>
    <row r="225">
      <c r="A225" s="27" t="inlineStr">
        <is>
          <t>7.6-7.12</t>
        </is>
      </c>
      <c r="B225" s="27" t="inlineStr">
        <is>
          <t>7.6-7.12</t>
        </is>
      </c>
      <c r="C225" s="34" t="n">
        <v>947413291596</v>
      </c>
      <c r="D225" s="27" t="inlineStr">
        <is>
          <t>杯面</t>
        </is>
      </c>
      <c r="E225" s="27" t="inlineStr">
        <is>
          <t>营多捞面杯装方便面泡面速食干拌面原味整箱批发印尼进口桶装拌面</t>
        </is>
      </c>
      <c r="F225" s="31" t="n">
        <v>53.57</v>
      </c>
      <c r="G225" s="35">
        <f>IFERROR(F225/1.13,0)</f>
        <v/>
      </c>
      <c r="H225" s="36" t="n">
        <v>2</v>
      </c>
      <c r="I225" s="37" t="n">
        <v>0.0004508566275924256</v>
      </c>
      <c r="J225" s="38">
        <f>IFERROR(F225/H225,0)</f>
        <v/>
      </c>
      <c r="K225" s="31" t="n">
        <v>13.4939359783589</v>
      </c>
      <c r="L225" s="31" t="n">
        <v>1.66230838593329</v>
      </c>
      <c r="M225" s="38">
        <f>IFERROR(L225/K225,0)</f>
        <v/>
      </c>
      <c r="N225" s="31" t="n">
        <v>0.931591523895401</v>
      </c>
      <c r="O225" s="31" t="n">
        <v>2.45351668169522</v>
      </c>
      <c r="P225" s="38">
        <f>IFERROR(O225/N225,0)</f>
        <v/>
      </c>
      <c r="Q225" s="31" t="n">
        <v>14.425528</v>
      </c>
      <c r="R225" s="31" t="n">
        <v>4.115825</v>
      </c>
      <c r="S225" s="38">
        <f>IFERROR(R225/Q225,0)</f>
        <v/>
      </c>
      <c r="T225" s="39">
        <f>IFERROR(Q225/SUMIF($A:$A,A225,$Q:$Q),0)</f>
        <v/>
      </c>
      <c r="U225" s="39">
        <f>IFERROR(Q225/F225,0)</f>
        <v/>
      </c>
      <c r="V225" s="35">
        <f>F225-R225</f>
        <v/>
      </c>
      <c r="W225" s="39">
        <f>IFERROR(V225/F225,0)</f>
        <v/>
      </c>
      <c r="X225" s="29" t="n">
        <v>0.92606</v>
      </c>
      <c r="Y225" s="31" t="n">
        <v>5.564</v>
      </c>
      <c r="Z225" s="39">
        <f>IFERROR(Y225/G225,0)</f>
        <v/>
      </c>
      <c r="AA225" s="35">
        <f>Y225-K225/1.06</f>
        <v/>
      </c>
      <c r="AB225" s="39">
        <f>IFERROR(AA225/G225,0)</f>
        <v/>
      </c>
      <c r="AC225" s="31" t="n">
        <v>-8.918628999999999</v>
      </c>
      <c r="AD225" s="39">
        <f>IFERROR(AC225/G225,0)</f>
        <v/>
      </c>
    </row>
    <row r="226">
      <c r="A226" s="27" t="inlineStr">
        <is>
          <t>7.6-7.12</t>
        </is>
      </c>
      <c r="B226" s="27" t="inlineStr">
        <is>
          <t>7.6-7.12</t>
        </is>
      </c>
      <c r="C226" s="34" t="n">
        <v>903183018417</v>
      </c>
      <c r="D226" s="27" t="inlineStr">
        <is>
          <t>七口味混搭</t>
        </is>
      </c>
      <c r="E226" s="27" t="inlineStr">
        <is>
          <t>进口营多捞面汤面拌面七口味混合方便面速拉面宿舍拌面泡面食食品</t>
        </is>
      </c>
      <c r="F226" s="31" t="n">
        <v>33.43</v>
      </c>
      <c r="G226" s="35">
        <f>IFERROR(F226/1.13,0)</f>
        <v/>
      </c>
      <c r="H226" s="36" t="n">
        <v>2</v>
      </c>
      <c r="I226" s="37" t="n">
        <v>0.0004508566275924256</v>
      </c>
      <c r="J226" s="38">
        <f>IFERROR(F226/H226,0)</f>
        <v/>
      </c>
      <c r="K226" s="31" t="n">
        <v>13.8739359783589</v>
      </c>
      <c r="L226" s="31" t="n">
        <v>1.66230838593329</v>
      </c>
      <c r="M226" s="38">
        <f>IFERROR(L226/K226,0)</f>
        <v/>
      </c>
      <c r="N226" s="31" t="n">
        <v>0.931591523895401</v>
      </c>
      <c r="O226" s="31" t="n">
        <v>2.45351668169522</v>
      </c>
      <c r="P226" s="38">
        <f>IFERROR(O226/N226,0)</f>
        <v/>
      </c>
      <c r="Q226" s="31" t="n">
        <v>14.805528</v>
      </c>
      <c r="R226" s="31" t="n">
        <v>4.115825</v>
      </c>
      <c r="S226" s="38">
        <f>IFERROR(R226/Q226,0)</f>
        <v/>
      </c>
      <c r="T226" s="39">
        <f>IFERROR(Q226/SUMIF($A:$A,A226,$Q:$Q),0)</f>
        <v/>
      </c>
      <c r="U226" s="39">
        <f>IFERROR(Q226/F226,0)</f>
        <v/>
      </c>
      <c r="V226" s="35">
        <f>F226-R226</f>
        <v/>
      </c>
      <c r="W226" s="39">
        <f>IFERROR(V226/F226,0)</f>
        <v/>
      </c>
      <c r="X226" s="29" t="n">
        <v>0.92606</v>
      </c>
      <c r="Y226" s="31" t="n">
        <v>-0.904</v>
      </c>
      <c r="Z226" s="39">
        <f>IFERROR(Y226/G226,0)</f>
        <v/>
      </c>
      <c r="AA226" s="35">
        <f>Y226-K226/1.06</f>
        <v/>
      </c>
      <c r="AB226" s="39">
        <f>IFERROR(AA226/G226,0)</f>
        <v/>
      </c>
      <c r="AC226" s="31" t="n">
        <v>-15.74512</v>
      </c>
      <c r="AD226" s="39">
        <f>IFERROR(AC226/G226,0)</f>
        <v/>
      </c>
    </row>
    <row r="227">
      <c r="A227" s="27" t="inlineStr">
        <is>
          <t>7.6-7.12</t>
        </is>
      </c>
      <c r="B227" s="27" t="inlineStr">
        <is>
          <t>7.6-7.12</t>
        </is>
      </c>
      <c r="C227" s="34" t="n">
        <v>775016827115</v>
      </c>
      <c r="D227" s="27" t="inlineStr">
        <is>
          <t>杯面混搭</t>
        </is>
      </c>
      <c r="E227" s="27" t="inlineStr">
        <is>
          <t>进口营多原味杯面日式杯面韩式杯面泡面方便面汤面宿舍速食夜宵</t>
        </is>
      </c>
      <c r="F227" s="31" t="n">
        <v>55.8</v>
      </c>
      <c r="G227" s="35">
        <f>IFERROR(F227/1.13,0)</f>
        <v/>
      </c>
      <c r="H227" s="36" t="n">
        <v>2</v>
      </c>
      <c r="I227" s="37" t="n">
        <v>0.0004508566275924256</v>
      </c>
      <c r="J227" s="38">
        <f>IFERROR(F227/H227,0)</f>
        <v/>
      </c>
      <c r="K227" s="31" t="n">
        <v>2.10393597835888</v>
      </c>
      <c r="L227" s="31" t="n">
        <v>1.66230838593329</v>
      </c>
      <c r="M227" s="38">
        <f>IFERROR(L227/K227,0)</f>
        <v/>
      </c>
      <c r="N227" s="31" t="n">
        <v>0.931591523895401</v>
      </c>
      <c r="O227" s="31" t="n">
        <v>2.45351668169522</v>
      </c>
      <c r="P227" s="38">
        <f>IFERROR(O227/N227,0)</f>
        <v/>
      </c>
      <c r="Q227" s="31" t="n">
        <v>3.035528</v>
      </c>
      <c r="R227" s="31" t="n">
        <v>4.115825</v>
      </c>
      <c r="S227" s="38">
        <f>IFERROR(R227/Q227,0)</f>
        <v/>
      </c>
      <c r="T227" s="39">
        <f>IFERROR(Q227/SUMIF($A:$A,A227,$Q:$Q),0)</f>
        <v/>
      </c>
      <c r="U227" s="39">
        <f>IFERROR(Q227/F227,0)</f>
        <v/>
      </c>
      <c r="V227" s="35">
        <f>F227-R227</f>
        <v/>
      </c>
      <c r="W227" s="39">
        <f>IFERROR(V227/F227,0)</f>
        <v/>
      </c>
      <c r="X227" s="29" t="n">
        <v>0.92606</v>
      </c>
      <c r="Y227" s="31" t="n">
        <v>7.3</v>
      </c>
      <c r="Z227" s="39">
        <f>IFERROR(Y227/G227,0)</f>
        <v/>
      </c>
      <c r="AA227" s="35">
        <f>Y227-K227/1.06</f>
        <v/>
      </c>
      <c r="AB227" s="39">
        <f>IFERROR(AA227/G227,0)</f>
        <v/>
      </c>
      <c r="AC227" s="31" t="n">
        <v>3.562654</v>
      </c>
      <c r="AD227" s="39">
        <f>IFERROR(AC227/G227,0)</f>
        <v/>
      </c>
    </row>
    <row r="228">
      <c r="A228" s="27" t="inlineStr">
        <is>
          <t>7.6-7.12</t>
        </is>
      </c>
      <c r="B228" s="27" t="inlineStr">
        <is>
          <t>7.6-7.12</t>
        </is>
      </c>
      <c r="C228" s="34" t="n">
        <v>916072786304</v>
      </c>
      <c r="D228" s="27" t="inlineStr">
        <is>
          <t>小规格</t>
        </is>
      </c>
      <c r="E228" s="27" t="inlineStr">
        <is>
          <t>营多印尼进口营多捞面方便面火鸡面干拌面10包宿舍速食泡面夜宵</t>
        </is>
      </c>
      <c r="F228" s="31" t="n">
        <v>22.38</v>
      </c>
      <c r="G228" s="35">
        <f>IFERROR(F228/1.13,0)</f>
        <v/>
      </c>
      <c r="H228" s="36" t="n">
        <v>1</v>
      </c>
      <c r="I228" s="37" t="n">
        <v>0.0002254283137962128</v>
      </c>
      <c r="J228" s="38">
        <f>IFERROR(F228/H228,0)</f>
        <v/>
      </c>
      <c r="K228" s="31" t="n">
        <v>0.431967989179442</v>
      </c>
      <c r="L228" s="31" t="n">
        <v>0.8311541929666429</v>
      </c>
      <c r="M228" s="38">
        <f>IFERROR(L228/K228,0)</f>
        <v/>
      </c>
      <c r="N228" s="31" t="n">
        <v>0.465795761947701</v>
      </c>
      <c r="O228" s="31" t="n">
        <v>1.22675834084761</v>
      </c>
      <c r="P228" s="38">
        <f>IFERROR(O228/N228,0)</f>
        <v/>
      </c>
      <c r="Q228" s="31" t="n">
        <v>0.897764</v>
      </c>
      <c r="R228" s="31" t="n">
        <v>2.057913</v>
      </c>
      <c r="S228" s="38">
        <f>IFERROR(R228/Q228,0)</f>
        <v/>
      </c>
      <c r="T228" s="39">
        <f>IFERROR(Q228/SUMIF($A:$A,A228,$Q:$Q),0)</f>
        <v/>
      </c>
      <c r="U228" s="39">
        <f>IFERROR(Q228/F228,0)</f>
        <v/>
      </c>
      <c r="V228" s="35">
        <f>F228-R228</f>
        <v/>
      </c>
      <c r="W228" s="39">
        <f>IFERROR(V228/F228,0)</f>
        <v/>
      </c>
      <c r="X228" s="29" t="n">
        <v>0.46303</v>
      </c>
      <c r="Y228" s="31" t="n">
        <v>1.177</v>
      </c>
      <c r="Z228" s="39">
        <f>IFERROR(Y228/G228,0)</f>
        <v/>
      </c>
      <c r="AA228" s="35">
        <f>Y228-K228/1.06</f>
        <v/>
      </c>
      <c r="AB228" s="39">
        <f>IFERROR(AA228/G228,0)</f>
        <v/>
      </c>
      <c r="AC228" s="31" t="n">
        <v>-0.106767</v>
      </c>
      <c r="AD228" s="39">
        <f>IFERROR(AC228/G228,0)</f>
        <v/>
      </c>
    </row>
    <row r="229">
      <c r="A229" s="27" t="inlineStr">
        <is>
          <t>7.6-7.12</t>
        </is>
      </c>
      <c r="B229" s="27" t="inlineStr">
        <is>
          <t>7.6-7.12</t>
        </is>
      </c>
      <c r="C229" s="34" t="n">
        <v>1014512281808</v>
      </c>
      <c r="D229" s="27" t="inlineStr">
        <is>
          <t>杯面混搭</t>
        </is>
      </c>
      <c r="E229" s="27" t="inlineStr">
        <is>
          <t>营多捞面韩式甜辣炸鸡辣蘑菇杯面方便面拌面泡面宿舍速食面</t>
        </is>
      </c>
      <c r="F229" s="31" t="n">
        <v>55.56</v>
      </c>
      <c r="G229" s="35">
        <f>IFERROR(F229/1.13,0)</f>
        <v/>
      </c>
      <c r="H229" s="36" t="n">
        <v>1</v>
      </c>
      <c r="I229" s="37" t="n">
        <v>0.0002254283137962128</v>
      </c>
      <c r="J229" s="38">
        <f>IFERROR(F229/H229,0)</f>
        <v/>
      </c>
      <c r="K229" s="31" t="n">
        <v>0.481967989179442</v>
      </c>
      <c r="L229" s="31" t="n">
        <v>0.8311541929666429</v>
      </c>
      <c r="M229" s="38">
        <f>IFERROR(L229/K229,0)</f>
        <v/>
      </c>
      <c r="N229" s="31" t="n">
        <v>0.465795761947701</v>
      </c>
      <c r="O229" s="31" t="n">
        <v>1.22675834084761</v>
      </c>
      <c r="P229" s="38">
        <f>IFERROR(O229/N229,0)</f>
        <v/>
      </c>
      <c r="Q229" s="31" t="n">
        <v>0.9477640000000001</v>
      </c>
      <c r="R229" s="31" t="n">
        <v>2.057913</v>
      </c>
      <c r="S229" s="38">
        <f>IFERROR(R229/Q229,0)</f>
        <v/>
      </c>
      <c r="T229" s="39">
        <f>IFERROR(Q229/SUMIF($A:$A,A229,$Q:$Q),0)</f>
        <v/>
      </c>
      <c r="U229" s="39">
        <f>IFERROR(Q229/F229,0)</f>
        <v/>
      </c>
      <c r="V229" s="35">
        <f>F229-R229</f>
        <v/>
      </c>
      <c r="W229" s="39">
        <f>IFERROR(V229/F229,0)</f>
        <v/>
      </c>
      <c r="X229" s="29" t="n">
        <v>0.46303</v>
      </c>
      <c r="Y229" s="31" t="n">
        <v>10.599</v>
      </c>
      <c r="Z229" s="39">
        <f>IFERROR(Y229/G229,0)</f>
        <v/>
      </c>
      <c r="AA229" s="35">
        <f>Y229-K229/1.06</f>
        <v/>
      </c>
      <c r="AB229" s="39">
        <f>IFERROR(AA229/G229,0)</f>
        <v/>
      </c>
      <c r="AC229" s="31" t="n">
        <v>9.268063</v>
      </c>
      <c r="AD229" s="39">
        <f>IFERROR(AC229/G229,0)</f>
        <v/>
      </c>
    </row>
    <row r="230">
      <c r="A230" s="27" t="inlineStr">
        <is>
          <t>7.6-7.12</t>
        </is>
      </c>
      <c r="B230" s="27" t="inlineStr">
        <is>
          <t>7.6-7.12</t>
        </is>
      </c>
      <c r="C230" s="34" t="n">
        <v>1019572719528</v>
      </c>
      <c r="D230" s="27" t="inlineStr">
        <is>
          <t>杯面混搭</t>
        </is>
      </c>
      <c r="E230" s="27" t="inlineStr">
        <is>
          <t>印尼进口营多捞面杯面原味甜辣蘑菇味整箱速食拌面拉面泡面方便面</t>
        </is>
      </c>
      <c r="F230" s="31" t="n">
        <v>27.25</v>
      </c>
      <c r="G230" s="35">
        <f>IFERROR(F230/1.13,0)</f>
        <v/>
      </c>
      <c r="H230" s="36" t="n">
        <v>1</v>
      </c>
      <c r="I230" s="37" t="n">
        <v>0.0002254283137962128</v>
      </c>
      <c r="J230" s="38">
        <f>IFERROR(F230/H230,0)</f>
        <v/>
      </c>
      <c r="K230" s="31" t="n">
        <v>0.691967989179442</v>
      </c>
      <c r="L230" s="31" t="n">
        <v>0.8311541929666429</v>
      </c>
      <c r="M230" s="38">
        <f>IFERROR(L230/K230,0)</f>
        <v/>
      </c>
      <c r="N230" s="31" t="n">
        <v>0.465795761947701</v>
      </c>
      <c r="O230" s="31" t="n">
        <v>1.22675834084761</v>
      </c>
      <c r="P230" s="38">
        <f>IFERROR(O230/N230,0)</f>
        <v/>
      </c>
      <c r="Q230" s="31" t="n">
        <v>1.157764</v>
      </c>
      <c r="R230" s="31" t="n">
        <v>2.057913</v>
      </c>
      <c r="S230" s="38">
        <f>IFERROR(R230/Q230,0)</f>
        <v/>
      </c>
      <c r="T230" s="39">
        <f>IFERROR(Q230/SUMIF($A:$A,A230,$Q:$Q),0)</f>
        <v/>
      </c>
      <c r="U230" s="39">
        <f>IFERROR(Q230/F230,0)</f>
        <v/>
      </c>
      <c r="V230" s="35">
        <f>F230-R230</f>
        <v/>
      </c>
      <c r="W230" s="39">
        <f>IFERROR(V230/F230,0)</f>
        <v/>
      </c>
      <c r="X230" s="29" t="n">
        <v>0.46303</v>
      </c>
      <c r="Y230" s="31" t="n">
        <v>3.826</v>
      </c>
      <c r="Z230" s="39">
        <f>IFERROR(Y230/G230,0)</f>
        <v/>
      </c>
      <c r="AA230" s="35">
        <f>Y230-K230/1.06</f>
        <v/>
      </c>
      <c r="AB230" s="39">
        <f>IFERROR(AA230/G230,0)</f>
        <v/>
      </c>
      <c r="AC230" s="31" t="n">
        <v>2.29695</v>
      </c>
      <c r="AD230" s="39">
        <f>IFERROR(AC230/G230,0)</f>
        <v/>
      </c>
    </row>
    <row r="231">
      <c r="A231" s="27" t="inlineStr">
        <is>
          <t>7.6-7.12</t>
        </is>
      </c>
      <c r="B231" s="27" t="inlineStr">
        <is>
          <t>7.6-7.12</t>
        </is>
      </c>
      <c r="C231" s="34" t="n">
        <v>976467954327</v>
      </c>
      <c r="D231" s="27" t="inlineStr">
        <is>
          <t>十全十美</t>
        </is>
      </c>
      <c r="E231" s="27" t="inlineStr">
        <is>
          <t>营多捞面多口味袋装泡面拌面速食面干拌面方便面速食宵夜宿舍旅行</t>
        </is>
      </c>
      <c r="F231" s="31" t="n">
        <v>9.41</v>
      </c>
      <c r="G231" s="35">
        <f>IFERROR(F231/1.13,0)</f>
        <v/>
      </c>
      <c r="H231" s="36" t="n">
        <v>1</v>
      </c>
      <c r="I231" s="37" t="n">
        <v>0.0002254283137962128</v>
      </c>
      <c r="J231" s="38">
        <f>IFERROR(F231/H231,0)</f>
        <v/>
      </c>
      <c r="K231" s="31" t="n">
        <v>0.171967989179442</v>
      </c>
      <c r="L231" s="31" t="n">
        <v>0.8311541929666429</v>
      </c>
      <c r="M231" s="38">
        <f>IFERROR(L231/K231,0)</f>
        <v/>
      </c>
      <c r="N231" s="31" t="n">
        <v>0.465795761947701</v>
      </c>
      <c r="O231" s="31" t="n">
        <v>1.22675834084761</v>
      </c>
      <c r="P231" s="38">
        <f>IFERROR(O231/N231,0)</f>
        <v/>
      </c>
      <c r="Q231" s="31" t="n">
        <v>0.637764</v>
      </c>
      <c r="R231" s="31" t="n">
        <v>2.057913</v>
      </c>
      <c r="S231" s="38">
        <f>IFERROR(R231/Q231,0)</f>
        <v/>
      </c>
      <c r="T231" s="39">
        <f>IFERROR(Q231/SUMIF($A:$A,A231,$Q:$Q),0)</f>
        <v/>
      </c>
      <c r="U231" s="39">
        <f>IFERROR(Q231/F231,0)</f>
        <v/>
      </c>
      <c r="V231" s="35">
        <f>F231-R231</f>
        <v/>
      </c>
      <c r="W231" s="39">
        <f>IFERROR(V231/F231,0)</f>
        <v/>
      </c>
      <c r="X231" s="29" t="n">
        <v>0.46303</v>
      </c>
      <c r="Y231" s="31" t="n">
        <v>-1.761</v>
      </c>
      <c r="Z231" s="39">
        <f>IFERROR(Y231/G231,0)</f>
        <v/>
      </c>
      <c r="AA231" s="35">
        <f>Y231-K231/1.06</f>
        <v/>
      </c>
      <c r="AB231" s="39">
        <f>IFERROR(AA231/G231,0)</f>
        <v/>
      </c>
      <c r="AC231" s="31" t="n">
        <v>-2.799484</v>
      </c>
      <c r="AD231" s="39">
        <f>IFERROR(AC231/G231,0)</f>
        <v/>
      </c>
    </row>
    <row r="232">
      <c r="A232" s="27" t="inlineStr">
        <is>
          <t>7.6-7.12</t>
        </is>
      </c>
      <c r="B232" s="27" t="inlineStr">
        <is>
          <t>7.6-7.12</t>
        </is>
      </c>
      <c r="C232" s="34" t="n">
        <v>976466902934</v>
      </c>
      <c r="D232" s="27" t="inlineStr">
        <is>
          <t>日韩杯面</t>
        </is>
      </c>
      <c r="E232" s="27" t="inlineStr">
        <is>
          <t>【天猫U选】indomie营多捞面辣火鸡味日式鸡肉原味杯面</t>
        </is>
      </c>
      <c r="F232" s="31" t="n">
        <v>7.6</v>
      </c>
      <c r="G232" s="35">
        <f>IFERROR(F232/1.13,0)</f>
        <v/>
      </c>
      <c r="H232" s="36" t="n">
        <v>1</v>
      </c>
      <c r="I232" s="37" t="n">
        <v>0.0002254283137962128</v>
      </c>
      <c r="J232" s="38">
        <f>IFERROR(F232/H232,0)</f>
        <v/>
      </c>
      <c r="K232" s="31" t="n">
        <v>0.171967989179442</v>
      </c>
      <c r="L232" s="31" t="n">
        <v>0.8311541929666429</v>
      </c>
      <c r="M232" s="38">
        <f>IFERROR(L232/K232,0)</f>
        <v/>
      </c>
      <c r="N232" s="31" t="n">
        <v>0.465795761947701</v>
      </c>
      <c r="O232" s="31" t="n">
        <v>1.22675834084761</v>
      </c>
      <c r="P232" s="38">
        <f>IFERROR(O232/N232,0)</f>
        <v/>
      </c>
      <c r="Q232" s="31" t="n">
        <v>0.637764</v>
      </c>
      <c r="R232" s="31" t="n">
        <v>2.057913</v>
      </c>
      <c r="S232" s="38">
        <f>IFERROR(R232/Q232,0)</f>
        <v/>
      </c>
      <c r="T232" s="39">
        <f>IFERROR(Q232/SUMIF($A:$A,A232,$Q:$Q),0)</f>
        <v/>
      </c>
      <c r="U232" s="39">
        <f>IFERROR(Q232/F232,0)</f>
        <v/>
      </c>
      <c r="V232" s="35">
        <f>F232-R232</f>
        <v/>
      </c>
      <c r="W232" s="39">
        <f>IFERROR(V232/F232,0)</f>
        <v/>
      </c>
      <c r="X232" s="29" t="n">
        <v>0.46303</v>
      </c>
      <c r="Y232" s="31" t="n">
        <v>-3.241</v>
      </c>
      <c r="Z232" s="39">
        <f>IFERROR(Y232/G232,0)</f>
        <v/>
      </c>
      <c r="AA232" s="35">
        <f>Y232-K232/1.06</f>
        <v/>
      </c>
      <c r="AB232" s="39">
        <f>IFERROR(AA232/G232,0)</f>
        <v/>
      </c>
      <c r="AC232" s="31" t="n">
        <v>-4.279484</v>
      </c>
      <c r="AD232" s="39">
        <f>IFERROR(AC232/G232,0)</f>
        <v/>
      </c>
    </row>
    <row r="233">
      <c r="A233" s="27" t="inlineStr">
        <is>
          <t>7.6-7.12</t>
        </is>
      </c>
      <c r="B233" s="27" t="inlineStr">
        <is>
          <t>7.6-7.12</t>
        </is>
      </c>
      <c r="C233" s="34" t="n">
        <v>949962665617</v>
      </c>
      <c r="D233" s="27" t="inlineStr">
        <is>
          <t>韩式袋面</t>
        </is>
      </c>
      <c r="E233" s="27" t="inlineStr">
        <is>
          <t>营多捞面韩式火鸡面辣蘑菇汤面袋装泡面辣味速食方便面宿舍宵夜面</t>
        </is>
      </c>
      <c r="F233" s="31" t="n">
        <v>28.9</v>
      </c>
      <c r="G233" s="35">
        <f>IFERROR(F233/1.13,0)</f>
        <v/>
      </c>
      <c r="H233" s="36" t="n">
        <v>1</v>
      </c>
      <c r="I233" s="37" t="n">
        <v>0.0002254283137962128</v>
      </c>
      <c r="J233" s="38">
        <f>IFERROR(F233/H233,0)</f>
        <v/>
      </c>
      <c r="K233" s="31" t="n">
        <v>25.8919679891794</v>
      </c>
      <c r="L233" s="31" t="n">
        <v>55.0211541929666</v>
      </c>
      <c r="M233" s="38">
        <f>IFERROR(L233/K233,0)</f>
        <v/>
      </c>
      <c r="N233" s="31" t="n">
        <v>0.465795761947701</v>
      </c>
      <c r="O233" s="31" t="n">
        <v>1.22675834084761</v>
      </c>
      <c r="P233" s="38">
        <f>IFERROR(O233/N233,0)</f>
        <v/>
      </c>
      <c r="Q233" s="31" t="n">
        <v>26.357764</v>
      </c>
      <c r="R233" s="31" t="n">
        <v>56.247913</v>
      </c>
      <c r="S233" s="38">
        <f>IFERROR(R233/Q233,0)</f>
        <v/>
      </c>
      <c r="T233" s="39">
        <f>IFERROR(Q233/SUMIF($A:$A,A233,$Q:$Q),0)</f>
        <v/>
      </c>
      <c r="U233" s="39">
        <f>IFERROR(Q233/F233,0)</f>
        <v/>
      </c>
      <c r="V233" s="35">
        <f>F233-R233</f>
        <v/>
      </c>
      <c r="W233" s="39">
        <f>IFERROR(V233/F233,0)</f>
        <v/>
      </c>
      <c r="X233" s="29" t="n">
        <v>0.46303</v>
      </c>
      <c r="Y233" s="31" t="n">
        <v>4.577</v>
      </c>
      <c r="Z233" s="39">
        <f>IFERROR(Y233/G233,0)</f>
        <v/>
      </c>
      <c r="AA233" s="35">
        <f>Y233-K233/1.06</f>
        <v/>
      </c>
      <c r="AB233" s="39">
        <f>IFERROR(AA233/G233,0)</f>
        <v/>
      </c>
      <c r="AC233" s="31" t="n">
        <v>-20.725635</v>
      </c>
      <c r="AD233" s="39">
        <f>IFERROR(AC233/G233,0)</f>
        <v/>
      </c>
    </row>
    <row r="234">
      <c r="A234" s="27" t="inlineStr">
        <is>
          <t>7.6-7.12</t>
        </is>
      </c>
      <c r="B234" s="27" t="inlineStr">
        <is>
          <t>7.6-7.12</t>
        </is>
      </c>
      <c r="C234" s="34" t="n">
        <v>898120785283</v>
      </c>
      <c r="D234" s="27" t="inlineStr">
        <is>
          <t>韩式袋面</t>
        </is>
      </c>
      <c r="E234" s="27" t="inlineStr">
        <is>
          <t>营多韩式火鸡面袋装拌面干拌面泡面方便面速食面宿舍宵夜旅行</t>
        </is>
      </c>
      <c r="F234" s="31" t="n">
        <v>12.92</v>
      </c>
      <c r="G234" s="35">
        <f>IFERROR(F234/1.13,0)</f>
        <v/>
      </c>
      <c r="H234" s="36" t="n">
        <v>1</v>
      </c>
      <c r="I234" s="37" t="n">
        <v>0.0002254283137962128</v>
      </c>
      <c r="J234" s="38">
        <f>IFERROR(F234/H234,0)</f>
        <v/>
      </c>
      <c r="K234" s="31" t="n">
        <v>0.431967989179442</v>
      </c>
      <c r="L234" s="31" t="n">
        <v>0.8311541929666429</v>
      </c>
      <c r="M234" s="38">
        <f>IFERROR(L234/K234,0)</f>
        <v/>
      </c>
      <c r="N234" s="31" t="n">
        <v>0.465795761947701</v>
      </c>
      <c r="O234" s="31" t="n">
        <v>1.22675834084761</v>
      </c>
      <c r="P234" s="38">
        <f>IFERROR(O234/N234,0)</f>
        <v/>
      </c>
      <c r="Q234" s="31" t="n">
        <v>0.897764</v>
      </c>
      <c r="R234" s="31" t="n">
        <v>2.057913</v>
      </c>
      <c r="S234" s="38">
        <f>IFERROR(R234/Q234,0)</f>
        <v/>
      </c>
      <c r="T234" s="39">
        <f>IFERROR(Q234/SUMIF($A:$A,A234,$Q:$Q),0)</f>
        <v/>
      </c>
      <c r="U234" s="39">
        <f>IFERROR(Q234/F234,0)</f>
        <v/>
      </c>
      <c r="V234" s="35">
        <f>F234-R234</f>
        <v/>
      </c>
      <c r="W234" s="39">
        <f>IFERROR(V234/F234,0)</f>
        <v/>
      </c>
      <c r="X234" s="29" t="n">
        <v>0.46303</v>
      </c>
      <c r="Y234" s="31" t="n">
        <v>-0.289</v>
      </c>
      <c r="Z234" s="39">
        <f>IFERROR(Y234/G234,0)</f>
        <v/>
      </c>
      <c r="AA234" s="35">
        <f>Y234-K234/1.06</f>
        <v/>
      </c>
      <c r="AB234" s="39">
        <f>IFERROR(AA234/G234,0)</f>
        <v/>
      </c>
      <c r="AC234" s="31" t="n">
        <v>-1.572767</v>
      </c>
      <c r="AD234" s="39">
        <f>IFERROR(AC234/G234,0)</f>
        <v/>
      </c>
    </row>
    <row r="235">
      <c r="A235" s="27" t="inlineStr">
        <is>
          <t>7.13-7.19</t>
        </is>
      </c>
      <c r="B235" s="27" t="inlineStr">
        <is>
          <t>7.13-7.19</t>
        </is>
      </c>
      <c r="C235" s="34" t="n">
        <v>668566625747</v>
      </c>
      <c r="D235" s="27" t="inlineStr">
        <is>
          <t>袋面主链接</t>
        </is>
      </c>
      <c r="E235" s="27" t="inlineStr">
        <is>
          <t>印尼营多捞面进口网红泡面袋装方便面速食食品拉面火鸡面拌面整箱</t>
        </is>
      </c>
      <c r="F235" s="31" t="n">
        <v>36984.4400000008</v>
      </c>
      <c r="G235" s="35">
        <f>IFERROR(F235/1.13,0)</f>
        <v/>
      </c>
      <c r="H235" s="36" t="n">
        <v>1501</v>
      </c>
      <c r="I235" s="37" t="n">
        <v>0.3941701680672269</v>
      </c>
      <c r="J235" s="38">
        <f>IFERROR(F235/H235,0)</f>
        <v/>
      </c>
      <c r="K235" s="31" t="n">
        <v>5014.63370010504</v>
      </c>
      <c r="L235" s="31" t="n">
        <v>28818.5743881303</v>
      </c>
      <c r="M235" s="38">
        <f>IFERROR(L235/K235,0)</f>
        <v/>
      </c>
      <c r="N235" s="31" t="n">
        <v>795.261964285714</v>
      </c>
      <c r="O235" s="31" t="n">
        <v>1730.86427521008</v>
      </c>
      <c r="P235" s="38">
        <f>IFERROR(O235/N235,0)</f>
        <v/>
      </c>
      <c r="Q235" s="31" t="n">
        <v>5809.895664</v>
      </c>
      <c r="R235" s="31" t="n">
        <v>30549.438663</v>
      </c>
      <c r="S235" s="38">
        <f>IFERROR(R235/Q235,0)</f>
        <v/>
      </c>
      <c r="T235" s="39">
        <f>IFERROR(Q235/SUMIF($A:$A,A235,$Q:$Q),0)</f>
        <v/>
      </c>
      <c r="U235" s="39">
        <f>IFERROR(Q235/F235,0)</f>
        <v/>
      </c>
      <c r="V235" s="35">
        <f>F235-R235</f>
        <v/>
      </c>
      <c r="W235" s="39">
        <f>IFERROR(V235/F235,0)</f>
        <v/>
      </c>
      <c r="X235" s="29" t="n">
        <v>947.979254</v>
      </c>
      <c r="Y235" s="31" t="n">
        <v>4797.53600000005</v>
      </c>
      <c r="Z235" s="39">
        <f>IFERROR(Y235/G235,0)</f>
        <v/>
      </c>
      <c r="AA235" s="35">
        <f>Y235-K235/1.06</f>
        <v/>
      </c>
      <c r="AB235" s="39">
        <f>IFERROR(AA235/G235,0)</f>
        <v/>
      </c>
      <c r="AC235" s="31" t="n">
        <v>-1577.817697</v>
      </c>
      <c r="AD235" s="39">
        <f>IFERROR(AC235/G235,0)</f>
        <v/>
      </c>
    </row>
    <row r="236">
      <c r="A236" s="27" t="inlineStr">
        <is>
          <t>7.13-7.19</t>
        </is>
      </c>
      <c r="B236" s="27" t="inlineStr">
        <is>
          <t>7.13-7.19</t>
        </is>
      </c>
      <c r="C236" s="34" t="n">
        <v>649361890551</v>
      </c>
      <c r="D236" s="27" t="inlineStr">
        <is>
          <t>袋面次链接</t>
        </is>
      </c>
      <c r="E236" s="27" t="inlineStr">
        <is>
          <t>营多捞面印尼进口Indomie网红夜宵早餐方便面火鸡面泡面拌面</t>
        </is>
      </c>
      <c r="F236" s="31" t="n">
        <v>14291.7099999999</v>
      </c>
      <c r="G236" s="35">
        <f>IFERROR(F236/1.13,0)</f>
        <v/>
      </c>
      <c r="H236" s="36" t="n">
        <v>768</v>
      </c>
      <c r="I236" s="37" t="n">
        <v>0.2016806722689076</v>
      </c>
      <c r="J236" s="38">
        <f>IFERROR(F236/H236,0)</f>
        <v/>
      </c>
      <c r="K236" s="31" t="n">
        <v>2013.89605042017</v>
      </c>
      <c r="L236" s="31" t="n">
        <v>9309.94630252101</v>
      </c>
      <c r="M236" s="38">
        <f>IFERROR(L236/K236,0)</f>
        <v/>
      </c>
      <c r="N236" s="31" t="n">
        <v>406.902857142857</v>
      </c>
      <c r="O236" s="31" t="n">
        <v>885.612100840336</v>
      </c>
      <c r="P236" s="38">
        <f>IFERROR(O236/N236,0)</f>
        <v/>
      </c>
      <c r="Q236" s="31" t="n">
        <v>2420.798908</v>
      </c>
      <c r="R236" s="31" t="n">
        <v>10195.558403</v>
      </c>
      <c r="S236" s="38">
        <f>IFERROR(R236/Q236,0)</f>
        <v/>
      </c>
      <c r="T236" s="39">
        <f>IFERROR(Q236/SUMIF($A:$A,A236,$Q:$Q),0)</f>
        <v/>
      </c>
      <c r="U236" s="39">
        <f>IFERROR(Q236/F236,0)</f>
        <v/>
      </c>
      <c r="V236" s="35">
        <f>F236-R236</f>
        <v/>
      </c>
      <c r="W236" s="39">
        <f>IFERROR(V236/F236,0)</f>
        <v/>
      </c>
      <c r="X236" s="29" t="n">
        <v>485.042017</v>
      </c>
      <c r="Y236" s="31" t="n">
        <v>1294.14099999999</v>
      </c>
      <c r="Z236" s="39">
        <f>IFERROR(Y236/G236,0)</f>
        <v/>
      </c>
      <c r="AA236" s="35">
        <f>Y236-K236/1.06</f>
        <v/>
      </c>
      <c r="AB236" s="39">
        <f>IFERROR(AA236/G236,0)</f>
        <v/>
      </c>
      <c r="AC236" s="31" t="n">
        <v>-1447.218363</v>
      </c>
      <c r="AD236" s="39">
        <f>IFERROR(AC236/G236,0)</f>
        <v/>
      </c>
    </row>
    <row r="237">
      <c r="A237" s="27" t="inlineStr">
        <is>
          <t>7.13-7.19</t>
        </is>
      </c>
      <c r="B237" s="27" t="inlineStr">
        <is>
          <t>7.13-7.19</t>
        </is>
      </c>
      <c r="C237" s="34" t="n">
        <v>649735171438</v>
      </c>
      <c r="D237" s="27" t="inlineStr">
        <is>
          <t>杯面主链接</t>
        </is>
      </c>
      <c r="E237" s="27" t="inlineStr">
        <is>
          <t>印尼进口indomie营多捞面杯面速食泡面干拌面盒桶装方便面火鸡面</t>
        </is>
      </c>
      <c r="F237" s="31" t="n">
        <v>13724.93</v>
      </c>
      <c r="G237" s="35">
        <f>IFERROR(F237/1.13,0)</f>
        <v/>
      </c>
      <c r="H237" s="36" t="n">
        <v>532</v>
      </c>
      <c r="I237" s="37" t="n">
        <v>0.1397058823529412</v>
      </c>
      <c r="J237" s="38">
        <f>IFERROR(F237/H237,0)</f>
        <v/>
      </c>
      <c r="K237" s="31" t="n">
        <v>2040.81169117647</v>
      </c>
      <c r="L237" s="31" t="n">
        <v>8420.14889705882</v>
      </c>
      <c r="M237" s="38">
        <f>IFERROR(L237/K237,0)</f>
        <v/>
      </c>
      <c r="N237" s="31" t="n">
        <v>281.865</v>
      </c>
      <c r="O237" s="31" t="n">
        <v>613.470882352941</v>
      </c>
      <c r="P237" s="38">
        <f>IFERROR(O237/N237,0)</f>
        <v/>
      </c>
      <c r="Q237" s="31" t="n">
        <v>2322.676691</v>
      </c>
      <c r="R237" s="31" t="n">
        <v>9033.619779000001</v>
      </c>
      <c r="S237" s="38">
        <f>IFERROR(R237/Q237,0)</f>
        <v/>
      </c>
      <c r="T237" s="39">
        <f>IFERROR(Q237/SUMIF($A:$A,A237,$Q:$Q),0)</f>
        <v/>
      </c>
      <c r="U237" s="39">
        <f>IFERROR(Q237/F237,0)</f>
        <v/>
      </c>
      <c r="V237" s="35">
        <f>F237-R237</f>
        <v/>
      </c>
      <c r="W237" s="39">
        <f>IFERROR(V237/F237,0)</f>
        <v/>
      </c>
      <c r="X237" s="29" t="n">
        <v>335.992647</v>
      </c>
      <c r="Y237" s="31" t="n">
        <v>1545.435</v>
      </c>
      <c r="Z237" s="39">
        <f>IFERROR(Y237/G237,0)</f>
        <v/>
      </c>
      <c r="AA237" s="35">
        <f>Y237-K237/1.06</f>
        <v/>
      </c>
      <c r="AB237" s="39">
        <f>IFERROR(AA237/G237,0)</f>
        <v/>
      </c>
      <c r="AC237" s="31" t="n">
        <v>-962.743621</v>
      </c>
      <c r="AD237" s="39">
        <f>IFERROR(AC237/G237,0)</f>
        <v/>
      </c>
    </row>
    <row r="238">
      <c r="A238" s="27" t="inlineStr">
        <is>
          <t>7.13-7.19</t>
        </is>
      </c>
      <c r="B238" s="27" t="inlineStr">
        <is>
          <t>7.13-7.19</t>
        </is>
      </c>
      <c r="C238" s="34" t="n">
        <v>1057479227624</v>
      </c>
      <c r="D238" s="27" t="inlineStr">
        <is>
          <t>巴东牛肉</t>
        </is>
      </c>
      <c r="E238" s="27" t="inlineStr">
        <is>
          <t>【新口味】印尼进口营多捞面巴东炖牛肉味泡面方便面宿舍速食宵夜</t>
        </is>
      </c>
      <c r="F238" s="31" t="n">
        <v>2425.45</v>
      </c>
      <c r="G238" s="35">
        <f>IFERROR(F238/1.13,0)</f>
        <v/>
      </c>
      <c r="H238" s="36" t="n">
        <v>140</v>
      </c>
      <c r="I238" s="37" t="n">
        <v>0.03676470588235294</v>
      </c>
      <c r="J238" s="38">
        <f>IFERROR(F238/H238,0)</f>
        <v/>
      </c>
      <c r="K238" s="31" t="n">
        <v>817.473602941176</v>
      </c>
      <c r="L238" s="31" t="n">
        <v>3686.15286764706</v>
      </c>
      <c r="M238" s="38">
        <f>IFERROR(L238/K238,0)</f>
        <v/>
      </c>
      <c r="N238" s="31" t="n">
        <v>74.175</v>
      </c>
      <c r="O238" s="31" t="n">
        <v>161.439705882353</v>
      </c>
      <c r="P238" s="38">
        <f>IFERROR(O238/N238,0)</f>
        <v/>
      </c>
      <c r="Q238" s="31" t="n">
        <v>891.648603</v>
      </c>
      <c r="R238" s="31" t="n">
        <v>3847.592574</v>
      </c>
      <c r="S238" s="38">
        <f>IFERROR(R238/Q238,0)</f>
        <v/>
      </c>
      <c r="T238" s="39">
        <f>IFERROR(Q238/SUMIF($A:$A,A238,$Q:$Q),0)</f>
        <v/>
      </c>
      <c r="U238" s="39">
        <f>IFERROR(Q238/F238,0)</f>
        <v/>
      </c>
      <c r="V238" s="35">
        <f>F238-R238</f>
        <v/>
      </c>
      <c r="W238" s="39">
        <f>IFERROR(V238/F238,0)</f>
        <v/>
      </c>
      <c r="X238" s="29" t="n">
        <v>88.419118</v>
      </c>
      <c r="Y238" s="31" t="n">
        <v>250.574</v>
      </c>
      <c r="Z238" s="39">
        <f>IFERROR(Y238/G238,0)</f>
        <v/>
      </c>
      <c r="AA238" s="35">
        <f>Y238-K238/1.06</f>
        <v/>
      </c>
      <c r="AB238" s="39">
        <f>IFERROR(AA238/G238,0)</f>
        <v/>
      </c>
      <c r="AC238" s="31" t="n">
        <v>-674.018189</v>
      </c>
      <c r="AD238" s="39">
        <f>IFERROR(AC238/G238,0)</f>
        <v/>
      </c>
    </row>
    <row r="239">
      <c r="A239" s="27" t="inlineStr">
        <is>
          <t>7.13-7.19</t>
        </is>
      </c>
      <c r="B239" s="27" t="inlineStr">
        <is>
          <t>7.13-7.19</t>
        </is>
      </c>
      <c r="C239" s="34" t="n">
        <v>1058280415678</v>
      </c>
      <c r="D239" s="27" t="inlineStr">
        <is>
          <t>巴东牛肉</t>
        </is>
      </c>
      <c r="E239" s="27" t="inlineStr">
        <is>
          <t>【新口味】印尼进口营多捞面巴东炖牛肉味泡面方便面宿舍速食宵夜</t>
        </is>
      </c>
      <c r="F239" s="31" t="n">
        <v>3341.78</v>
      </c>
      <c r="G239" s="35">
        <f>IFERROR(F239/1.13,0)</f>
        <v/>
      </c>
      <c r="H239" s="36" t="n">
        <v>120</v>
      </c>
      <c r="I239" s="37" t="n">
        <v>0.03151260504201681</v>
      </c>
      <c r="J239" s="38">
        <f>IFERROR(F239/H239,0)</f>
        <v/>
      </c>
      <c r="K239" s="31" t="n">
        <v>559.055945378151</v>
      </c>
      <c r="L239" s="31" t="n">
        <v>3162.31817226891</v>
      </c>
      <c r="M239" s="38">
        <f>IFERROR(L239/K239,0)</f>
        <v/>
      </c>
      <c r="N239" s="31" t="n">
        <v>63.5785714285714</v>
      </c>
      <c r="O239" s="31" t="n">
        <v>138.376890756303</v>
      </c>
      <c r="P239" s="38">
        <f>IFERROR(O239/N239,0)</f>
        <v/>
      </c>
      <c r="Q239" s="31" t="n">
        <v>622.634517</v>
      </c>
      <c r="R239" s="31" t="n">
        <v>3300.695063</v>
      </c>
      <c r="S239" s="38">
        <f>IFERROR(R239/Q239,0)</f>
        <v/>
      </c>
      <c r="T239" s="39">
        <f>IFERROR(Q239/SUMIF($A:$A,A239,$Q:$Q),0)</f>
        <v/>
      </c>
      <c r="U239" s="39">
        <f>IFERROR(Q239/F239,0)</f>
        <v/>
      </c>
      <c r="V239" s="35">
        <f>F239-R239</f>
        <v/>
      </c>
      <c r="W239" s="39">
        <f>IFERROR(V239/F239,0)</f>
        <v/>
      </c>
      <c r="X239" s="29" t="n">
        <v>75.78781499999999</v>
      </c>
      <c r="Y239" s="31" t="n">
        <v>710.569000000001</v>
      </c>
      <c r="Z239" s="39">
        <f>IFERROR(Y239/G239,0)</f>
        <v/>
      </c>
      <c r="AA239" s="35">
        <f>Y239-K239/1.06</f>
        <v/>
      </c>
      <c r="AB239" s="39">
        <f>IFERROR(AA239/G239,0)</f>
        <v/>
      </c>
      <c r="AC239" s="31" t="n">
        <v>51.680008</v>
      </c>
      <c r="AD239" s="39">
        <f>IFERROR(AC239/G239,0)</f>
        <v/>
      </c>
    </row>
    <row r="240">
      <c r="A240" s="27" t="inlineStr">
        <is>
          <t>7.13-7.19</t>
        </is>
      </c>
      <c r="B240" s="27" t="inlineStr">
        <is>
          <t>7.13-7.19</t>
        </is>
      </c>
      <c r="C240" s="34" t="n">
        <v>649369494424</v>
      </c>
      <c r="D240" s="27" t="inlineStr">
        <is>
          <t>24包经典/牛系列</t>
        </is>
      </c>
      <c r="E240" s="27" t="inlineStr">
        <is>
          <t>营多捞面干拌面一整箱24袋装批发泡面混搭宿舍速食方便面火鸡面</t>
        </is>
      </c>
      <c r="F240" s="31" t="n">
        <v>5758.78</v>
      </c>
      <c r="G240" s="35">
        <f>IFERROR(F240/1.13,0)</f>
        <v/>
      </c>
      <c r="H240" s="36" t="n">
        <v>104</v>
      </c>
      <c r="I240" s="37" t="n">
        <v>0.0273109243697479</v>
      </c>
      <c r="J240" s="38">
        <f>IFERROR(F240/H240,0)</f>
        <v/>
      </c>
      <c r="K240" s="31" t="n">
        <v>767.8658193277309</v>
      </c>
      <c r="L240" s="31" t="n">
        <v>3786.22241596639</v>
      </c>
      <c r="M240" s="38">
        <f>IFERROR(L240/K240,0)</f>
        <v/>
      </c>
      <c r="N240" s="31" t="n">
        <v>55.1014285714286</v>
      </c>
      <c r="O240" s="31" t="n">
        <v>119.926638655462</v>
      </c>
      <c r="P240" s="38">
        <f>IFERROR(O240/N240,0)</f>
        <v/>
      </c>
      <c r="Q240" s="31" t="n">
        <v>822.967248</v>
      </c>
      <c r="R240" s="31" t="n">
        <v>3906.149055</v>
      </c>
      <c r="S240" s="38">
        <f>IFERROR(R240/Q240,0)</f>
        <v/>
      </c>
      <c r="T240" s="39">
        <f>IFERROR(Q240/SUMIF($A:$A,A240,$Q:$Q),0)</f>
        <v/>
      </c>
      <c r="U240" s="39">
        <f>IFERROR(Q240/F240,0)</f>
        <v/>
      </c>
      <c r="V240" s="35">
        <f>F240-R240</f>
        <v/>
      </c>
      <c r="W240" s="39">
        <f>IFERROR(V240/F240,0)</f>
        <v/>
      </c>
      <c r="X240" s="29" t="n">
        <v>65.682773</v>
      </c>
      <c r="Y240" s="31" t="n">
        <v>1085.147</v>
      </c>
      <c r="Z240" s="39">
        <f>IFERROR(Y240/G240,0)</f>
        <v/>
      </c>
      <c r="AA240" s="35">
        <f>Y240-K240/1.06</f>
        <v/>
      </c>
      <c r="AB240" s="39">
        <f>IFERROR(AA240/G240,0)</f>
        <v/>
      </c>
      <c r="AC240" s="31" t="n">
        <v>246.797924</v>
      </c>
      <c r="AD240" s="39">
        <f>IFERROR(AC240/G240,0)</f>
        <v/>
      </c>
    </row>
    <row r="241">
      <c r="A241" s="27" t="inlineStr">
        <is>
          <t>7.13-7.19</t>
        </is>
      </c>
      <c r="B241" s="27" t="inlineStr">
        <is>
          <t>7.13-7.19</t>
        </is>
      </c>
      <c r="C241" s="34" t="n">
        <v>648600900806</v>
      </c>
      <c r="D241" s="27" t="inlineStr">
        <is>
          <t>30包</t>
        </is>
      </c>
      <c r="E241" s="27" t="inlineStr">
        <is>
          <t>进口营多捞面一整箱30包网红速食方便面宿舍速食泡面干拌面拉面</t>
        </is>
      </c>
      <c r="F241" s="31" t="n">
        <v>6834.31</v>
      </c>
      <c r="G241" s="35">
        <f>IFERROR(F241/1.13,0)</f>
        <v/>
      </c>
      <c r="H241" s="36" t="n">
        <v>101</v>
      </c>
      <c r="I241" s="37" t="n">
        <v>0.02652310924369748</v>
      </c>
      <c r="J241" s="38">
        <f>IFERROR(F241/H241,0)</f>
        <v/>
      </c>
      <c r="K241" s="31" t="n">
        <v>1417.99767069328</v>
      </c>
      <c r="L241" s="31" t="n">
        <v>6253.45571165966</v>
      </c>
      <c r="M241" s="38">
        <f>IFERROR(L241/K241,0)</f>
        <v/>
      </c>
      <c r="N241" s="31" t="n">
        <v>53.5119642857143</v>
      </c>
      <c r="O241" s="31" t="n">
        <v>116.467216386555</v>
      </c>
      <c r="P241" s="38">
        <f>IFERROR(O241/N241,0)</f>
        <v/>
      </c>
      <c r="Q241" s="31" t="n">
        <v>1471.509635</v>
      </c>
      <c r="R241" s="31" t="n">
        <v>6369.922928</v>
      </c>
      <c r="S241" s="38">
        <f>IFERROR(R241/Q241,0)</f>
        <v/>
      </c>
      <c r="T241" s="39">
        <f>IFERROR(Q241/SUMIF($A:$A,A241,$Q:$Q),0)</f>
        <v/>
      </c>
      <c r="U241" s="39">
        <f>IFERROR(Q241/F241,0)</f>
        <v/>
      </c>
      <c r="V241" s="35">
        <f>F241-R241</f>
        <v/>
      </c>
      <c r="W241" s="39">
        <f>IFERROR(V241/F241,0)</f>
        <v/>
      </c>
      <c r="X241" s="29" t="n">
        <v>63.788078</v>
      </c>
      <c r="Y241" s="31" t="n">
        <v>1246.154</v>
      </c>
      <c r="Z241" s="39">
        <f>IFERROR(Y241/G241,0)</f>
        <v/>
      </c>
      <c r="AA241" s="35">
        <f>Y241-K241/1.06</f>
        <v/>
      </c>
      <c r="AB241" s="39">
        <f>IFERROR(AA241/G241,0)</f>
        <v/>
      </c>
      <c r="AC241" s="31" t="n">
        <v>-202.240069</v>
      </c>
      <c r="AD241" s="39">
        <f>IFERROR(AC241/G241,0)</f>
        <v/>
      </c>
    </row>
    <row r="242">
      <c r="A242" s="27" t="inlineStr">
        <is>
          <t>7.13-7.19</t>
        </is>
      </c>
      <c r="B242" s="27" t="inlineStr">
        <is>
          <t>7.13-7.19</t>
        </is>
      </c>
      <c r="C242" s="34" t="n">
        <v>649014937782</v>
      </c>
      <c r="D242" s="27" t="inlineStr">
        <is>
          <t>24包</t>
        </is>
      </c>
      <c r="E242" s="27" t="inlineStr">
        <is>
          <t>印尼营多捞面干拌面一整箱24袋装批发泡面宿舍速食方便面火鸡面</t>
        </is>
      </c>
      <c r="F242" s="31" t="n">
        <v>4410.05</v>
      </c>
      <c r="G242" s="35">
        <f>IFERROR(F242/1.13,0)</f>
        <v/>
      </c>
      <c r="H242" s="36" t="n">
        <v>80</v>
      </c>
      <c r="I242" s="37" t="n">
        <v>0.02100840336134454</v>
      </c>
      <c r="J242" s="38">
        <f>IFERROR(F242/H242,0)</f>
        <v/>
      </c>
      <c r="K242" s="31" t="n">
        <v>836.600630252101</v>
      </c>
      <c r="L242" s="31" t="n">
        <v>3057.04878151261</v>
      </c>
      <c r="M242" s="38">
        <f>IFERROR(L242/K242,0)</f>
        <v/>
      </c>
      <c r="N242" s="31" t="n">
        <v>42.3857142857143</v>
      </c>
      <c r="O242" s="31" t="n">
        <v>92.2512605042017</v>
      </c>
      <c r="P242" s="38">
        <f>IFERROR(O242/N242,0)</f>
        <v/>
      </c>
      <c r="Q242" s="31" t="n">
        <v>878.986345</v>
      </c>
      <c r="R242" s="31" t="n">
        <v>3149.300042</v>
      </c>
      <c r="S242" s="38">
        <f>IFERROR(R242/Q242,0)</f>
        <v/>
      </c>
      <c r="T242" s="39">
        <f>IFERROR(Q242/SUMIF($A:$A,A242,$Q:$Q),0)</f>
        <v/>
      </c>
      <c r="U242" s="39">
        <f>IFERROR(Q242/F242,0)</f>
        <v/>
      </c>
      <c r="V242" s="35">
        <f>F242-R242</f>
        <v/>
      </c>
      <c r="W242" s="39">
        <f>IFERROR(V242/F242,0)</f>
        <v/>
      </c>
      <c r="X242" s="29" t="n">
        <v>50.52521</v>
      </c>
      <c r="Y242" s="31" t="n">
        <v>814.107</v>
      </c>
      <c r="Z242" s="39">
        <f>IFERROR(Y242/G242,0)</f>
        <v/>
      </c>
      <c r="AA242" s="35">
        <f>Y242-K242/1.06</f>
        <v/>
      </c>
      <c r="AB242" s="39">
        <f>IFERROR(AA242/G242,0)</f>
        <v/>
      </c>
      <c r="AC242" s="31" t="n">
        <v>-62.790693</v>
      </c>
      <c r="AD242" s="39">
        <f>IFERROR(AC242/G242,0)</f>
        <v/>
      </c>
    </row>
    <row r="243">
      <c r="A243" s="27" t="inlineStr">
        <is>
          <t>7.13-7.19</t>
        </is>
      </c>
      <c r="B243" s="27" t="inlineStr">
        <is>
          <t>7.13-7.19</t>
        </is>
      </c>
      <c r="C243" s="34" t="n">
        <v>1060999732877</v>
      </c>
      <c r="D243" s="27" t="inlineStr">
        <is>
          <t>原味大包</t>
        </is>
      </c>
      <c r="E243" s="27" t="inlineStr">
        <is>
          <t>indomie印尼进口营多原味大大包129g捞面方便面速食食品宵夜小吃</t>
        </is>
      </c>
      <c r="F243" s="31" t="n">
        <v>2081.11</v>
      </c>
      <c r="G243" s="35">
        <f>IFERROR(F243/1.13,0)</f>
        <v/>
      </c>
      <c r="H243" s="36" t="n">
        <v>79</v>
      </c>
      <c r="I243" s="37" t="n">
        <v>0.02074579831932773</v>
      </c>
      <c r="J243" s="38">
        <f>IFERROR(F243/H243,0)</f>
        <v/>
      </c>
      <c r="K243" s="31" t="n">
        <v>410.281247373949</v>
      </c>
      <c r="L243" s="31" t="n">
        <v>2025.4465467437</v>
      </c>
      <c r="M243" s="38">
        <f>IFERROR(L243/K243,0)</f>
        <v/>
      </c>
      <c r="N243" s="31" t="n">
        <v>41.8558928571429</v>
      </c>
      <c r="O243" s="31" t="n">
        <v>91.0981197478991</v>
      </c>
      <c r="P243" s="38">
        <f>IFERROR(O243/N243,0)</f>
        <v/>
      </c>
      <c r="Q243" s="31" t="n">
        <v>452.13714</v>
      </c>
      <c r="R243" s="31" t="n">
        <v>2116.544666</v>
      </c>
      <c r="S243" s="38">
        <f>IFERROR(R243/Q243,0)</f>
        <v/>
      </c>
      <c r="T243" s="39">
        <f>IFERROR(Q243/SUMIF($A:$A,A243,$Q:$Q),0)</f>
        <v/>
      </c>
      <c r="U243" s="39">
        <f>IFERROR(Q243/F243,0)</f>
        <v/>
      </c>
      <c r="V243" s="35">
        <f>F243-R243</f>
        <v/>
      </c>
      <c r="W243" s="39">
        <f>IFERROR(V243/F243,0)</f>
        <v/>
      </c>
      <c r="X243" s="29" t="n">
        <v>49.893645</v>
      </c>
      <c r="Y243" s="31" t="n">
        <v>429.475</v>
      </c>
      <c r="Z243" s="39">
        <f>IFERROR(Y243/G243,0)</f>
        <v/>
      </c>
      <c r="AA243" s="35">
        <f>Y243-K243/1.06</f>
        <v/>
      </c>
      <c r="AB243" s="39">
        <f>IFERROR(AA243/G243,0)</f>
        <v/>
      </c>
      <c r="AC243" s="31" t="n">
        <v>-44.138948</v>
      </c>
      <c r="AD243" s="39">
        <f>IFERROR(AC243/G243,0)</f>
        <v/>
      </c>
    </row>
    <row r="244">
      <c r="A244" s="27" t="inlineStr">
        <is>
          <t>7.13-7.19</t>
        </is>
      </c>
      <c r="B244" s="27" t="inlineStr">
        <is>
          <t>7.13-7.19</t>
        </is>
      </c>
      <c r="C244" s="34" t="n">
        <v>648598580775</v>
      </c>
      <c r="D244" s="27" t="inlineStr">
        <is>
          <t>原味大包</t>
        </is>
      </c>
      <c r="E244" s="27" t="inlineStr">
        <is>
          <t>印尼进口大大包营多原味捞面5包干拌面速食超大包方便面速食宵夜</t>
        </is>
      </c>
      <c r="F244" s="31" t="n">
        <v>2576.83</v>
      </c>
      <c r="G244" s="35">
        <f>IFERROR(F244/1.13,0)</f>
        <v/>
      </c>
      <c r="H244" s="36" t="n">
        <v>71</v>
      </c>
      <c r="I244" s="37" t="n">
        <v>0.01864495798319328</v>
      </c>
      <c r="J244" s="38">
        <f>IFERROR(F244/H244,0)</f>
        <v/>
      </c>
      <c r="K244" s="31" t="n">
        <v>426.046184348739</v>
      </c>
      <c r="L244" s="31" t="n">
        <v>1938.47866859244</v>
      </c>
      <c r="M244" s="38">
        <f>IFERROR(L244/K244,0)</f>
        <v/>
      </c>
      <c r="N244" s="31" t="n">
        <v>37.6173214285714</v>
      </c>
      <c r="O244" s="31" t="n">
        <v>81.872993697479</v>
      </c>
      <c r="P244" s="38">
        <f>IFERROR(O244/N244,0)</f>
        <v/>
      </c>
      <c r="Q244" s="31" t="n">
        <v>463.663506</v>
      </c>
      <c r="R244" s="31" t="n">
        <v>2020.351662</v>
      </c>
      <c r="S244" s="38">
        <f>IFERROR(R244/Q244,0)</f>
        <v/>
      </c>
      <c r="T244" s="39">
        <f>IFERROR(Q244/SUMIF($A:$A,A244,$Q:$Q),0)</f>
        <v/>
      </c>
      <c r="U244" s="39">
        <f>IFERROR(Q244/F244,0)</f>
        <v/>
      </c>
      <c r="V244" s="35">
        <f>F244-R244</f>
        <v/>
      </c>
      <c r="W244" s="39">
        <f>IFERROR(V244/F244,0)</f>
        <v/>
      </c>
      <c r="X244" s="29" t="n">
        <v>44.841124</v>
      </c>
      <c r="Y244" s="31" t="n">
        <v>443.09</v>
      </c>
      <c r="Z244" s="39">
        <f>IFERROR(Y244/G244,0)</f>
        <v/>
      </c>
      <c r="AA244" s="35">
        <f>Y244-K244/1.06</f>
        <v/>
      </c>
      <c r="AB244" s="39">
        <f>IFERROR(AA244/G244,0)</f>
        <v/>
      </c>
      <c r="AC244" s="31" t="n">
        <v>-36.631349</v>
      </c>
      <c r="AD244" s="39">
        <f>IFERROR(AC244/G244,0)</f>
        <v/>
      </c>
    </row>
    <row r="245">
      <c r="A245" s="27" t="inlineStr">
        <is>
          <t>7.13-7.19</t>
        </is>
      </c>
      <c r="B245" s="27" t="inlineStr">
        <is>
          <t>7.13-7.19</t>
        </is>
      </c>
      <c r="C245" s="34" t="n">
        <v>1013887677295</v>
      </c>
      <c r="D245" s="27" t="inlineStr">
        <is>
          <t>混搭5杯</t>
        </is>
      </c>
      <c r="E245" s="27" t="inlineStr">
        <is>
          <t>进口营多原味杯面日式杯面韩式杯面泡面方便面汤面宿舍速食夜宵</t>
        </is>
      </c>
      <c r="F245" s="31" t="n">
        <v>1260.68</v>
      </c>
      <c r="G245" s="35">
        <f>IFERROR(F245/1.13,0)</f>
        <v/>
      </c>
      <c r="H245" s="36" t="n">
        <v>49</v>
      </c>
      <c r="I245" s="37" t="n">
        <v>0.01286764705882353</v>
      </c>
      <c r="J245" s="38">
        <f>IFERROR(F245/H245,0)</f>
        <v/>
      </c>
      <c r="K245" s="31" t="n">
        <v>256.539761029412</v>
      </c>
      <c r="L245" s="31" t="n">
        <v>738.549503676471</v>
      </c>
      <c r="M245" s="38">
        <f>IFERROR(L245/K245,0)</f>
        <v/>
      </c>
      <c r="N245" s="31" t="n">
        <v>25.96125</v>
      </c>
      <c r="O245" s="31" t="n">
        <v>56.5038970588235</v>
      </c>
      <c r="P245" s="38">
        <f>IFERROR(O245/N245,0)</f>
        <v/>
      </c>
      <c r="Q245" s="31" t="n">
        <v>282.501011</v>
      </c>
      <c r="R245" s="31" t="n">
        <v>795.053401</v>
      </c>
      <c r="S245" s="38">
        <f>IFERROR(R245/Q245,0)</f>
        <v/>
      </c>
      <c r="T245" s="39">
        <f>IFERROR(Q245/SUMIF($A:$A,A245,$Q:$Q),0)</f>
        <v/>
      </c>
      <c r="U245" s="39">
        <f>IFERROR(Q245/F245,0)</f>
        <v/>
      </c>
      <c r="V245" s="35">
        <f>F245-R245</f>
        <v/>
      </c>
      <c r="W245" s="39">
        <f>IFERROR(V245/F245,0)</f>
        <v/>
      </c>
      <c r="X245" s="29" t="n">
        <v>30.946691</v>
      </c>
      <c r="Y245" s="31" t="n">
        <v>121.911</v>
      </c>
      <c r="Z245" s="39">
        <f>IFERROR(Y245/G245,0)</f>
        <v/>
      </c>
      <c r="AA245" s="35">
        <f>Y245-K245/1.06</f>
        <v/>
      </c>
      <c r="AB245" s="39">
        <f>IFERROR(AA245/G245,0)</f>
        <v/>
      </c>
      <c r="AC245" s="31" t="n">
        <v>-173.794379</v>
      </c>
      <c r="AD245" s="39">
        <f>IFERROR(AC245/G245,0)</f>
        <v/>
      </c>
    </row>
    <row r="246">
      <c r="A246" s="27" t="inlineStr">
        <is>
          <t>7.13-7.19</t>
        </is>
      </c>
      <c r="B246" s="27" t="inlineStr">
        <is>
          <t>7.13-7.19</t>
        </is>
      </c>
      <c r="C246" s="34" t="n">
        <v>1059563993918</v>
      </c>
      <c r="D246" s="27" t="inlineStr">
        <is>
          <t>原味大包</t>
        </is>
      </c>
      <c r="E246" s="27" t="inlineStr">
        <is>
          <t>indomie印尼进口营多原味大大包129g捞面方便面速食食品宵夜小吃</t>
        </is>
      </c>
      <c r="F246" s="31" t="n">
        <v>540.67</v>
      </c>
      <c r="G246" s="35">
        <f>IFERROR(F246/1.13,0)</f>
        <v/>
      </c>
      <c r="H246" s="36" t="n">
        <v>36</v>
      </c>
      <c r="I246" s="37" t="n">
        <v>0.009453781512605041</v>
      </c>
      <c r="J246" s="38">
        <f>IFERROR(F246/H246,0)</f>
        <v/>
      </c>
      <c r="K246" s="31" t="n">
        <v>74.82778361344531</v>
      </c>
      <c r="L246" s="31" t="n">
        <v>404.720451680672</v>
      </c>
      <c r="M246" s="38">
        <f>IFERROR(L246/K246,0)</f>
        <v/>
      </c>
      <c r="N246" s="31" t="n">
        <v>19.0735714285714</v>
      </c>
      <c r="O246" s="31" t="n">
        <v>41.5130672268908</v>
      </c>
      <c r="P246" s="38">
        <f>IFERROR(O246/N246,0)</f>
        <v/>
      </c>
      <c r="Q246" s="31" t="n">
        <v>93.901355</v>
      </c>
      <c r="R246" s="31" t="n">
        <v>446.233519</v>
      </c>
      <c r="S246" s="38">
        <f>IFERROR(R246/Q246,0)</f>
        <v/>
      </c>
      <c r="T246" s="39">
        <f>IFERROR(Q246/SUMIF($A:$A,A246,$Q:$Q),0)</f>
        <v/>
      </c>
      <c r="U246" s="39">
        <f>IFERROR(Q246/F246,0)</f>
        <v/>
      </c>
      <c r="V246" s="35">
        <f>F246-R246</f>
        <v/>
      </c>
      <c r="W246" s="39">
        <f>IFERROR(V246/F246,0)</f>
        <v/>
      </c>
      <c r="X246" s="29" t="n">
        <v>22.736345</v>
      </c>
      <c r="Y246" s="31" t="n">
        <v>-5.07499999999999</v>
      </c>
      <c r="Z246" s="39">
        <f>IFERROR(Y246/G246,0)</f>
        <v/>
      </c>
      <c r="AA246" s="35">
        <f>Y246-K246/1.06</f>
        <v/>
      </c>
      <c r="AB246" s="39">
        <f>IFERROR(AA246/G246,0)</f>
        <v/>
      </c>
      <c r="AC246" s="31" t="n">
        <v>-115.110566</v>
      </c>
      <c r="AD246" s="39">
        <f>IFERROR(AC246/G246,0)</f>
        <v/>
      </c>
    </row>
    <row r="247">
      <c r="A247" s="27" t="inlineStr">
        <is>
          <t>7.13-7.19</t>
        </is>
      </c>
      <c r="B247" s="27" t="inlineStr">
        <is>
          <t>7.13-7.19</t>
        </is>
      </c>
      <c r="C247" s="34" t="n">
        <v>648681860568</v>
      </c>
      <c r="D247" s="27" t="inlineStr">
        <is>
          <t>巴东牛肉</t>
        </is>
      </c>
      <c r="E247" s="27" t="inlineStr">
        <is>
          <t>营多进口新口味巴东炖牛肉味捞面印尼料理方便面泡面捞面夜宵速食</t>
        </is>
      </c>
      <c r="F247" s="31" t="n">
        <v>841.6799999999999</v>
      </c>
      <c r="G247" s="35">
        <f>IFERROR(F247/1.13,0)</f>
        <v/>
      </c>
      <c r="H247" s="36" t="n">
        <v>36</v>
      </c>
      <c r="I247" s="37" t="n">
        <v>0.009453781512605041</v>
      </c>
      <c r="J247" s="38">
        <f>IFERROR(F247/H247,0)</f>
        <v/>
      </c>
      <c r="K247" s="31" t="n">
        <v>141.077783613445</v>
      </c>
      <c r="L247" s="31" t="n">
        <v>830.9104516806721</v>
      </c>
      <c r="M247" s="38">
        <f>IFERROR(L247/K247,0)</f>
        <v/>
      </c>
      <c r="N247" s="31" t="n">
        <v>19.0735714285714</v>
      </c>
      <c r="O247" s="31" t="n">
        <v>41.5130672268908</v>
      </c>
      <c r="P247" s="38">
        <f>IFERROR(O247/N247,0)</f>
        <v/>
      </c>
      <c r="Q247" s="31" t="n">
        <v>160.151355</v>
      </c>
      <c r="R247" s="31" t="n">
        <v>872.4235190000001</v>
      </c>
      <c r="S247" s="38">
        <f>IFERROR(R247/Q247,0)</f>
        <v/>
      </c>
      <c r="T247" s="39">
        <f>IFERROR(Q247/SUMIF($A:$A,A247,$Q:$Q),0)</f>
        <v/>
      </c>
      <c r="U247" s="39">
        <f>IFERROR(Q247/F247,0)</f>
        <v/>
      </c>
      <c r="V247" s="35">
        <f>F247-R247</f>
        <v/>
      </c>
      <c r="W247" s="39">
        <f>IFERROR(V247/F247,0)</f>
        <v/>
      </c>
      <c r="X247" s="29" t="n">
        <v>22.736345</v>
      </c>
      <c r="Y247" s="31" t="n">
        <v>72.681</v>
      </c>
      <c r="Z247" s="39">
        <f>IFERROR(Y247/G247,0)</f>
        <v/>
      </c>
      <c r="AA247" s="35">
        <f>Y247-K247/1.06</f>
        <v/>
      </c>
      <c r="AB247" s="39">
        <f>IFERROR(AA247/G247,0)</f>
        <v/>
      </c>
      <c r="AC247" s="31" t="n">
        <v>-99.85456600000001</v>
      </c>
      <c r="AD247" s="39">
        <f>IFERROR(AC247/G247,0)</f>
        <v/>
      </c>
    </row>
    <row r="248">
      <c r="A248" s="27" t="inlineStr">
        <is>
          <t>7.13-7.19</t>
        </is>
      </c>
      <c r="B248" s="27" t="inlineStr">
        <is>
          <t>7.13-7.19</t>
        </is>
      </c>
      <c r="C248" s="34" t="n">
        <v>735014804839</v>
      </c>
      <c r="D248" s="27" t="inlineStr">
        <is>
          <t>24/30包</t>
        </is>
      </c>
      <c r="E248" s="27" t="inlineStr">
        <is>
          <t>进口营多捞面多口味Indomie网红方便面干拌面泡面30包整箱批发面</t>
        </is>
      </c>
      <c r="F248" s="31" t="n">
        <v>1857.12</v>
      </c>
      <c r="G248" s="35">
        <f>IFERROR(F248/1.13,0)</f>
        <v/>
      </c>
      <c r="H248" s="36" t="n">
        <v>27</v>
      </c>
      <c r="I248" s="37" t="n">
        <v>0.007090336134453781</v>
      </c>
      <c r="J248" s="38">
        <f>IFERROR(F248/H248,0)</f>
        <v/>
      </c>
      <c r="K248" s="31" t="n">
        <v>278.083337710084</v>
      </c>
      <c r="L248" s="31" t="n">
        <v>1360.8103387605</v>
      </c>
      <c r="M248" s="38">
        <f>IFERROR(L248/K248,0)</f>
        <v/>
      </c>
      <c r="N248" s="31" t="n">
        <v>14.3051785714286</v>
      </c>
      <c r="O248" s="31" t="n">
        <v>31.1348004201681</v>
      </c>
      <c r="P248" s="38">
        <f>IFERROR(O248/N248,0)</f>
        <v/>
      </c>
      <c r="Q248" s="31" t="n">
        <v>292.388516</v>
      </c>
      <c r="R248" s="31" t="n">
        <v>1391.945139</v>
      </c>
      <c r="S248" s="38">
        <f>IFERROR(R248/Q248,0)</f>
        <v/>
      </c>
      <c r="T248" s="39">
        <f>IFERROR(Q248/SUMIF($A:$A,A248,$Q:$Q),0)</f>
        <v/>
      </c>
      <c r="U248" s="39">
        <f>IFERROR(Q248/F248,0)</f>
        <v/>
      </c>
      <c r="V248" s="35">
        <f>F248-R248</f>
        <v/>
      </c>
      <c r="W248" s="39">
        <f>IFERROR(V248/F248,0)</f>
        <v/>
      </c>
      <c r="X248" s="29" t="n">
        <v>17.052258</v>
      </c>
      <c r="Y248" s="31" t="n">
        <v>370.62</v>
      </c>
      <c r="Z248" s="39">
        <f>IFERROR(Y248/G248,0)</f>
        <v/>
      </c>
      <c r="AA248" s="35">
        <f>Y248-K248/1.06</f>
        <v/>
      </c>
      <c r="AB248" s="39">
        <f>IFERROR(AA248/G248,0)</f>
        <v/>
      </c>
      <c r="AC248" s="31" t="n">
        <v>78.69474099999999</v>
      </c>
      <c r="AD248" s="39">
        <f>IFERROR(AC248/G248,0)</f>
        <v/>
      </c>
    </row>
    <row r="249">
      <c r="A249" s="27" t="inlineStr">
        <is>
          <t>7.13-7.19</t>
        </is>
      </c>
      <c r="B249" s="27" t="inlineStr">
        <is>
          <t>7.13-7.19</t>
        </is>
      </c>
      <c r="C249" s="34" t="n">
        <v>929504658691</v>
      </c>
      <c r="D249" s="27" t="inlineStr">
        <is>
          <t>日式袋面</t>
        </is>
      </c>
      <c r="E249" s="27" t="inlineStr">
        <is>
          <t>营多捞面日式鸡肉汤面原味辛辣味袋装泡面方便面速食宿舍夜宵食品</t>
        </is>
      </c>
      <c r="F249" s="31" t="n">
        <v>652.4299999999999</v>
      </c>
      <c r="G249" s="35">
        <f>IFERROR(F249/1.13,0)</f>
        <v/>
      </c>
      <c r="H249" s="36" t="n">
        <v>26</v>
      </c>
      <c r="I249" s="37" t="n">
        <v>0.006827731092436975</v>
      </c>
      <c r="J249" s="38">
        <f>IFERROR(F249/H249,0)</f>
        <v/>
      </c>
      <c r="K249" s="31" t="n">
        <v>142.713954831933</v>
      </c>
      <c r="L249" s="31" t="n">
        <v>470.598103991597</v>
      </c>
      <c r="M249" s="38">
        <f>IFERROR(L249/K249,0)</f>
        <v/>
      </c>
      <c r="N249" s="31" t="n">
        <v>13.7753571428571</v>
      </c>
      <c r="O249" s="31" t="n">
        <v>29.9816596638655</v>
      </c>
      <c r="P249" s="38">
        <f>IFERROR(O249/N249,0)</f>
        <v/>
      </c>
      <c r="Q249" s="31" t="n">
        <v>156.489312</v>
      </c>
      <c r="R249" s="31" t="n">
        <v>500.579764</v>
      </c>
      <c r="S249" s="38">
        <f>IFERROR(R249/Q249,0)</f>
        <v/>
      </c>
      <c r="T249" s="39">
        <f>IFERROR(Q249/SUMIF($A:$A,A249,$Q:$Q),0)</f>
        <v/>
      </c>
      <c r="U249" s="39">
        <f>IFERROR(Q249/F249,0)</f>
        <v/>
      </c>
      <c r="V249" s="35">
        <f>F249-R249</f>
        <v/>
      </c>
      <c r="W249" s="39">
        <f>IFERROR(V249/F249,0)</f>
        <v/>
      </c>
      <c r="X249" s="29" t="n">
        <v>16.420693</v>
      </c>
      <c r="Y249" s="31" t="n">
        <v>114.322</v>
      </c>
      <c r="Z249" s="39">
        <f>IFERROR(Y249/G249,0)</f>
        <v/>
      </c>
      <c r="AA249" s="35">
        <f>Y249-K249/1.06</f>
        <v/>
      </c>
      <c r="AB249" s="39">
        <f>IFERROR(AA249/G249,0)</f>
        <v/>
      </c>
      <c r="AC249" s="31" t="n">
        <v>-48.800646</v>
      </c>
      <c r="AD249" s="39">
        <f>IFERROR(AC249/G249,0)</f>
        <v/>
      </c>
    </row>
    <row r="250">
      <c r="A250" s="27" t="inlineStr">
        <is>
          <t>7.13-7.19</t>
        </is>
      </c>
      <c r="B250" s="27" t="inlineStr">
        <is>
          <t>7.13-7.19</t>
        </is>
      </c>
      <c r="C250" s="34" t="n">
        <v>744317232690</v>
      </c>
      <c r="D250" s="27" t="inlineStr">
        <is>
          <t>多规格</t>
        </is>
      </c>
      <c r="E250" s="27" t="inlineStr">
        <is>
          <t>营多捞面汤面清香牛肉味方便面泡面速食食品泡面拉面整箱旅行宿舍</t>
        </is>
      </c>
      <c r="F250" s="31" t="n">
        <v>461.75</v>
      </c>
      <c r="G250" s="35">
        <f>IFERROR(F250/1.13,0)</f>
        <v/>
      </c>
      <c r="H250" s="36" t="n">
        <v>22</v>
      </c>
      <c r="I250" s="37" t="n">
        <v>0.005777310924369748</v>
      </c>
      <c r="J250" s="38">
        <f>IFERROR(F250/H250,0)</f>
        <v/>
      </c>
      <c r="K250" s="31" t="n">
        <v>41.4764233193277</v>
      </c>
      <c r="L250" s="31" t="n">
        <v>213.309164915966</v>
      </c>
      <c r="M250" s="38">
        <f>IFERROR(L250/K250,0)</f>
        <v/>
      </c>
      <c r="N250" s="31" t="n">
        <v>11.6560714285714</v>
      </c>
      <c r="O250" s="31" t="n">
        <v>25.3690966386555</v>
      </c>
      <c r="P250" s="38">
        <f>IFERROR(O250/N250,0)</f>
        <v/>
      </c>
      <c r="Q250" s="31" t="n">
        <v>53.132495</v>
      </c>
      <c r="R250" s="31" t="n">
        <v>238.678262</v>
      </c>
      <c r="S250" s="38">
        <f>IFERROR(R250/Q250,0)</f>
        <v/>
      </c>
      <c r="T250" s="39">
        <f>IFERROR(Q250/SUMIF($A:$A,A250,$Q:$Q),0)</f>
        <v/>
      </c>
      <c r="U250" s="39">
        <f>IFERROR(Q250/F250,0)</f>
        <v/>
      </c>
      <c r="V250" s="35">
        <f>F250-R250</f>
        <v/>
      </c>
      <c r="W250" s="39">
        <f>IFERROR(V250/F250,0)</f>
        <v/>
      </c>
      <c r="X250" s="29" t="n">
        <v>13.894433</v>
      </c>
      <c r="Y250" s="31" t="n">
        <v>53.033</v>
      </c>
      <c r="Z250" s="39">
        <f>IFERROR(Y250/G250,0)</f>
        <v/>
      </c>
      <c r="AA250" s="35">
        <f>Y250-K250/1.06</f>
        <v/>
      </c>
      <c r="AB250" s="39">
        <f>IFERROR(AA250/G250,0)</f>
        <v/>
      </c>
      <c r="AC250" s="31" t="n">
        <v>-10.19995</v>
      </c>
      <c r="AD250" s="39">
        <f>IFERROR(AC250/G250,0)</f>
        <v/>
      </c>
    </row>
    <row r="251">
      <c r="A251" s="27" t="inlineStr">
        <is>
          <t>7.13-7.19</t>
        </is>
      </c>
      <c r="B251" s="27" t="inlineStr">
        <is>
          <t>7.13-7.19</t>
        </is>
      </c>
      <c r="C251" s="34" t="n">
        <v>969423151512</v>
      </c>
      <c r="D251" s="27" t="inlineStr">
        <is>
          <t>日韩混搭</t>
        </is>
      </c>
      <c r="E251" s="27" t="inlineStr">
        <is>
          <t>营多捞面甜辣炸鸡火鸡面辣蘑菇泡面方便面速食干拌面宿舍宵夜旅行</t>
        </is>
      </c>
      <c r="F251" s="31" t="n">
        <v>365.92</v>
      </c>
      <c r="G251" s="35">
        <f>IFERROR(F251/1.13,0)</f>
        <v/>
      </c>
      <c r="H251" s="36" t="n">
        <v>17</v>
      </c>
      <c r="I251" s="37" t="n">
        <v>0.004464285714285714</v>
      </c>
      <c r="J251" s="38">
        <f>IFERROR(F251/H251,0)</f>
        <v/>
      </c>
      <c r="K251" s="31" t="n">
        <v>64.5595089285714</v>
      </c>
      <c r="L251" s="31" t="n">
        <v>292.947991071429</v>
      </c>
      <c r="M251" s="38">
        <f>IFERROR(L251/K251,0)</f>
        <v/>
      </c>
      <c r="N251" s="31" t="n">
        <v>9.006964285714281</v>
      </c>
      <c r="O251" s="31" t="n">
        <v>19.6033928571429</v>
      </c>
      <c r="P251" s="38">
        <f>IFERROR(O251/N251,0)</f>
        <v/>
      </c>
      <c r="Q251" s="31" t="n">
        <v>73.566473</v>
      </c>
      <c r="R251" s="31" t="n">
        <v>312.551384</v>
      </c>
      <c r="S251" s="38">
        <f>IFERROR(R251/Q251,0)</f>
        <v/>
      </c>
      <c r="T251" s="39">
        <f>IFERROR(Q251/SUMIF($A:$A,A251,$Q:$Q),0)</f>
        <v/>
      </c>
      <c r="U251" s="39">
        <f>IFERROR(Q251/F251,0)</f>
        <v/>
      </c>
      <c r="V251" s="35">
        <f>F251-R251</f>
        <v/>
      </c>
      <c r="W251" s="39">
        <f>IFERROR(V251/F251,0)</f>
        <v/>
      </c>
      <c r="X251" s="29" t="n">
        <v>10.736607</v>
      </c>
      <c r="Y251" s="31" t="n">
        <v>53.776</v>
      </c>
      <c r="Z251" s="39">
        <f>IFERROR(Y251/G251,0)</f>
        <v/>
      </c>
      <c r="AA251" s="35">
        <f>Y251-K251/1.06</f>
        <v/>
      </c>
      <c r="AB251" s="39">
        <f>IFERROR(AA251/G251,0)</f>
        <v/>
      </c>
      <c r="AC251" s="31" t="n">
        <v>-25.755208</v>
      </c>
      <c r="AD251" s="39">
        <f>IFERROR(AC251/G251,0)</f>
        <v/>
      </c>
    </row>
    <row r="252">
      <c r="A252" s="27" t="inlineStr">
        <is>
          <t>7.13-7.19</t>
        </is>
      </c>
      <c r="B252" s="27" t="inlineStr">
        <is>
          <t>7.13-7.19</t>
        </is>
      </c>
      <c r="C252" s="34" t="n">
        <v>766165464414</v>
      </c>
      <c r="D252" s="27" t="inlineStr">
        <is>
          <t>12包</t>
        </is>
      </c>
      <c r="E252" s="27" t="inlineStr">
        <is>
          <t>营多印尼进口营多捞面方便面火鸡面干拌面12包宿舍速食泡面夜宵</t>
        </is>
      </c>
      <c r="F252" s="31" t="n">
        <v>483.08</v>
      </c>
      <c r="G252" s="35">
        <f>IFERROR(F252/1.13,0)</f>
        <v/>
      </c>
      <c r="H252" s="36" t="n">
        <v>17</v>
      </c>
      <c r="I252" s="37" t="n">
        <v>0.004464285714285714</v>
      </c>
      <c r="J252" s="38">
        <f>IFERROR(F252/H252,0)</f>
        <v/>
      </c>
      <c r="K252" s="31" t="n">
        <v>30.3295089285714</v>
      </c>
      <c r="L252" s="31" t="n">
        <v>127.737991071429</v>
      </c>
      <c r="M252" s="38">
        <f>IFERROR(L252/K252,0)</f>
        <v/>
      </c>
      <c r="N252" s="31" t="n">
        <v>9.006964285714281</v>
      </c>
      <c r="O252" s="31" t="n">
        <v>19.6033928571429</v>
      </c>
      <c r="P252" s="38">
        <f>IFERROR(O252/N252,0)</f>
        <v/>
      </c>
      <c r="Q252" s="31" t="n">
        <v>39.336473</v>
      </c>
      <c r="R252" s="31" t="n">
        <v>147.341384</v>
      </c>
      <c r="S252" s="38">
        <f>IFERROR(R252/Q252,0)</f>
        <v/>
      </c>
      <c r="T252" s="39">
        <f>IFERROR(Q252/SUMIF($A:$A,A252,$Q:$Q),0)</f>
        <v/>
      </c>
      <c r="U252" s="39">
        <f>IFERROR(Q252/F252,0)</f>
        <v/>
      </c>
      <c r="V252" s="35">
        <f>F252-R252</f>
        <v/>
      </c>
      <c r="W252" s="39">
        <f>IFERROR(V252/F252,0)</f>
        <v/>
      </c>
      <c r="X252" s="29" t="n">
        <v>10.736607</v>
      </c>
      <c r="Y252" s="31" t="n">
        <v>57.048</v>
      </c>
      <c r="Z252" s="39">
        <f>IFERROR(Y252/G252,0)</f>
        <v/>
      </c>
      <c r="AA252" s="35">
        <f>Y252-K252/1.06</f>
        <v/>
      </c>
      <c r="AB252" s="39">
        <f>IFERROR(AA252/G252,0)</f>
        <v/>
      </c>
      <c r="AC252" s="31" t="n">
        <v>9.809245000000001</v>
      </c>
      <c r="AD252" s="39">
        <f>IFERROR(AC252/G252,0)</f>
        <v/>
      </c>
    </row>
    <row r="253">
      <c r="A253" s="27" t="inlineStr">
        <is>
          <t>7.13-7.19</t>
        </is>
      </c>
      <c r="B253" s="27" t="inlineStr">
        <is>
          <t>7.13-7.19</t>
        </is>
      </c>
      <c r="C253" s="34" t="n">
        <v>886856687067</v>
      </c>
      <c r="D253" s="27" t="inlineStr">
        <is>
          <t>大骨</t>
        </is>
      </c>
      <c r="E253" s="27" t="inlineStr">
        <is>
          <t>营多捞面牛系列大骨牛肉味方便面食品泡面拉面汤面宿舍宵夜旅行</t>
        </is>
      </c>
      <c r="F253" s="31" t="n">
        <v>292.02</v>
      </c>
      <c r="G253" s="35">
        <f>IFERROR(F253/1.13,0)</f>
        <v/>
      </c>
      <c r="H253" s="36" t="n">
        <v>12</v>
      </c>
      <c r="I253" s="37" t="n">
        <v>0.003151260504201681</v>
      </c>
      <c r="J253" s="38">
        <f>IFERROR(F253/H253,0)</f>
        <v/>
      </c>
      <c r="K253" s="31" t="n">
        <v>9.952594537815109</v>
      </c>
      <c r="L253" s="31" t="n">
        <v>37.4468172268908</v>
      </c>
      <c r="M253" s="38">
        <f>IFERROR(L253/K253,0)</f>
        <v/>
      </c>
      <c r="N253" s="31" t="n">
        <v>6.35785714285714</v>
      </c>
      <c r="O253" s="31" t="n">
        <v>13.8376890756303</v>
      </c>
      <c r="P253" s="38">
        <f>IFERROR(O253/N253,0)</f>
        <v/>
      </c>
      <c r="Q253" s="31" t="n">
        <v>16.310452</v>
      </c>
      <c r="R253" s="31" t="n">
        <v>51.284506</v>
      </c>
      <c r="S253" s="38">
        <f>IFERROR(R253/Q253,0)</f>
        <v/>
      </c>
      <c r="T253" s="39">
        <f>IFERROR(Q253/SUMIF($A:$A,A253,$Q:$Q),0)</f>
        <v/>
      </c>
      <c r="U253" s="39">
        <f>IFERROR(Q253/F253,0)</f>
        <v/>
      </c>
      <c r="V253" s="35">
        <f>F253-R253</f>
        <v/>
      </c>
      <c r="W253" s="39">
        <f>IFERROR(V253/F253,0)</f>
        <v/>
      </c>
      <c r="X253" s="29" t="n">
        <v>7.578782</v>
      </c>
      <c r="Y253" s="31" t="n">
        <v>52.838</v>
      </c>
      <c r="Z253" s="39">
        <f>IFERROR(Y253/G253,0)</f>
        <v/>
      </c>
      <c r="AA253" s="35">
        <f>Y253-K253/1.06</f>
        <v/>
      </c>
      <c r="AB253" s="39">
        <f>IFERROR(AA253/G253,0)</f>
        <v/>
      </c>
      <c r="AC253" s="31" t="n">
        <v>30.300988</v>
      </c>
      <c r="AD253" s="39">
        <f>IFERROR(AC253/G253,0)</f>
        <v/>
      </c>
    </row>
    <row r="254">
      <c r="A254" s="27" t="inlineStr">
        <is>
          <t>7.13-7.19</t>
        </is>
      </c>
      <c r="B254" s="27" t="inlineStr">
        <is>
          <t>7.13-7.19</t>
        </is>
      </c>
      <c r="C254" s="34" t="n">
        <v>898076297965</v>
      </c>
      <c r="D254" s="27" t="inlineStr">
        <is>
          <t>番茄牛肉</t>
        </is>
      </c>
      <c r="E254" s="27" t="inlineStr">
        <is>
          <t>进口正品意面风味奶香番茄牛肉味意式拌面营多捞面早餐儿童宝妈餐</t>
        </is>
      </c>
      <c r="F254" s="31" t="n">
        <v>176.42</v>
      </c>
      <c r="G254" s="35">
        <f>IFERROR(F254/1.13,0)</f>
        <v/>
      </c>
      <c r="H254" s="36" t="n">
        <v>10</v>
      </c>
      <c r="I254" s="37" t="n">
        <v>0.002626050420168067</v>
      </c>
      <c r="J254" s="38">
        <f>IFERROR(F254/H254,0)</f>
        <v/>
      </c>
      <c r="K254" s="31" t="n">
        <v>16.5338287815126</v>
      </c>
      <c r="L254" s="31" t="n">
        <v>62.6723476890756</v>
      </c>
      <c r="M254" s="38">
        <f>IFERROR(L254/K254,0)</f>
        <v/>
      </c>
      <c r="N254" s="31" t="n">
        <v>5.29821428571429</v>
      </c>
      <c r="O254" s="31" t="n">
        <v>11.5314075630252</v>
      </c>
      <c r="P254" s="38">
        <f>IFERROR(O254/N254,0)</f>
        <v/>
      </c>
      <c r="Q254" s="31" t="n">
        <v>21.832043</v>
      </c>
      <c r="R254" s="31" t="n">
        <v>74.203755</v>
      </c>
      <c r="S254" s="38">
        <f>IFERROR(R254/Q254,0)</f>
        <v/>
      </c>
      <c r="T254" s="39">
        <f>IFERROR(Q254/SUMIF($A:$A,A254,$Q:$Q),0)</f>
        <v/>
      </c>
      <c r="U254" s="39">
        <f>IFERROR(Q254/F254,0)</f>
        <v/>
      </c>
      <c r="V254" s="35">
        <f>F254-R254</f>
        <v/>
      </c>
      <c r="W254" s="39">
        <f>IFERROR(V254/F254,0)</f>
        <v/>
      </c>
      <c r="X254" s="29" t="n">
        <v>6.315651</v>
      </c>
      <c r="Y254" s="31" t="n">
        <v>10.553</v>
      </c>
      <c r="Z254" s="39">
        <f>IFERROR(Y254/G254,0)</f>
        <v/>
      </c>
      <c r="AA254" s="35">
        <f>Y254-K254/1.06</f>
        <v/>
      </c>
      <c r="AB254" s="39">
        <f>IFERROR(AA254/G254,0)</f>
        <v/>
      </c>
      <c r="AC254" s="31" t="n">
        <v>-16.001429</v>
      </c>
      <c r="AD254" s="39">
        <f>IFERROR(AC254/G254,0)</f>
        <v/>
      </c>
    </row>
    <row r="255">
      <c r="A255" s="27" t="inlineStr">
        <is>
          <t>7.13-7.19</t>
        </is>
      </c>
      <c r="B255" s="27" t="inlineStr">
        <is>
          <t>7.13-7.19</t>
        </is>
      </c>
      <c r="C255" s="34" t="n">
        <v>937005385662</v>
      </c>
      <c r="D255" s="27" t="inlineStr">
        <is>
          <t>日式袋面</t>
        </is>
      </c>
      <c r="E255" s="27" t="inlineStr">
        <is>
          <t>进口营多正品捞面日式鸡肉鸡汤辛辣味袋装泡面辣味速食方便面汤面</t>
        </is>
      </c>
      <c r="F255" s="31" t="n">
        <v>210.86</v>
      </c>
      <c r="G255" s="35">
        <f>IFERROR(F255/1.13,0)</f>
        <v/>
      </c>
      <c r="H255" s="36" t="n">
        <v>9</v>
      </c>
      <c r="I255" s="37" t="n">
        <v>0.00236344537815126</v>
      </c>
      <c r="J255" s="38">
        <f>IFERROR(F255/H255,0)</f>
        <v/>
      </c>
      <c r="K255" s="31" t="n">
        <v>33.5844459033613</v>
      </c>
      <c r="L255" s="31" t="n">
        <v>120.980112920168</v>
      </c>
      <c r="M255" s="38">
        <f>IFERROR(L255/K255,0)</f>
        <v/>
      </c>
      <c r="N255" s="31" t="n">
        <v>4.76839285714286</v>
      </c>
      <c r="O255" s="31" t="n">
        <v>10.3782668067227</v>
      </c>
      <c r="P255" s="38">
        <f>IFERROR(O255/N255,0)</f>
        <v/>
      </c>
      <c r="Q255" s="31" t="n">
        <v>38.352839</v>
      </c>
      <c r="R255" s="31" t="n">
        <v>131.35838</v>
      </c>
      <c r="S255" s="38">
        <f>IFERROR(R255/Q255,0)</f>
        <v/>
      </c>
      <c r="T255" s="39">
        <f>IFERROR(Q255/SUMIF($A:$A,A255,$Q:$Q),0)</f>
        <v/>
      </c>
      <c r="U255" s="39">
        <f>IFERROR(Q255/F255,0)</f>
        <v/>
      </c>
      <c r="V255" s="35">
        <f>F255-R255</f>
        <v/>
      </c>
      <c r="W255" s="39">
        <f>IFERROR(V255/F255,0)</f>
        <v/>
      </c>
      <c r="X255" s="29" t="n">
        <v>5.684086</v>
      </c>
      <c r="Y255" s="31" t="n">
        <v>28.344</v>
      </c>
      <c r="Z255" s="39">
        <f>IFERROR(Y255/G255,0)</f>
        <v/>
      </c>
      <c r="AA255" s="35">
        <f>Y255-K255/1.06</f>
        <v/>
      </c>
      <c r="AB255" s="39">
        <f>IFERROR(AA255/G255,0)</f>
        <v/>
      </c>
      <c r="AC255" s="31" t="n">
        <v>-13.200269</v>
      </c>
      <c r="AD255" s="39">
        <f>IFERROR(AC255/G255,0)</f>
        <v/>
      </c>
    </row>
    <row r="256">
      <c r="A256" s="27" t="inlineStr">
        <is>
          <t>7.13-7.19</t>
        </is>
      </c>
      <c r="B256" s="27" t="inlineStr">
        <is>
          <t>7.13-7.19</t>
        </is>
      </c>
      <c r="C256" s="34" t="n">
        <v>932687928859</v>
      </c>
      <c r="D256" s="27" t="inlineStr">
        <is>
          <t>8包组合</t>
        </is>
      </c>
      <c r="E256" s="27" t="inlineStr">
        <is>
          <t>营多捞面八口味袋装泡面拌面速食面干拌面方便面宿舍宵夜速食家用</t>
        </is>
      </c>
      <c r="F256" s="31" t="n">
        <v>127.58</v>
      </c>
      <c r="G256" s="35">
        <f>IFERROR(F256/1.13,0)</f>
        <v/>
      </c>
      <c r="H256" s="36" t="n">
        <v>5</v>
      </c>
      <c r="I256" s="37" t="n">
        <v>0.001313025210084034</v>
      </c>
      <c r="J256" s="38">
        <f>IFERROR(F256/H256,0)</f>
        <v/>
      </c>
      <c r="K256" s="31" t="n">
        <v>16.7669143907563</v>
      </c>
      <c r="L256" s="31" t="n">
        <v>4.81117384453782</v>
      </c>
      <c r="M256" s="38">
        <f>IFERROR(L256/K256,0)</f>
        <v/>
      </c>
      <c r="N256" s="31" t="n">
        <v>2.64910714285714</v>
      </c>
      <c r="O256" s="31" t="n">
        <v>5.76570378151261</v>
      </c>
      <c r="P256" s="38">
        <f>IFERROR(O256/N256,0)</f>
        <v/>
      </c>
      <c r="Q256" s="31" t="n">
        <v>19.416022</v>
      </c>
      <c r="R256" s="31" t="n">
        <v>10.576878</v>
      </c>
      <c r="S256" s="38">
        <f>IFERROR(R256/Q256,0)</f>
        <v/>
      </c>
      <c r="T256" s="39">
        <f>IFERROR(Q256/SUMIF($A:$A,A256,$Q:$Q),0)</f>
        <v/>
      </c>
      <c r="U256" s="39">
        <f>IFERROR(Q256/F256,0)</f>
        <v/>
      </c>
      <c r="V256" s="35">
        <f>F256-R256</f>
        <v/>
      </c>
      <c r="W256" s="39">
        <f>IFERROR(V256/F256,0)</f>
        <v/>
      </c>
      <c r="X256" s="29" t="n">
        <v>3.157826</v>
      </c>
      <c r="Y256" s="31" t="n">
        <v>18.928</v>
      </c>
      <c r="Z256" s="39">
        <f>IFERROR(Y256/G256,0)</f>
        <v/>
      </c>
      <c r="AA256" s="35">
        <f>Y256-K256/1.06</f>
        <v/>
      </c>
      <c r="AB256" s="39">
        <f>IFERROR(AA256/G256,0)</f>
        <v/>
      </c>
      <c r="AC256" s="31" t="n">
        <v>-2.368082</v>
      </c>
      <c r="AD256" s="39">
        <f>IFERROR(AC256/G256,0)</f>
        <v/>
      </c>
    </row>
    <row r="257">
      <c r="A257" s="27" t="inlineStr">
        <is>
          <t>7.13-7.19</t>
        </is>
      </c>
      <c r="B257" s="27" t="inlineStr">
        <is>
          <t>7.13-7.19</t>
        </is>
      </c>
      <c r="C257" s="34" t="n">
        <v>976479938842</v>
      </c>
      <c r="D257" s="27" t="inlineStr">
        <is>
          <t>【U选】原味5</t>
        </is>
      </c>
      <c r="E257" s="27" t="inlineStr">
        <is>
          <t>【天猫U选】indomie营多大骨牛肉味捞面拌面5包</t>
        </is>
      </c>
      <c r="F257" s="31" t="n">
        <v>47.05</v>
      </c>
      <c r="G257" s="35">
        <f>IFERROR(F257/1.13,0)</f>
        <v/>
      </c>
      <c r="H257" s="36" t="n">
        <v>5</v>
      </c>
      <c r="I257" s="37" t="n">
        <v>0.001313025210084034</v>
      </c>
      <c r="J257" s="38">
        <f>IFERROR(F257/H257,0)</f>
        <v/>
      </c>
      <c r="K257" s="31" t="n">
        <v>1.0969143907563</v>
      </c>
      <c r="L257" s="31" t="n">
        <v>4.81117384453782</v>
      </c>
      <c r="M257" s="38">
        <f>IFERROR(L257/K257,0)</f>
        <v/>
      </c>
      <c r="N257" s="31" t="n">
        <v>2.64910714285714</v>
      </c>
      <c r="O257" s="31" t="n">
        <v>5.76570378151261</v>
      </c>
      <c r="P257" s="38">
        <f>IFERROR(O257/N257,0)</f>
        <v/>
      </c>
      <c r="Q257" s="31" t="n">
        <v>3.746022</v>
      </c>
      <c r="R257" s="31" t="n">
        <v>10.576878</v>
      </c>
      <c r="S257" s="38">
        <f>IFERROR(R257/Q257,0)</f>
        <v/>
      </c>
      <c r="T257" s="39">
        <f>IFERROR(Q257/SUMIF($A:$A,A257,$Q:$Q),0)</f>
        <v/>
      </c>
      <c r="U257" s="39">
        <f>IFERROR(Q257/F257,0)</f>
        <v/>
      </c>
      <c r="V257" s="35">
        <f>F257-R257</f>
        <v/>
      </c>
      <c r="W257" s="39">
        <f>IFERROR(V257/F257,0)</f>
        <v/>
      </c>
      <c r="X257" s="29" t="n">
        <v>3.157826</v>
      </c>
      <c r="Y257" s="31" t="n">
        <v>-15.825</v>
      </c>
      <c r="Z257" s="39">
        <f>IFERROR(Y257/G257,0)</f>
        <v/>
      </c>
      <c r="AA257" s="35">
        <f>Y257-K257/1.06</f>
        <v/>
      </c>
      <c r="AB257" s="39">
        <f>IFERROR(AA257/G257,0)</f>
        <v/>
      </c>
      <c r="AC257" s="31" t="n">
        <v>-22.338063</v>
      </c>
      <c r="AD257" s="39">
        <f>IFERROR(AC257/G257,0)</f>
        <v/>
      </c>
    </row>
    <row r="258">
      <c r="A258" s="27" t="inlineStr">
        <is>
          <t>7.13-7.19</t>
        </is>
      </c>
      <c r="B258" s="27" t="inlineStr">
        <is>
          <t>7.13-7.19</t>
        </is>
      </c>
      <c r="C258" s="34" t="n">
        <v>969433743398</v>
      </c>
      <c r="D258" s="27" t="inlineStr">
        <is>
          <t>韩蘑菇</t>
        </is>
      </c>
      <c r="E258" s="27" t="inlineStr">
        <is>
          <t>新品营多捞面韩式辣蘑菇汤面泡面方便面速食干拌面宿舍宵夜旅行</t>
        </is>
      </c>
      <c r="F258" s="31" t="n">
        <v>85.18000000000001</v>
      </c>
      <c r="G258" s="35">
        <f>IFERROR(F258/1.13,0)</f>
        <v/>
      </c>
      <c r="H258" s="36" t="n">
        <v>5</v>
      </c>
      <c r="I258" s="37" t="n">
        <v>0.001313025210084034</v>
      </c>
      <c r="J258" s="38">
        <f>IFERROR(F258/H258,0)</f>
        <v/>
      </c>
      <c r="K258" s="31" t="n">
        <v>7.2869143907563</v>
      </c>
      <c r="L258" s="31" t="n">
        <v>36.8511738445378</v>
      </c>
      <c r="M258" s="38">
        <f>IFERROR(L258/K258,0)</f>
        <v/>
      </c>
      <c r="N258" s="31" t="n">
        <v>2.64910714285714</v>
      </c>
      <c r="O258" s="31" t="n">
        <v>5.76570378151261</v>
      </c>
      <c r="P258" s="38">
        <f>IFERROR(O258/N258,0)</f>
        <v/>
      </c>
      <c r="Q258" s="31" t="n">
        <v>9.936021999999999</v>
      </c>
      <c r="R258" s="31" t="n">
        <v>42.616878</v>
      </c>
      <c r="S258" s="38">
        <f>IFERROR(R258/Q258,0)</f>
        <v/>
      </c>
      <c r="T258" s="39">
        <f>IFERROR(Q258/SUMIF($A:$A,A258,$Q:$Q),0)</f>
        <v/>
      </c>
      <c r="U258" s="39">
        <f>IFERROR(Q258/F258,0)</f>
        <v/>
      </c>
      <c r="V258" s="35">
        <f>F258-R258</f>
        <v/>
      </c>
      <c r="W258" s="39">
        <f>IFERROR(V258/F258,0)</f>
        <v/>
      </c>
      <c r="X258" s="29" t="n">
        <v>3.157826</v>
      </c>
      <c r="Y258" s="31" t="n">
        <v>7.255</v>
      </c>
      <c r="Z258" s="39">
        <f>IFERROR(Y258/G258,0)</f>
        <v/>
      </c>
      <c r="AA258" s="35">
        <f>Y258-K258/1.06</f>
        <v/>
      </c>
      <c r="AB258" s="39">
        <f>IFERROR(AA258/G258,0)</f>
        <v/>
      </c>
      <c r="AC258" s="31" t="n">
        <v>-5.097686</v>
      </c>
      <c r="AD258" s="39">
        <f>IFERROR(AC258/G258,0)</f>
        <v/>
      </c>
    </row>
    <row r="259">
      <c r="A259" s="27" t="inlineStr">
        <is>
          <t>7.13-7.19</t>
        </is>
      </c>
      <c r="B259" s="27" t="inlineStr">
        <is>
          <t>7.13-7.19</t>
        </is>
      </c>
      <c r="C259" s="34" t="n">
        <v>885645733215</v>
      </c>
      <c r="D259" s="27" t="inlineStr">
        <is>
          <t>大骨牛肉</t>
        </is>
      </c>
      <c r="E259" s="27" t="inlineStr">
        <is>
          <t>进口营多大骨番茄牛肉味营多捞面意式泡面宿舍宿舍宵夜速食方便面</t>
        </is>
      </c>
      <c r="F259" s="31" t="n">
        <v>76.73</v>
      </c>
      <c r="G259" s="35">
        <f>IFERROR(F259/1.13,0)</f>
        <v/>
      </c>
      <c r="H259" s="36" t="n">
        <v>5</v>
      </c>
      <c r="I259" s="37" t="n">
        <v>0.001313025210084034</v>
      </c>
      <c r="J259" s="38">
        <f>IFERROR(F259/H259,0)</f>
        <v/>
      </c>
      <c r="K259" s="31" t="n">
        <v>4.0369143907563</v>
      </c>
      <c r="L259" s="31" t="n">
        <v>26.5811738445378</v>
      </c>
      <c r="M259" s="38">
        <f>IFERROR(L259/K259,0)</f>
        <v/>
      </c>
      <c r="N259" s="31" t="n">
        <v>2.64910714285714</v>
      </c>
      <c r="O259" s="31" t="n">
        <v>5.76570378151261</v>
      </c>
      <c r="P259" s="38">
        <f>IFERROR(O259/N259,0)</f>
        <v/>
      </c>
      <c r="Q259" s="31" t="n">
        <v>6.686022</v>
      </c>
      <c r="R259" s="31" t="n">
        <v>32.346878</v>
      </c>
      <c r="S259" s="38">
        <f>IFERROR(R259/Q259,0)</f>
        <v/>
      </c>
      <c r="T259" s="39">
        <f>IFERROR(Q259/SUMIF($A:$A,A259,$Q:$Q),0)</f>
        <v/>
      </c>
      <c r="U259" s="39">
        <f>IFERROR(Q259/F259,0)</f>
        <v/>
      </c>
      <c r="V259" s="35">
        <f>F259-R259</f>
        <v/>
      </c>
      <c r="W259" s="39">
        <f>IFERROR(V259/F259,0)</f>
        <v/>
      </c>
      <c r="X259" s="29" t="n">
        <v>3.157826</v>
      </c>
      <c r="Y259" s="31" t="n">
        <v>2.205</v>
      </c>
      <c r="Z259" s="39">
        <f>IFERROR(Y259/G259,0)</f>
        <v/>
      </c>
      <c r="AA259" s="35">
        <f>Y259-K259/1.06</f>
        <v/>
      </c>
      <c r="AB259" s="39">
        <f>IFERROR(AA259/G259,0)</f>
        <v/>
      </c>
      <c r="AC259" s="31" t="n">
        <v>-7.081648</v>
      </c>
      <c r="AD259" s="39">
        <f>IFERROR(AC259/G259,0)</f>
        <v/>
      </c>
    </row>
    <row r="260">
      <c r="A260" s="27" t="inlineStr">
        <is>
          <t>7.13-7.19</t>
        </is>
      </c>
      <c r="B260" s="27" t="inlineStr">
        <is>
          <t>7.13-7.19</t>
        </is>
      </c>
      <c r="C260" s="34" t="n">
        <v>971242260371</v>
      </c>
      <c r="D260" s="27" t="inlineStr">
        <is>
          <t>韩式袋面</t>
        </is>
      </c>
      <c r="E260" s="27" t="inlineStr">
        <is>
          <t>新品营多捞面韩式辣蘑菇汤面泡面方便面速食干拌面宿舍宵夜旅行</t>
        </is>
      </c>
      <c r="F260" s="31" t="n">
        <v>108.22</v>
      </c>
      <c r="G260" s="35">
        <f>IFERROR(F260/1.13,0)</f>
        <v/>
      </c>
      <c r="H260" s="36" t="n">
        <v>4</v>
      </c>
      <c r="I260" s="37" t="n">
        <v>0.001050420168067227</v>
      </c>
      <c r="J260" s="38">
        <f>IFERROR(F260/H260,0)</f>
        <v/>
      </c>
      <c r="K260" s="31" t="n">
        <v>37.727531512605</v>
      </c>
      <c r="L260" s="31" t="n">
        <v>116.87893907563</v>
      </c>
      <c r="M260" s="38">
        <f>IFERROR(L260/K260,0)</f>
        <v/>
      </c>
      <c r="N260" s="31" t="n">
        <v>2.11928571428571</v>
      </c>
      <c r="O260" s="31" t="n">
        <v>4.61256302521008</v>
      </c>
      <c r="P260" s="38">
        <f>IFERROR(O260/N260,0)</f>
        <v/>
      </c>
      <c r="Q260" s="31" t="n">
        <v>39.846817</v>
      </c>
      <c r="R260" s="31" t="n">
        <v>121.491502</v>
      </c>
      <c r="S260" s="38">
        <f>IFERROR(R260/Q260,0)</f>
        <v/>
      </c>
      <c r="T260" s="39">
        <f>IFERROR(Q260/SUMIF($A:$A,A260,$Q:$Q),0)</f>
        <v/>
      </c>
      <c r="U260" s="39">
        <f>IFERROR(Q260/F260,0)</f>
        <v/>
      </c>
      <c r="V260" s="35">
        <f>F260-R260</f>
        <v/>
      </c>
      <c r="W260" s="39">
        <f>IFERROR(V260/F260,0)</f>
        <v/>
      </c>
      <c r="X260" s="29" t="n">
        <v>2.526261</v>
      </c>
      <c r="Y260" s="31" t="n">
        <v>18.723</v>
      </c>
      <c r="Z260" s="39">
        <f>IFERROR(Y260/G260,0)</f>
        <v/>
      </c>
      <c r="AA260" s="35">
        <f>Y260-K260/1.06</f>
        <v/>
      </c>
      <c r="AB260" s="39">
        <f>IFERROR(AA260/G260,0)</f>
        <v/>
      </c>
      <c r="AC260" s="31" t="n">
        <v>-21.251602</v>
      </c>
      <c r="AD260" s="39">
        <f>IFERROR(AC260/G260,0)</f>
        <v/>
      </c>
    </row>
    <row r="261">
      <c r="A261" s="27" t="inlineStr">
        <is>
          <t>7.13-7.19</t>
        </is>
      </c>
      <c r="B261" s="27" t="inlineStr">
        <is>
          <t>7.13-7.19</t>
        </is>
      </c>
      <c r="C261" s="34" t="n">
        <v>775016827115</v>
      </c>
      <c r="D261" s="27" t="inlineStr">
        <is>
          <t>杯面混搭</t>
        </is>
      </c>
      <c r="E261" s="27" t="inlineStr">
        <is>
          <t>进口营多原味杯面日式杯面韩式杯面泡面方便面汤面宿舍速食夜宵</t>
        </is>
      </c>
      <c r="F261" s="31" t="n">
        <v>110.95</v>
      </c>
      <c r="G261" s="35">
        <f>IFERROR(F261/1.13,0)</f>
        <v/>
      </c>
      <c r="H261" s="36" t="n">
        <v>4</v>
      </c>
      <c r="I261" s="37" t="n">
        <v>0.001050420168067227</v>
      </c>
      <c r="J261" s="38">
        <f>IFERROR(F261/H261,0)</f>
        <v/>
      </c>
      <c r="K261" s="31" t="n">
        <v>6.90753151260504</v>
      </c>
      <c r="L261" s="31" t="n">
        <v>31.7489390756303</v>
      </c>
      <c r="M261" s="38">
        <f>IFERROR(L261/K261,0)</f>
        <v/>
      </c>
      <c r="N261" s="31" t="n">
        <v>2.11928571428571</v>
      </c>
      <c r="O261" s="31" t="n">
        <v>4.61256302521008</v>
      </c>
      <c r="P261" s="38">
        <f>IFERROR(O261/N261,0)</f>
        <v/>
      </c>
      <c r="Q261" s="31" t="n">
        <v>9.026816999999999</v>
      </c>
      <c r="R261" s="31" t="n">
        <v>36.361502</v>
      </c>
      <c r="S261" s="38">
        <f>IFERROR(R261/Q261,0)</f>
        <v/>
      </c>
      <c r="T261" s="39">
        <f>IFERROR(Q261/SUMIF($A:$A,A261,$Q:$Q),0)</f>
        <v/>
      </c>
      <c r="U261" s="39">
        <f>IFERROR(Q261/F261,0)</f>
        <v/>
      </c>
      <c r="V261" s="35">
        <f>F261-R261</f>
        <v/>
      </c>
      <c r="W261" s="39">
        <f>IFERROR(V261/F261,0)</f>
        <v/>
      </c>
      <c r="X261" s="29" t="n">
        <v>2.526261</v>
      </c>
      <c r="Y261" s="31" t="n">
        <v>14.068</v>
      </c>
      <c r="Z261" s="39">
        <f>IFERROR(Y261/G261,0)</f>
        <v/>
      </c>
      <c r="AA261" s="35">
        <f>Y261-K261/1.06</f>
        <v/>
      </c>
      <c r="AB261" s="39">
        <f>IFERROR(AA261/G261,0)</f>
        <v/>
      </c>
      <c r="AC261" s="31" t="n">
        <v>3.16887</v>
      </c>
      <c r="AD261" s="39">
        <f>IFERROR(AC261/G261,0)</f>
        <v/>
      </c>
    </row>
    <row r="262">
      <c r="A262" s="27" t="inlineStr">
        <is>
          <t>7.13-7.19</t>
        </is>
      </c>
      <c r="B262" s="27" t="inlineStr">
        <is>
          <t>7.13-7.19</t>
        </is>
      </c>
      <c r="C262" s="34" t="n">
        <v>649731447266</v>
      </c>
      <c r="D262" s="27" t="inlineStr">
        <is>
          <t>20包经典/牛系列</t>
        </is>
      </c>
      <c r="E262" s="27" t="inlineStr">
        <is>
          <t>营多印尼进口营多捞面方便面火鸡面干拌面20包宿舍速食泡面夜宵</t>
        </is>
      </c>
      <c r="F262" s="31" t="n">
        <v>193.3</v>
      </c>
      <c r="G262" s="35">
        <f>IFERROR(F262/1.13,0)</f>
        <v/>
      </c>
      <c r="H262" s="36" t="n">
        <v>4</v>
      </c>
      <c r="I262" s="37" t="n">
        <v>0.001050420168067227</v>
      </c>
      <c r="J262" s="38">
        <f>IFERROR(F262/H262,0)</f>
        <v/>
      </c>
      <c r="K262" s="31" t="n">
        <v>14.027531512605</v>
      </c>
      <c r="L262" s="31" t="n">
        <v>67.6489390756303</v>
      </c>
      <c r="M262" s="38">
        <f>IFERROR(L262/K262,0)</f>
        <v/>
      </c>
      <c r="N262" s="31" t="n">
        <v>2.11928571428571</v>
      </c>
      <c r="O262" s="31" t="n">
        <v>4.61256302521008</v>
      </c>
      <c r="P262" s="38">
        <f>IFERROR(O262/N262,0)</f>
        <v/>
      </c>
      <c r="Q262" s="31" t="n">
        <v>16.146817</v>
      </c>
      <c r="R262" s="31" t="n">
        <v>72.26150199999999</v>
      </c>
      <c r="S262" s="38">
        <f>IFERROR(R262/Q262,0)</f>
        <v/>
      </c>
      <c r="T262" s="39">
        <f>IFERROR(Q262/SUMIF($A:$A,A262,$Q:$Q),0)</f>
        <v/>
      </c>
      <c r="U262" s="39">
        <f>IFERROR(Q262/F262,0)</f>
        <v/>
      </c>
      <c r="V262" s="35">
        <f>F262-R262</f>
        <v/>
      </c>
      <c r="W262" s="39">
        <f>IFERROR(V262/F262,0)</f>
        <v/>
      </c>
      <c r="X262" s="29" t="n">
        <v>2.526261</v>
      </c>
      <c r="Y262" s="31" t="n">
        <v>39.086</v>
      </c>
      <c r="Z262" s="39">
        <f>IFERROR(Y262/G262,0)</f>
        <v/>
      </c>
      <c r="AA262" s="35">
        <f>Y262-K262/1.06</f>
        <v/>
      </c>
      <c r="AB262" s="39">
        <f>IFERROR(AA262/G262,0)</f>
        <v/>
      </c>
      <c r="AC262" s="31" t="n">
        <v>21.469889</v>
      </c>
      <c r="AD262" s="39">
        <f>IFERROR(AC262/G262,0)</f>
        <v/>
      </c>
    </row>
    <row r="263">
      <c r="A263" s="27" t="inlineStr">
        <is>
          <t>7.13-7.19</t>
        </is>
      </c>
      <c r="B263" s="27" t="inlineStr">
        <is>
          <t>7.13-7.19</t>
        </is>
      </c>
      <c r="C263" s="34" t="n">
        <v>648604228786</v>
      </c>
      <c r="D263" s="27" t="inlineStr">
        <is>
          <t>杯面混搭</t>
        </is>
      </c>
      <c r="E263" s="27" t="inlineStr">
        <is>
          <t>INDOMIE营多日式杯面原味经典泡面整箱批发速食宿舍旅行宵夜宿舍</t>
        </is>
      </c>
      <c r="F263" s="31" t="n">
        <v>100.7</v>
      </c>
      <c r="G263" s="35">
        <f>IFERROR(F263/1.13,0)</f>
        <v/>
      </c>
      <c r="H263" s="36" t="n">
        <v>4</v>
      </c>
      <c r="I263" s="37" t="n">
        <v>0.001050420168067227</v>
      </c>
      <c r="J263" s="38">
        <f>IFERROR(F263/H263,0)</f>
        <v/>
      </c>
      <c r="K263" s="31" t="n">
        <v>23.707531512605</v>
      </c>
      <c r="L263" s="31" t="n">
        <v>310.52893907563</v>
      </c>
      <c r="M263" s="38">
        <f>IFERROR(L263/K263,0)</f>
        <v/>
      </c>
      <c r="N263" s="31" t="n">
        <v>2.11928571428571</v>
      </c>
      <c r="O263" s="31" t="n">
        <v>4.61256302521008</v>
      </c>
      <c r="P263" s="38">
        <f>IFERROR(O263/N263,0)</f>
        <v/>
      </c>
      <c r="Q263" s="31" t="n">
        <v>25.826817</v>
      </c>
      <c r="R263" s="31" t="n">
        <v>315.141502</v>
      </c>
      <c r="S263" s="38">
        <f>IFERROR(R263/Q263,0)</f>
        <v/>
      </c>
      <c r="T263" s="39">
        <f>IFERROR(Q263/SUMIF($A:$A,A263,$Q:$Q),0)</f>
        <v/>
      </c>
      <c r="U263" s="39">
        <f>IFERROR(Q263/F263,0)</f>
        <v/>
      </c>
      <c r="V263" s="35">
        <f>F263-R263</f>
        <v/>
      </c>
      <c r="W263" s="39">
        <f>IFERROR(V263/F263,0)</f>
        <v/>
      </c>
      <c r="X263" s="29" t="n">
        <v>2.526261</v>
      </c>
      <c r="Y263" s="31" t="n">
        <v>12.023</v>
      </c>
      <c r="Z263" s="39">
        <f>IFERROR(Y263/G263,0)</f>
        <v/>
      </c>
      <c r="AA263" s="35">
        <f>Y263-K263/1.06</f>
        <v/>
      </c>
      <c r="AB263" s="39">
        <f>IFERROR(AA263/G263,0)</f>
        <v/>
      </c>
      <c r="AC263" s="31" t="n">
        <v>-14.725187</v>
      </c>
      <c r="AD263" s="39">
        <f>IFERROR(AC263/G263,0)</f>
        <v/>
      </c>
    </row>
    <row r="264">
      <c r="A264" s="27" t="inlineStr">
        <is>
          <t>7.13-7.19</t>
        </is>
      </c>
      <c r="B264" s="27" t="inlineStr">
        <is>
          <t>7.13-7.19</t>
        </is>
      </c>
      <c r="C264" s="34" t="n">
        <v>1028450344901</v>
      </c>
      <c r="D264" s="27" t="inlineStr">
        <is>
          <t>韩式火鸡</t>
        </is>
      </c>
      <c r="E264" s="27" t="inlineStr">
        <is>
          <t>营多韩式火鸡面袋装拌面干拌面泡面方便面速食面宿舍宵夜旅行</t>
        </is>
      </c>
      <c r="F264" s="31" t="n">
        <v>85.05</v>
      </c>
      <c r="G264" s="35">
        <f>IFERROR(F264/1.13,0)</f>
        <v/>
      </c>
      <c r="H264" s="36" t="n">
        <v>4</v>
      </c>
      <c r="I264" s="37" t="n">
        <v>0.001050420168067227</v>
      </c>
      <c r="J264" s="38">
        <f>IFERROR(F264/H264,0)</f>
        <v/>
      </c>
      <c r="K264" s="31" t="n">
        <v>12.597531512605</v>
      </c>
      <c r="L264" s="31" t="n">
        <v>64.4389390756303</v>
      </c>
      <c r="M264" s="38">
        <f>IFERROR(L264/K264,0)</f>
        <v/>
      </c>
      <c r="N264" s="31" t="n">
        <v>2.11928571428571</v>
      </c>
      <c r="O264" s="31" t="n">
        <v>4.61256302521008</v>
      </c>
      <c r="P264" s="38">
        <f>IFERROR(O264/N264,0)</f>
        <v/>
      </c>
      <c r="Q264" s="31" t="n">
        <v>14.716817</v>
      </c>
      <c r="R264" s="31" t="n">
        <v>69.051502</v>
      </c>
      <c r="S264" s="38">
        <f>IFERROR(R264/Q264,0)</f>
        <v/>
      </c>
      <c r="T264" s="39">
        <f>IFERROR(Q264/SUMIF($A:$A,A264,$Q:$Q),0)</f>
        <v/>
      </c>
      <c r="U264" s="39">
        <f>IFERROR(Q264/F264,0)</f>
        <v/>
      </c>
      <c r="V264" s="35">
        <f>F264-R264</f>
        <v/>
      </c>
      <c r="W264" s="39">
        <f>IFERROR(V264/F264,0)</f>
        <v/>
      </c>
      <c r="X264" s="29" t="n">
        <v>2.526261</v>
      </c>
      <c r="Y264" s="31" t="n">
        <v>8.378</v>
      </c>
      <c r="Z264" s="39">
        <f>IFERROR(Y264/G264,0)</f>
        <v/>
      </c>
      <c r="AA264" s="35">
        <f>Y264-K264/1.06</f>
        <v/>
      </c>
      <c r="AB264" s="39">
        <f>IFERROR(AA264/G264,0)</f>
        <v/>
      </c>
      <c r="AC264" s="31" t="n">
        <v>-7.889054</v>
      </c>
      <c r="AD264" s="39">
        <f>IFERROR(AC264/G264,0)</f>
        <v/>
      </c>
    </row>
    <row r="265">
      <c r="A265" s="27" t="inlineStr">
        <is>
          <t>7.13-7.19</t>
        </is>
      </c>
      <c r="B265" s="27" t="inlineStr">
        <is>
          <t>7.13-7.19</t>
        </is>
      </c>
      <c r="C265" s="34" t="n">
        <v>649729851594</v>
      </c>
      <c r="D265" s="27" t="inlineStr">
        <is>
          <t>小规格</t>
        </is>
      </c>
      <c r="E265" s="27" t="inlineStr">
        <is>
          <t>营多捞面袋装8包装泡面宿舍速食面热干面干拌面方便面火鸡面食品</t>
        </is>
      </c>
      <c r="F265" s="31" t="n">
        <v>64.27</v>
      </c>
      <c r="G265" s="35">
        <f>IFERROR(F265/1.13,0)</f>
        <v/>
      </c>
      <c r="H265" s="36" t="n">
        <v>3</v>
      </c>
      <c r="I265" s="37" t="n">
        <v>0.0007878151260504202</v>
      </c>
      <c r="J265" s="38">
        <f>IFERROR(F265/H265,0)</f>
        <v/>
      </c>
      <c r="K265" s="31" t="n">
        <v>6.96814863445378</v>
      </c>
      <c r="L265" s="31" t="n">
        <v>25.2467043067227</v>
      </c>
      <c r="M265" s="38">
        <f>IFERROR(L265/K265,0)</f>
        <v/>
      </c>
      <c r="N265" s="31" t="n">
        <v>1.58946428571429</v>
      </c>
      <c r="O265" s="31" t="n">
        <v>3.45942226890756</v>
      </c>
      <c r="P265" s="38">
        <f>IFERROR(O265/N265,0)</f>
        <v/>
      </c>
      <c r="Q265" s="31" t="n">
        <v>8.557613</v>
      </c>
      <c r="R265" s="31" t="n">
        <v>28.706127</v>
      </c>
      <c r="S265" s="38">
        <f>IFERROR(R265/Q265,0)</f>
        <v/>
      </c>
      <c r="T265" s="39">
        <f>IFERROR(Q265/SUMIF($A:$A,A265,$Q:$Q),0)</f>
        <v/>
      </c>
      <c r="U265" s="39">
        <f>IFERROR(Q265/F265,0)</f>
        <v/>
      </c>
      <c r="V265" s="35">
        <f>F265-R265</f>
        <v/>
      </c>
      <c r="W265" s="39">
        <f>IFERROR(V265/F265,0)</f>
        <v/>
      </c>
      <c r="X265" s="29" t="n">
        <v>1.894695</v>
      </c>
      <c r="Y265" s="31" t="n">
        <v>8.381</v>
      </c>
      <c r="Z265" s="39">
        <f>IFERROR(Y265/G265,0)</f>
        <v/>
      </c>
      <c r="AA265" s="35">
        <f>Y265-K265/1.06</f>
        <v/>
      </c>
      <c r="AB265" s="39">
        <f>IFERROR(AA265/G265,0)</f>
        <v/>
      </c>
      <c r="AC265" s="31" t="n">
        <v>-1.479668</v>
      </c>
      <c r="AD265" s="39">
        <f>IFERROR(AC265/G265,0)</f>
        <v/>
      </c>
    </row>
    <row r="266">
      <c r="A266" s="27" t="inlineStr">
        <is>
          <t>7.13-7.19</t>
        </is>
      </c>
      <c r="B266" s="27" t="inlineStr">
        <is>
          <t>7.13-7.19</t>
        </is>
      </c>
      <c r="C266" s="34" t="n">
        <v>903183018417</v>
      </c>
      <c r="D266" s="27" t="inlineStr">
        <is>
          <t>七口味混搭</t>
        </is>
      </c>
      <c r="E266" s="27" t="inlineStr">
        <is>
          <t>进口营多捞面汤面拌面七口味混合方便面速拉面宿舍拌面泡面食食品</t>
        </is>
      </c>
      <c r="F266" s="31" t="n">
        <v>39.31</v>
      </c>
      <c r="G266" s="35">
        <f>IFERROR(F266/1.13,0)</f>
        <v/>
      </c>
      <c r="H266" s="36" t="n">
        <v>2</v>
      </c>
      <c r="I266" s="37" t="n">
        <v>0.0005252100840336134</v>
      </c>
      <c r="J266" s="38">
        <f>IFERROR(F266/H266,0)</f>
        <v/>
      </c>
      <c r="K266" s="31" t="n">
        <v>10.9787657563025</v>
      </c>
      <c r="L266" s="31" t="n">
        <v>47.6244695378151</v>
      </c>
      <c r="M266" s="38">
        <f>IFERROR(L266/K266,0)</f>
        <v/>
      </c>
      <c r="N266" s="31" t="n">
        <v>1.05964285714286</v>
      </c>
      <c r="O266" s="31" t="n">
        <v>2.30628151260504</v>
      </c>
      <c r="P266" s="38">
        <f>IFERROR(O266/N266,0)</f>
        <v/>
      </c>
      <c r="Q266" s="31" t="n">
        <v>12.038409</v>
      </c>
      <c r="R266" s="31" t="n">
        <v>49.930751</v>
      </c>
      <c r="S266" s="38">
        <f>IFERROR(R266/Q266,0)</f>
        <v/>
      </c>
      <c r="T266" s="39">
        <f>IFERROR(Q266/SUMIF($A:$A,A266,$Q:$Q),0)</f>
        <v/>
      </c>
      <c r="U266" s="39">
        <f>IFERROR(Q266/F266,0)</f>
        <v/>
      </c>
      <c r="V266" s="35">
        <f>F266-R266</f>
        <v/>
      </c>
      <c r="W266" s="39">
        <f>IFERROR(V266/F266,0)</f>
        <v/>
      </c>
      <c r="X266" s="29" t="n">
        <v>1.26313</v>
      </c>
      <c r="Y266" s="31" t="n">
        <v>3.461</v>
      </c>
      <c r="Z266" s="39">
        <f>IFERROR(Y266/G266,0)</f>
        <v/>
      </c>
      <c r="AA266" s="35">
        <f>Y266-K266/1.06</f>
        <v/>
      </c>
      <c r="AB266" s="39">
        <f>IFERROR(AA266/G266,0)</f>
        <v/>
      </c>
      <c r="AC266" s="31" t="n">
        <v>-9.087622</v>
      </c>
      <c r="AD266" s="39">
        <f>IFERROR(AC266/G266,0)</f>
        <v/>
      </c>
    </row>
    <row r="267">
      <c r="A267" s="27" t="inlineStr">
        <is>
          <t>7.13-7.19</t>
        </is>
      </c>
      <c r="B267" s="27" t="inlineStr">
        <is>
          <t>7.13-7.19</t>
        </is>
      </c>
      <c r="C267" s="34" t="n">
        <v>916072786304</v>
      </c>
      <c r="D267" s="27" t="inlineStr">
        <is>
          <t>小规格</t>
        </is>
      </c>
      <c r="E267" s="27" t="inlineStr">
        <is>
          <t>营多印尼进口营多捞面方便面火鸡面干拌面10包宿舍速食泡面夜宵</t>
        </is>
      </c>
      <c r="F267" s="31" t="n">
        <v>11.59</v>
      </c>
      <c r="G267" s="35">
        <f>IFERROR(F267/1.13,0)</f>
        <v/>
      </c>
      <c r="H267" s="36" t="n">
        <v>1</v>
      </c>
      <c r="I267" s="37" t="n">
        <v>0.0002626050420168067</v>
      </c>
      <c r="J267" s="38">
        <f>IFERROR(F267/H267,0)</f>
        <v/>
      </c>
      <c r="K267" s="31" t="n">
        <v>0.8993828781512599</v>
      </c>
      <c r="L267" s="31" t="n">
        <v>0.962234768907564</v>
      </c>
      <c r="M267" s="38">
        <f>IFERROR(L267/K267,0)</f>
        <v/>
      </c>
      <c r="N267" s="31" t="n">
        <v>0.529821428571429</v>
      </c>
      <c r="O267" s="31" t="n">
        <v>1.15314075630252</v>
      </c>
      <c r="P267" s="38">
        <f>IFERROR(O267/N267,0)</f>
        <v/>
      </c>
      <c r="Q267" s="31" t="n">
        <v>1.429204</v>
      </c>
      <c r="R267" s="31" t="n">
        <v>2.115376</v>
      </c>
      <c r="S267" s="38">
        <f>IFERROR(R267/Q267,0)</f>
        <v/>
      </c>
      <c r="T267" s="39">
        <f>IFERROR(Q267/SUMIF($A:$A,A267,$Q:$Q),0)</f>
        <v/>
      </c>
      <c r="U267" s="39">
        <f>IFERROR(Q267/F267,0)</f>
        <v/>
      </c>
      <c r="V267" s="35">
        <f>F267-R267</f>
        <v/>
      </c>
      <c r="W267" s="39">
        <f>IFERROR(V267/F267,0)</f>
        <v/>
      </c>
      <c r="X267" s="29" t="n">
        <v>0.631565</v>
      </c>
      <c r="Y267" s="31" t="n">
        <v>-1.379</v>
      </c>
      <c r="Z267" s="39">
        <f>IFERROR(Y267/G267,0)</f>
        <v/>
      </c>
      <c r="AA267" s="35">
        <f>Y267-K267/1.06</f>
        <v/>
      </c>
      <c r="AB267" s="39">
        <f>IFERROR(AA267/G267,0)</f>
        <v/>
      </c>
      <c r="AC267" s="31" t="n">
        <v>-3.323122</v>
      </c>
      <c r="AD267" s="39">
        <f>IFERROR(AC267/G267,0)</f>
        <v/>
      </c>
    </row>
    <row r="268">
      <c r="A268" s="27" t="inlineStr">
        <is>
          <t>7.13-7.19</t>
        </is>
      </c>
      <c r="B268" s="27" t="inlineStr">
        <is>
          <t>7.13-7.19</t>
        </is>
      </c>
      <c r="C268" s="34" t="n">
        <v>1019572719528</v>
      </c>
      <c r="D268" s="27" t="inlineStr">
        <is>
          <t>日韩袋面</t>
        </is>
      </c>
      <c r="E268" s="27" t="inlineStr">
        <is>
          <t>新品营多捞面韩式辣蘑菇汤面泡面方便面速食干拌面宿舍宵夜旅行</t>
        </is>
      </c>
      <c r="F268" s="31" t="n">
        <v>17.9</v>
      </c>
      <c r="G268" s="35">
        <f>IFERROR(F268/1.13,0)</f>
        <v/>
      </c>
      <c r="H268" s="36" t="n">
        <v>1</v>
      </c>
      <c r="I268" s="37" t="n">
        <v>0.0002626050420168067</v>
      </c>
      <c r="J268" s="38">
        <f>IFERROR(F268/H268,0)</f>
        <v/>
      </c>
      <c r="K268" s="31" t="n">
        <v>0.31938287815126</v>
      </c>
      <c r="L268" s="31" t="n">
        <v>0.962234768907564</v>
      </c>
      <c r="M268" s="38">
        <f>IFERROR(L268/K268,0)</f>
        <v/>
      </c>
      <c r="N268" s="31" t="n">
        <v>0.529821428571429</v>
      </c>
      <c r="O268" s="31" t="n">
        <v>1.15314075630252</v>
      </c>
      <c r="P268" s="38">
        <f>IFERROR(O268/N268,0)</f>
        <v/>
      </c>
      <c r="Q268" s="31" t="n">
        <v>0.849204</v>
      </c>
      <c r="R268" s="31" t="n">
        <v>2.115376</v>
      </c>
      <c r="S268" s="38">
        <f>IFERROR(R268/Q268,0)</f>
        <v/>
      </c>
      <c r="T268" s="39">
        <f>IFERROR(Q268/SUMIF($A:$A,A268,$Q:$Q),0)</f>
        <v/>
      </c>
      <c r="U268" s="39">
        <f>IFERROR(Q268/F268,0)</f>
        <v/>
      </c>
      <c r="V268" s="35">
        <f>F268-R268</f>
        <v/>
      </c>
      <c r="W268" s="39">
        <f>IFERROR(V268/F268,0)</f>
        <v/>
      </c>
      <c r="X268" s="29" t="n">
        <v>0.631565</v>
      </c>
      <c r="Y268" s="31" t="n">
        <v>3.149</v>
      </c>
      <c r="Z268" s="39">
        <f>IFERROR(Y268/G268,0)</f>
        <v/>
      </c>
      <c r="AA268" s="35">
        <f>Y268-K268/1.06</f>
        <v/>
      </c>
      <c r="AB268" s="39">
        <f>IFERROR(AA268/G268,0)</f>
        <v/>
      </c>
      <c r="AC268" s="31" t="n">
        <v>1.752048</v>
      </c>
      <c r="AD268" s="39">
        <f>IFERROR(AC268/G268,0)</f>
        <v/>
      </c>
    </row>
    <row r="269">
      <c r="A269" s="27" t="inlineStr">
        <is>
          <t>7.13-7.19</t>
        </is>
      </c>
      <c r="B269" s="27" t="inlineStr">
        <is>
          <t>7.13-7.19</t>
        </is>
      </c>
      <c r="C269" s="34" t="n">
        <v>976467954327</v>
      </c>
      <c r="D269" s="27" t="inlineStr">
        <is>
          <t>日韩杯面</t>
        </is>
      </c>
      <c r="E269" s="27" t="inlineStr">
        <is>
          <t>【天猫U选】indomie营多捞面辣蘑菇味日式辣味杯面</t>
        </is>
      </c>
      <c r="F269" s="31" t="n">
        <v>9.9</v>
      </c>
      <c r="G269" s="35">
        <f>IFERROR(F269/1.13,0)</f>
        <v/>
      </c>
      <c r="H269" s="36" t="n">
        <v>1</v>
      </c>
      <c r="I269" s="37" t="n">
        <v>0.0002626050420168067</v>
      </c>
      <c r="J269" s="38">
        <f>IFERROR(F269/H269,0)</f>
        <v/>
      </c>
      <c r="K269" s="31" t="n">
        <v>0.21938287815126</v>
      </c>
      <c r="L269" s="31" t="n">
        <v>0.962234768907564</v>
      </c>
      <c r="M269" s="38">
        <f>IFERROR(L269/K269,0)</f>
        <v/>
      </c>
      <c r="N269" s="31" t="n">
        <v>0.529821428571429</v>
      </c>
      <c r="O269" s="31" t="n">
        <v>1.15314075630252</v>
      </c>
      <c r="P269" s="38">
        <f>IFERROR(O269/N269,0)</f>
        <v/>
      </c>
      <c r="Q269" s="31" t="n">
        <v>0.749204</v>
      </c>
      <c r="R269" s="31" t="n">
        <v>2.115376</v>
      </c>
      <c r="S269" s="38">
        <f>IFERROR(R269/Q269,0)</f>
        <v/>
      </c>
      <c r="T269" s="39">
        <f>IFERROR(Q269/SUMIF($A:$A,A269,$Q:$Q),0)</f>
        <v/>
      </c>
      <c r="U269" s="39">
        <f>IFERROR(Q269/F269,0)</f>
        <v/>
      </c>
      <c r="V269" s="35">
        <f>F269-R269</f>
        <v/>
      </c>
      <c r="W269" s="39">
        <f>IFERROR(V269/F269,0)</f>
        <v/>
      </c>
      <c r="X269" s="29" t="n">
        <v>0.631565</v>
      </c>
      <c r="Y269" s="31" t="n">
        <v>-1.359</v>
      </c>
      <c r="Z269" s="39">
        <f>IFERROR(Y269/G269,0)</f>
        <v/>
      </c>
      <c r="AA269" s="35">
        <f>Y269-K269/1.06</f>
        <v/>
      </c>
      <c r="AB269" s="39">
        <f>IFERROR(AA269/G269,0)</f>
        <v/>
      </c>
      <c r="AC269" s="31" t="n">
        <v>-2.661613</v>
      </c>
      <c r="AD269" s="39">
        <f>IFERROR(AC269/G269,0)</f>
        <v/>
      </c>
    </row>
    <row r="270">
      <c r="A270" s="27" t="inlineStr">
        <is>
          <t>7.13-7.19</t>
        </is>
      </c>
      <c r="B270" s="27" t="inlineStr">
        <is>
          <t>7.13-7.19</t>
        </is>
      </c>
      <c r="C270" s="34" t="n">
        <v>976466902934</v>
      </c>
      <c r="D270" s="27" t="inlineStr">
        <is>
          <t>杯面混搭</t>
        </is>
      </c>
      <c r="E270" s="27" t="inlineStr">
        <is>
          <t>营多捞面韩式甜辣炸鸡辣蘑菇杯面方便面拌面泡面宿舍速食面</t>
        </is>
      </c>
      <c r="F270" s="31" t="n">
        <v>8.949999999999999</v>
      </c>
      <c r="G270" s="35">
        <f>IFERROR(F270/1.13,0)</f>
        <v/>
      </c>
      <c r="H270" s="36" t="n">
        <v>1</v>
      </c>
      <c r="I270" s="37" t="n">
        <v>0.0002626050420168067</v>
      </c>
      <c r="J270" s="38">
        <f>IFERROR(F270/H270,0)</f>
        <v/>
      </c>
      <c r="K270" s="31" t="n">
        <v>0.21938287815126</v>
      </c>
      <c r="L270" s="31" t="n">
        <v>0.962234768907564</v>
      </c>
      <c r="M270" s="38">
        <f>IFERROR(L270/K270,0)</f>
        <v/>
      </c>
      <c r="N270" s="31" t="n">
        <v>0.529821428571429</v>
      </c>
      <c r="O270" s="31" t="n">
        <v>1.15314075630252</v>
      </c>
      <c r="P270" s="38">
        <f>IFERROR(O270/N270,0)</f>
        <v/>
      </c>
      <c r="Q270" s="31" t="n">
        <v>0.749204</v>
      </c>
      <c r="R270" s="31" t="n">
        <v>2.115376</v>
      </c>
      <c r="S270" s="38">
        <f>IFERROR(R270/Q270,0)</f>
        <v/>
      </c>
      <c r="T270" s="39">
        <f>IFERROR(Q270/SUMIF($A:$A,A270,$Q:$Q),0)</f>
        <v/>
      </c>
      <c r="U270" s="39">
        <f>IFERROR(Q270/F270,0)</f>
        <v/>
      </c>
      <c r="V270" s="35">
        <f>F270-R270</f>
        <v/>
      </c>
      <c r="W270" s="39">
        <f>IFERROR(V270/F270,0)</f>
        <v/>
      </c>
      <c r="X270" s="29" t="n">
        <v>0.631565</v>
      </c>
      <c r="Y270" s="31" t="n">
        <v>-2.137</v>
      </c>
      <c r="Z270" s="39">
        <f>IFERROR(Y270/G270,0)</f>
        <v/>
      </c>
      <c r="AA270" s="35">
        <f>Y270-K270/1.06</f>
        <v/>
      </c>
      <c r="AB270" s="39">
        <f>IFERROR(AA270/G270,0)</f>
        <v/>
      </c>
      <c r="AC270" s="31" t="n">
        <v>-3.439613</v>
      </c>
      <c r="AD270" s="39">
        <f>IFERROR(AC270/G270,0)</f>
        <v/>
      </c>
    </row>
    <row r="271">
      <c r="A271" s="27" t="inlineStr">
        <is>
          <t>7.13-7.19</t>
        </is>
      </c>
      <c r="B271" s="27" t="inlineStr">
        <is>
          <t>7.13-7.19</t>
        </is>
      </c>
      <c r="C271" s="34" t="n">
        <v>947413291596</v>
      </c>
      <c r="D271" s="27" t="inlineStr">
        <is>
          <t>杯面混搭</t>
        </is>
      </c>
      <c r="E271" s="27" t="inlineStr">
        <is>
          <t>印尼进口营多捞面杯面原味甜辣蘑菇味整箱速食拌面拉面泡面方便面</t>
        </is>
      </c>
      <c r="F271" s="31" t="n">
        <v>27.25</v>
      </c>
      <c r="G271" s="35">
        <f>IFERROR(F271/1.13,0)</f>
        <v/>
      </c>
      <c r="H271" s="36" t="n">
        <v>1</v>
      </c>
      <c r="I271" s="37" t="n">
        <v>0.0002626050420168067</v>
      </c>
      <c r="J271" s="38">
        <f>IFERROR(F271/H271,0)</f>
        <v/>
      </c>
      <c r="K271" s="31" t="n">
        <v>12.8293828781513</v>
      </c>
      <c r="L271" s="31" t="n">
        <v>74.2022347689076</v>
      </c>
      <c r="M271" s="38">
        <f>IFERROR(L271/K271,0)</f>
        <v/>
      </c>
      <c r="N271" s="31" t="n">
        <v>0.529821428571429</v>
      </c>
      <c r="O271" s="31" t="n">
        <v>1.15314075630252</v>
      </c>
      <c r="P271" s="38">
        <f>IFERROR(O271/N271,0)</f>
        <v/>
      </c>
      <c r="Q271" s="31" t="n">
        <v>13.359204</v>
      </c>
      <c r="R271" s="31" t="n">
        <v>75.35537600000001</v>
      </c>
      <c r="S271" s="38">
        <f>IFERROR(R271/Q271,0)</f>
        <v/>
      </c>
      <c r="T271" s="39">
        <f>IFERROR(Q271/SUMIF($A:$A,A271,$Q:$Q),0)</f>
        <v/>
      </c>
      <c r="U271" s="39">
        <f>IFERROR(Q271/F271,0)</f>
        <v/>
      </c>
      <c r="V271" s="35">
        <f>F271-R271</f>
        <v/>
      </c>
      <c r="W271" s="39">
        <f>IFERROR(V271/F271,0)</f>
        <v/>
      </c>
      <c r="X271" s="29" t="n">
        <v>0.631565</v>
      </c>
      <c r="Y271" s="31" t="n">
        <v>3.118</v>
      </c>
      <c r="Z271" s="39">
        <f>IFERROR(Y271/G271,0)</f>
        <v/>
      </c>
      <c r="AA271" s="35">
        <f>Y271-K271/1.06</f>
        <v/>
      </c>
      <c r="AB271" s="39">
        <f>IFERROR(AA271/G271,0)</f>
        <v/>
      </c>
      <c r="AC271" s="31" t="n">
        <v>-10.080839</v>
      </c>
      <c r="AD271" s="39">
        <f>IFERROR(AC271/G271,0)</f>
        <v/>
      </c>
    </row>
    <row r="272">
      <c r="A272" s="27" t="inlineStr">
        <is>
          <t>7.13-7.19</t>
        </is>
      </c>
      <c r="B272" s="27" t="inlineStr">
        <is>
          <t>7.13-7.19</t>
        </is>
      </c>
      <c r="C272" s="34" t="n">
        <v>898120785283</v>
      </c>
      <c r="D272" s="27" t="inlineStr">
        <is>
          <t>十全十美</t>
        </is>
      </c>
      <c r="E272" s="27" t="inlineStr">
        <is>
          <t>营多捞面多口味袋装泡面拌面速食面干拌面方便面速食宵夜宿舍旅行</t>
        </is>
      </c>
      <c r="F272" s="31" t="n">
        <v>12.08</v>
      </c>
      <c r="G272" s="35">
        <f>IFERROR(F272/1.13,0)</f>
        <v/>
      </c>
      <c r="H272" s="36" t="n">
        <v>1</v>
      </c>
      <c r="I272" s="37" t="n">
        <v>0.0002626050420168067</v>
      </c>
      <c r="J272" s="38">
        <f>IFERROR(F272/H272,0)</f>
        <v/>
      </c>
      <c r="K272" s="31" t="n">
        <v>1.99938287815126</v>
      </c>
      <c r="L272" s="31" t="n">
        <v>0.962234768907564</v>
      </c>
      <c r="M272" s="38">
        <f>IFERROR(L272/K272,0)</f>
        <v/>
      </c>
      <c r="N272" s="31" t="n">
        <v>0.529821428571429</v>
      </c>
      <c r="O272" s="31" t="n">
        <v>1.15314075630252</v>
      </c>
      <c r="P272" s="38">
        <f>IFERROR(O272/N272,0)</f>
        <v/>
      </c>
      <c r="Q272" s="31" t="n">
        <v>2.529204</v>
      </c>
      <c r="R272" s="31" t="n">
        <v>2.115376</v>
      </c>
      <c r="S272" s="38">
        <f>IFERROR(R272/Q272,0)</f>
        <v/>
      </c>
      <c r="T272" s="39">
        <f>IFERROR(Q272/SUMIF($A:$A,A272,$Q:$Q),0)</f>
        <v/>
      </c>
      <c r="U272" s="39">
        <f>IFERROR(Q272/F272,0)</f>
        <v/>
      </c>
      <c r="V272" s="35">
        <f>F272-R272</f>
        <v/>
      </c>
      <c r="W272" s="39">
        <f>IFERROR(V272/F272,0)</f>
        <v/>
      </c>
      <c r="X272" s="29" t="n">
        <v>0.631565</v>
      </c>
      <c r="Y272" s="31" t="n">
        <v>-0.978</v>
      </c>
      <c r="Z272" s="39">
        <f>IFERROR(Y272/G272,0)</f>
        <v/>
      </c>
      <c r="AA272" s="35">
        <f>Y272-K272/1.06</f>
        <v/>
      </c>
      <c r="AB272" s="39">
        <f>IFERROR(AA272/G272,0)</f>
        <v/>
      </c>
      <c r="AC272" s="31" t="n">
        <v>-3.959858</v>
      </c>
      <c r="AD272" s="39">
        <f>IFERROR(AC272/G272,0)</f>
        <v/>
      </c>
    </row>
    <row r="273">
      <c r="A273" s="27" t="inlineStr">
        <is>
          <t>7.20-7.26</t>
        </is>
      </c>
      <c r="B273" s="27" t="inlineStr">
        <is>
          <t>7.20-7.26</t>
        </is>
      </c>
      <c r="C273" s="34" t="n">
        <v>668566625747</v>
      </c>
      <c r="D273" s="27" t="inlineStr">
        <is>
          <t>袋面主链接</t>
        </is>
      </c>
      <c r="E273" s="27" t="inlineStr">
        <is>
          <t>印尼营多捞面进口网红泡面袋装方便面速食食品拉面火鸡面拌面整箱</t>
        </is>
      </c>
      <c r="F273" s="31" t="n">
        <v>35489.7100000007</v>
      </c>
      <c r="G273" s="35">
        <f>IFERROR(F273/1.13,0)</f>
        <v/>
      </c>
      <c r="H273" s="36" t="n">
        <v>1459</v>
      </c>
      <c r="I273" s="37" t="n">
        <v>0.3843519494204426</v>
      </c>
      <c r="J273" s="38">
        <f>IFERROR(F273/H273,0)</f>
        <v/>
      </c>
      <c r="K273" s="31" t="n">
        <v>4867.81691435393</v>
      </c>
      <c r="L273" s="31" t="n">
        <v>26920.4484840346</v>
      </c>
      <c r="M273" s="38">
        <f>IFERROR(L273/K273,0)</f>
        <v/>
      </c>
      <c r="N273" s="31" t="n">
        <v>787.992306774097</v>
      </c>
      <c r="O273" s="31" t="n">
        <v>1840.00239331543</v>
      </c>
      <c r="P273" s="38">
        <f>IFERROR(O273/N273,0)</f>
        <v/>
      </c>
      <c r="Q273" s="31" t="n">
        <v>5655.809221</v>
      </c>
      <c r="R273" s="31" t="n">
        <v>28760.450877</v>
      </c>
      <c r="S273" s="38">
        <f>IFERROR(R273/Q273,0)</f>
        <v/>
      </c>
      <c r="T273" s="39">
        <f>IFERROR(Q273/SUMIF($A:$A,A273,$Q:$Q),0)</f>
        <v/>
      </c>
      <c r="U273" s="39">
        <f>IFERROR(Q273/F273,0)</f>
        <v/>
      </c>
      <c r="V273" s="35">
        <f>F273-R273</f>
        <v/>
      </c>
      <c r="W273" s="39">
        <f>IFERROR(V273/F273,0)</f>
        <v/>
      </c>
      <c r="X273" s="29" t="n">
        <v>805.986038</v>
      </c>
      <c r="Y273" s="31" t="n">
        <v>4654.98200000005</v>
      </c>
      <c r="Z273" s="39">
        <f>IFERROR(Y273/G273,0)</f>
        <v/>
      </c>
      <c r="AA273" s="35">
        <f>Y273-K273/1.06</f>
        <v/>
      </c>
      <c r="AB273" s="39">
        <f>IFERROR(AA273/G273,0)</f>
        <v/>
      </c>
      <c r="AC273" s="31" t="n">
        <v>-1441.051263</v>
      </c>
      <c r="AD273" s="39">
        <f>IFERROR(AC273/G273,0)</f>
        <v/>
      </c>
    </row>
    <row r="274">
      <c r="A274" s="27" t="inlineStr">
        <is>
          <t>7.20-7.26</t>
        </is>
      </c>
      <c r="B274" s="27" t="inlineStr">
        <is>
          <t>7.20-7.26</t>
        </is>
      </c>
      <c r="C274" s="34" t="n">
        <v>649361890551</v>
      </c>
      <c r="D274" s="27" t="inlineStr">
        <is>
          <t>袋面次链接</t>
        </is>
      </c>
      <c r="E274" s="27" t="inlineStr">
        <is>
          <t>营多捞面印尼进口Indomie网红夜宵早餐方便面火鸡面泡面拌面</t>
        </is>
      </c>
      <c r="F274" s="31" t="n">
        <v>15638.2099999999</v>
      </c>
      <c r="G274" s="35">
        <f>IFERROR(F274/1.13,0)</f>
        <v/>
      </c>
      <c r="H274" s="36" t="n">
        <v>805</v>
      </c>
      <c r="I274" s="37" t="n">
        <v>0.2120653319283456</v>
      </c>
      <c r="J274" s="38">
        <f>IFERROR(F274/H274,0)</f>
        <v/>
      </c>
      <c r="K274" s="31" t="n">
        <v>2527.81816472695</v>
      </c>
      <c r="L274" s="31" t="n">
        <v>14419.7489435989</v>
      </c>
      <c r="M274" s="38">
        <f>IFERROR(L274/K274,0)</f>
        <v/>
      </c>
      <c r="N274" s="31" t="n">
        <v>421.750859444942</v>
      </c>
      <c r="O274" s="31" t="n">
        <v>984.809856759176</v>
      </c>
      <c r="P274" s="38">
        <f>IFERROR(O274/N274,0)</f>
        <v/>
      </c>
      <c r="Q274" s="31" t="n">
        <v>2949.569024</v>
      </c>
      <c r="R274" s="31" t="n">
        <v>15404.5588</v>
      </c>
      <c r="S274" s="38">
        <f>IFERROR(R274/Q274,0)</f>
        <v/>
      </c>
      <c r="T274" s="39">
        <f>IFERROR(Q274/SUMIF($A:$A,A274,$Q:$Q),0)</f>
        <v/>
      </c>
      <c r="U274" s="39">
        <f>IFERROR(Q274/F274,0)</f>
        <v/>
      </c>
      <c r="V274" s="35">
        <f>F274-R274</f>
        <v/>
      </c>
      <c r="W274" s="39">
        <f>IFERROR(V274/F274,0)</f>
        <v/>
      </c>
      <c r="X274" s="29" t="n">
        <v>444.701001</v>
      </c>
      <c r="Y274" s="31" t="n">
        <v>1488.97699999999</v>
      </c>
      <c r="Z274" s="39">
        <f>IFERROR(Y274/G274,0)</f>
        <v/>
      </c>
      <c r="AA274" s="35">
        <f>Y274-K274/1.06</f>
        <v/>
      </c>
      <c r="AB274" s="39">
        <f>IFERROR(AA274/G274,0)</f>
        <v/>
      </c>
      <c r="AC274" s="31" t="n">
        <v>-1713.164533</v>
      </c>
      <c r="AD274" s="39">
        <f>IFERROR(AC274/G274,0)</f>
        <v/>
      </c>
    </row>
    <row r="275">
      <c r="A275" s="27" t="inlineStr">
        <is>
          <t>7.20-7.26</t>
        </is>
      </c>
      <c r="B275" s="27" t="inlineStr">
        <is>
          <t>7.20-7.26</t>
        </is>
      </c>
      <c r="C275" s="34" t="n">
        <v>649735171438</v>
      </c>
      <c r="D275" s="27" t="inlineStr">
        <is>
          <t>杯面主链接</t>
        </is>
      </c>
      <c r="E275" s="27" t="inlineStr">
        <is>
          <t>印尼进口indomie营多捞面杯面速食泡面干拌面盒桶装方便面火鸡面</t>
        </is>
      </c>
      <c r="F275" s="31" t="n">
        <v>13258.64</v>
      </c>
      <c r="G275" s="35">
        <f>IFERROR(F275/1.13,0)</f>
        <v/>
      </c>
      <c r="H275" s="36" t="n">
        <v>523</v>
      </c>
      <c r="I275" s="37" t="n">
        <v>0.1377766069546892</v>
      </c>
      <c r="J275" s="38">
        <f>IFERROR(F275/H275,0)</f>
        <v/>
      </c>
      <c r="K275" s="31" t="n">
        <v>2029.66672336616</v>
      </c>
      <c r="L275" s="31" t="n">
        <v>9236.47318710832</v>
      </c>
      <c r="M275" s="38">
        <f>IFERROR(L275/K275,0)</f>
        <v/>
      </c>
      <c r="N275" s="31" t="n">
        <v>269.703339301701</v>
      </c>
      <c r="O275" s="31" t="n">
        <v>629.7711101163831</v>
      </c>
      <c r="P275" s="38">
        <f>IFERROR(O275/N275,0)</f>
        <v/>
      </c>
      <c r="Q275" s="31" t="n">
        <v>2299.370063</v>
      </c>
      <c r="R275" s="31" t="n">
        <v>9866.244296999999</v>
      </c>
      <c r="S275" s="38">
        <f>IFERROR(R275/Q275,0)</f>
        <v/>
      </c>
      <c r="T275" s="39">
        <f>IFERROR(Q275/SUMIF($A:$A,A275,$Q:$Q),0)</f>
        <v/>
      </c>
      <c r="U275" s="39">
        <f>IFERROR(Q275/F275,0)</f>
        <v/>
      </c>
      <c r="V275" s="35">
        <f>F275-R275</f>
        <v/>
      </c>
      <c r="W275" s="39">
        <f>IFERROR(V275/F275,0)</f>
        <v/>
      </c>
      <c r="X275" s="29" t="n">
        <v>288.917545</v>
      </c>
      <c r="Y275" s="31" t="n">
        <v>1448.007</v>
      </c>
      <c r="Z275" s="39">
        <f>IFERROR(Y275/G275,0)</f>
        <v/>
      </c>
      <c r="AA275" s="35">
        <f>Y275-K275/1.06</f>
        <v/>
      </c>
      <c r="AB275" s="39">
        <f>IFERROR(AA275/G275,0)</f>
        <v/>
      </c>
      <c r="AC275" s="31" t="n">
        <v>-993.773762</v>
      </c>
      <c r="AD275" s="39">
        <f>IFERROR(AC275/G275,0)</f>
        <v/>
      </c>
    </row>
    <row r="276">
      <c r="A276" s="27" t="inlineStr">
        <is>
          <t>7.20-7.26</t>
        </is>
      </c>
      <c r="B276" s="27" t="inlineStr">
        <is>
          <t>7.20-7.26</t>
        </is>
      </c>
      <c r="C276" s="34" t="n">
        <v>1057479227624</v>
      </c>
      <c r="D276" s="27" t="inlineStr">
        <is>
          <t>巴东牛肉</t>
        </is>
      </c>
      <c r="E276" s="27" t="inlineStr">
        <is>
          <t>【新口味】印尼进口营多捞面巴东炖牛肉味泡面方便面宿舍速食宵夜</t>
        </is>
      </c>
      <c r="F276" s="31" t="n">
        <v>3300.04000000001</v>
      </c>
      <c r="G276" s="35">
        <f>IFERROR(F276/1.13,0)</f>
        <v/>
      </c>
      <c r="H276" s="36" t="n">
        <v>176</v>
      </c>
      <c r="I276" s="37" t="n">
        <v>0.04636459430979979</v>
      </c>
      <c r="J276" s="38">
        <f>IFERROR(F276/H276,0)</f>
        <v/>
      </c>
      <c r="K276" s="31" t="n">
        <v>944.234225604297</v>
      </c>
      <c r="L276" s="31" t="n">
        <v>4698.32594449418</v>
      </c>
      <c r="M276" s="38">
        <f>IFERROR(L276/K276,0)</f>
        <v/>
      </c>
      <c r="N276" s="31" t="n">
        <v>94.12465532676811</v>
      </c>
      <c r="O276" s="31" t="n">
        <v>219.785890778872</v>
      </c>
      <c r="P276" s="38">
        <f>IFERROR(O276/N276,0)</f>
        <v/>
      </c>
      <c r="Q276" s="31" t="n">
        <v>1038.358881</v>
      </c>
      <c r="R276" s="31" t="n">
        <v>4918.111835</v>
      </c>
      <c r="S276" s="38">
        <f>IFERROR(R276/Q276,0)</f>
        <v/>
      </c>
      <c r="T276" s="39">
        <f>IFERROR(Q276/SUMIF($A:$A,A276,$Q:$Q),0)</f>
        <v/>
      </c>
      <c r="U276" s="39">
        <f>IFERROR(Q276/F276,0)</f>
        <v/>
      </c>
      <c r="V276" s="35">
        <f>F276-R276</f>
        <v/>
      </c>
      <c r="W276" s="39">
        <f>IFERROR(V276/F276,0)</f>
        <v/>
      </c>
      <c r="X276" s="29" t="n">
        <v>97.22655399999999</v>
      </c>
      <c r="Y276" s="31" t="n">
        <v>393.462</v>
      </c>
      <c r="Z276" s="39">
        <f>IFERROR(Y276/G276,0)</f>
        <v/>
      </c>
      <c r="AA276" s="35">
        <f>Y276-K276/1.06</f>
        <v/>
      </c>
      <c r="AB276" s="39">
        <f>IFERROR(AA276/G276,0)</f>
        <v/>
      </c>
      <c r="AC276" s="31" t="n">
        <v>-677.845014</v>
      </c>
      <c r="AD276" s="39">
        <f>IFERROR(AC276/G276,0)</f>
        <v/>
      </c>
    </row>
    <row r="277">
      <c r="A277" s="27" t="inlineStr">
        <is>
          <t>7.20-7.26</t>
        </is>
      </c>
      <c r="B277" s="27" t="inlineStr">
        <is>
          <t>7.20-7.26</t>
        </is>
      </c>
      <c r="C277" s="34" t="n">
        <v>1058280415678</v>
      </c>
      <c r="D277" s="27" t="inlineStr">
        <is>
          <t>巴东牛肉</t>
        </is>
      </c>
      <c r="E277" s="27" t="inlineStr">
        <is>
          <t>【新口味】印尼进口营多捞面巴东炖牛肉味泡面方便面宿舍速食宵夜</t>
        </is>
      </c>
      <c r="F277" s="31" t="n">
        <v>4379.9</v>
      </c>
      <c r="G277" s="35">
        <f>IFERROR(F277/1.13,0)</f>
        <v/>
      </c>
      <c r="H277" s="36" t="n">
        <v>152</v>
      </c>
      <c r="I277" s="37" t="n">
        <v>0.04004214963119072</v>
      </c>
      <c r="J277" s="38">
        <f>IFERROR(F277/H277,0)</f>
        <v/>
      </c>
      <c r="K277" s="31" t="n">
        <v>687.759122649955</v>
      </c>
      <c r="L277" s="31" t="n">
        <v>4094.49910474485</v>
      </c>
      <c r="M277" s="38">
        <f>IFERROR(L277/K277,0)</f>
        <v/>
      </c>
      <c r="N277" s="31" t="n">
        <v>83.26411817367951</v>
      </c>
      <c r="O277" s="31" t="n">
        <v>194.425980304387</v>
      </c>
      <c r="P277" s="38">
        <f>IFERROR(O277/N277,0)</f>
        <v/>
      </c>
      <c r="Q277" s="31" t="n">
        <v>771.023241</v>
      </c>
      <c r="R277" s="31" t="n">
        <v>4288.925085</v>
      </c>
      <c r="S277" s="38">
        <f>IFERROR(R277/Q277,0)</f>
        <v/>
      </c>
      <c r="T277" s="39">
        <f>IFERROR(Q277/SUMIF($A:$A,A277,$Q:$Q),0)</f>
        <v/>
      </c>
      <c r="U277" s="39">
        <f>IFERROR(Q277/F277,0)</f>
        <v/>
      </c>
      <c r="V277" s="35">
        <f>F277-R277</f>
        <v/>
      </c>
      <c r="W277" s="39">
        <f>IFERROR(V277/F277,0)</f>
        <v/>
      </c>
      <c r="X277" s="29" t="n">
        <v>83.968388</v>
      </c>
      <c r="Y277" s="31" t="n">
        <v>953.344000000001</v>
      </c>
      <c r="Z277" s="39">
        <f>IFERROR(Y277/G277,0)</f>
        <v/>
      </c>
      <c r="AA277" s="35">
        <f>Y277-K277/1.06</f>
        <v/>
      </c>
      <c r="AB277" s="39">
        <f>IFERROR(AA277/G277,0)</f>
        <v/>
      </c>
      <c r="AC277" s="31" t="n">
        <v>146.748124</v>
      </c>
      <c r="AD277" s="39">
        <f>IFERROR(AC277/G277,0)</f>
        <v/>
      </c>
    </row>
    <row r="278">
      <c r="A278" s="27" t="inlineStr">
        <is>
          <t>7.20-7.26</t>
        </is>
      </c>
      <c r="B278" s="27" t="inlineStr">
        <is>
          <t>7.20-7.26</t>
        </is>
      </c>
      <c r="C278" s="34" t="n">
        <v>648600900806</v>
      </c>
      <c r="D278" s="27" t="inlineStr">
        <is>
          <t>30包</t>
        </is>
      </c>
      <c r="E278" s="27" t="inlineStr">
        <is>
          <t>进口营多捞面一整箱30包网红速食方便面宿舍速食泡面干拌面拉面</t>
        </is>
      </c>
      <c r="F278" s="31" t="n">
        <v>6719.46</v>
      </c>
      <c r="G278" s="35">
        <f>IFERROR(F278/1.13,0)</f>
        <v/>
      </c>
      <c r="H278" s="36" t="n">
        <v>99</v>
      </c>
      <c r="I278" s="37" t="n">
        <v>0.02608008429926238</v>
      </c>
      <c r="J278" s="38">
        <f>IFERROR(F278/H278,0)</f>
        <v/>
      </c>
      <c r="K278" s="31" t="n">
        <v>1736.87211280215</v>
      </c>
      <c r="L278" s="31" t="n">
        <v>7156.73297224709</v>
      </c>
      <c r="M278" s="38">
        <f>IFERROR(L278/K278,0)</f>
        <v/>
      </c>
      <c r="N278" s="31" t="n">
        <v>47.0623276633841</v>
      </c>
      <c r="O278" s="31" t="n">
        <v>109.892945389436</v>
      </c>
      <c r="P278" s="38">
        <f>IFERROR(O278/N278,0)</f>
        <v/>
      </c>
      <c r="Q278" s="31" t="n">
        <v>1783.93444</v>
      </c>
      <c r="R278" s="31" t="n">
        <v>7266.625918</v>
      </c>
      <c r="S278" s="38">
        <f>IFERROR(R278/Q278,0)</f>
        <v/>
      </c>
      <c r="T278" s="39">
        <f>IFERROR(Q278/SUMIF($A:$A,A278,$Q:$Q),0)</f>
        <v/>
      </c>
      <c r="U278" s="39">
        <f>IFERROR(Q278/F278,0)</f>
        <v/>
      </c>
      <c r="V278" s="35">
        <f>F278-R278</f>
        <v/>
      </c>
      <c r="W278" s="39">
        <f>IFERROR(V278/F278,0)</f>
        <v/>
      </c>
      <c r="X278" s="29" t="n">
        <v>54.689937</v>
      </c>
      <c r="Y278" s="31" t="n">
        <v>1276.358</v>
      </c>
      <c r="Z278" s="39">
        <f>IFERROR(Y278/G278,0)</f>
        <v/>
      </c>
      <c r="AA278" s="35">
        <f>Y278-K278/1.06</f>
        <v/>
      </c>
      <c r="AB278" s="39">
        <f>IFERROR(AA278/G278,0)</f>
        <v/>
      </c>
      <c r="AC278" s="31" t="n">
        <v>-458.193299</v>
      </c>
      <c r="AD278" s="39">
        <f>IFERROR(AC278/G278,0)</f>
        <v/>
      </c>
    </row>
    <row r="279">
      <c r="A279" s="27" t="inlineStr">
        <is>
          <t>7.20-7.26</t>
        </is>
      </c>
      <c r="B279" s="27" t="inlineStr">
        <is>
          <t>7.20-7.26</t>
        </is>
      </c>
      <c r="C279" s="34" t="n">
        <v>649369494424</v>
      </c>
      <c r="D279" s="27" t="inlineStr">
        <is>
          <t>24包经典/牛系列</t>
        </is>
      </c>
      <c r="E279" s="27" t="inlineStr">
        <is>
          <t>营多捞面干拌面一整箱24袋装批发泡面混搭宿舍速食方便面火鸡面</t>
        </is>
      </c>
      <c r="F279" s="31" t="n">
        <v>4014.47</v>
      </c>
      <c r="G279" s="35">
        <f>IFERROR(F279/1.13,0)</f>
        <v/>
      </c>
      <c r="H279" s="36" t="n">
        <v>72</v>
      </c>
      <c r="I279" s="37" t="n">
        <v>0.01896733403582719</v>
      </c>
      <c r="J279" s="38">
        <f>IFERROR(F279/H279,0)</f>
        <v/>
      </c>
      <c r="K279" s="31" t="n">
        <v>477.892611160848</v>
      </c>
      <c r="L279" s="31" t="n">
        <v>2497.31695016413</v>
      </c>
      <c r="M279" s="38">
        <f>IFERROR(L279/K279,0)</f>
        <v/>
      </c>
      <c r="N279" s="31" t="n">
        <v>41.0286959116682</v>
      </c>
      <c r="O279" s="31" t="n">
        <v>95.80410623694419</v>
      </c>
      <c r="P279" s="38">
        <f>IFERROR(O279/N279,0)</f>
        <v/>
      </c>
      <c r="Q279" s="31" t="n">
        <v>518.921307</v>
      </c>
      <c r="R279" s="31" t="n">
        <v>2593.121056</v>
      </c>
      <c r="S279" s="38">
        <f>IFERROR(R279/Q279,0)</f>
        <v/>
      </c>
      <c r="T279" s="39">
        <f>IFERROR(Q279/SUMIF($A:$A,A279,$Q:$Q),0)</f>
        <v/>
      </c>
      <c r="U279" s="39">
        <f>IFERROR(Q279/F279,0)</f>
        <v/>
      </c>
      <c r="V279" s="35">
        <f>F279-R279</f>
        <v/>
      </c>
      <c r="W279" s="39">
        <f>IFERROR(V279/F279,0)</f>
        <v/>
      </c>
      <c r="X279" s="29" t="n">
        <v>39.774499</v>
      </c>
      <c r="Y279" s="31" t="n">
        <v>774.703000000001</v>
      </c>
      <c r="Z279" s="39">
        <f>IFERROR(Y279/G279,0)</f>
        <v/>
      </c>
      <c r="AA279" s="35">
        <f>Y279-K279/1.06</f>
        <v/>
      </c>
      <c r="AB279" s="39">
        <f>IFERROR(AA279/G279,0)</f>
        <v/>
      </c>
      <c r="AC279" s="31" t="n">
        <v>247.631484</v>
      </c>
      <c r="AD279" s="39">
        <f>IFERROR(AC279/G279,0)</f>
        <v/>
      </c>
    </row>
    <row r="280">
      <c r="A280" s="27" t="inlineStr">
        <is>
          <t>7.20-7.26</t>
        </is>
      </c>
      <c r="B280" s="27" t="inlineStr">
        <is>
          <t>7.20-7.26</t>
        </is>
      </c>
      <c r="C280" s="34" t="n">
        <v>1060999732877</v>
      </c>
      <c r="D280" s="27" t="inlineStr">
        <is>
          <t>原味大包</t>
        </is>
      </c>
      <c r="E280" s="27" t="inlineStr">
        <is>
          <t>indomie印尼进口营多原味大大包129g捞面方便面速食食品宵夜小吃</t>
        </is>
      </c>
      <c r="F280" s="31" t="n">
        <v>2057.03</v>
      </c>
      <c r="G280" s="35">
        <f>IFERROR(F280/1.13,0)</f>
        <v/>
      </c>
      <c r="H280" s="36" t="n">
        <v>71</v>
      </c>
      <c r="I280" s="37" t="n">
        <v>0.01870389884088514</v>
      </c>
      <c r="J280" s="38">
        <f>IFERROR(F280/H280,0)</f>
        <v/>
      </c>
      <c r="K280" s="31" t="n">
        <v>441.374810504327</v>
      </c>
      <c r="L280" s="31" t="n">
        <v>2613.22654133095</v>
      </c>
      <c r="M280" s="38">
        <f>IFERROR(L280/K280,0)</f>
        <v/>
      </c>
      <c r="N280" s="31" t="n">
        <v>38.6152432109818</v>
      </c>
      <c r="O280" s="31" t="n">
        <v>90.1685705759475</v>
      </c>
      <c r="P280" s="38">
        <f>IFERROR(O280/N280,0)</f>
        <v/>
      </c>
      <c r="Q280" s="31" t="n">
        <v>479.990054</v>
      </c>
      <c r="R280" s="31" t="n">
        <v>2703.395112</v>
      </c>
      <c r="S280" s="38">
        <f>IFERROR(R280/Q280,0)</f>
        <v/>
      </c>
      <c r="T280" s="39">
        <f>IFERROR(Q280/SUMIF($A:$A,A280,$Q:$Q),0)</f>
        <v/>
      </c>
      <c r="U280" s="39">
        <f>IFERROR(Q280/F280,0)</f>
        <v/>
      </c>
      <c r="V280" s="35">
        <f>F280-R280</f>
        <v/>
      </c>
      <c r="W280" s="39">
        <f>IFERROR(V280/F280,0)</f>
        <v/>
      </c>
      <c r="X280" s="29" t="n">
        <v>39.222076</v>
      </c>
      <c r="Y280" s="31" t="n">
        <v>450.416</v>
      </c>
      <c r="Z280" s="39">
        <f>IFERROR(Y280/G280,0)</f>
        <v/>
      </c>
      <c r="AA280" s="35">
        <f>Y280-K280/1.06</f>
        <v/>
      </c>
      <c r="AB280" s="39">
        <f>IFERROR(AA280/G280,0)</f>
        <v/>
      </c>
      <c r="AC280" s="31" t="n">
        <v>-39.406764</v>
      </c>
      <c r="AD280" s="39">
        <f>IFERROR(AC280/G280,0)</f>
        <v/>
      </c>
    </row>
    <row r="281">
      <c r="A281" s="27" t="inlineStr">
        <is>
          <t>7.20-7.26</t>
        </is>
      </c>
      <c r="B281" s="27" t="inlineStr">
        <is>
          <t>7.20-7.26</t>
        </is>
      </c>
      <c r="C281" s="34" t="n">
        <v>649014937782</v>
      </c>
      <c r="D281" s="27" t="inlineStr">
        <is>
          <t>原味大包</t>
        </is>
      </c>
      <c r="E281" s="27" t="inlineStr">
        <is>
          <t>indomie印尼进口营多原味大大包129g捞面方便面速食食品宵夜小吃</t>
        </is>
      </c>
      <c r="F281" s="31" t="n">
        <v>3471.15</v>
      </c>
      <c r="G281" s="35">
        <f>IFERROR(F281/1.13,0)</f>
        <v/>
      </c>
      <c r="H281" s="36" t="n">
        <v>62</v>
      </c>
      <c r="I281" s="37" t="n">
        <v>0.01633298208640674</v>
      </c>
      <c r="J281" s="38">
        <f>IFERROR(F281/H281,0)</f>
        <v/>
      </c>
      <c r="K281" s="31" t="n">
        <v>822.1992091912859</v>
      </c>
      <c r="L281" s="31" t="n">
        <v>3075.51572366458</v>
      </c>
      <c r="M281" s="38">
        <f>IFERROR(L281/K281,0)</f>
        <v/>
      </c>
      <c r="N281" s="31" t="n">
        <v>33.7883378096091</v>
      </c>
      <c r="O281" s="31" t="n">
        <v>78.89749925395409</v>
      </c>
      <c r="P281" s="38">
        <f>IFERROR(O281/N281,0)</f>
        <v/>
      </c>
      <c r="Q281" s="31" t="n">
        <v>855.9875469999999</v>
      </c>
      <c r="R281" s="31" t="n">
        <v>3154.413223</v>
      </c>
      <c r="S281" s="38">
        <f>IFERROR(R281/Q281,0)</f>
        <v/>
      </c>
      <c r="T281" s="39">
        <f>IFERROR(Q281/SUMIF($A:$A,A281,$Q:$Q),0)</f>
        <v/>
      </c>
      <c r="U281" s="39">
        <f>IFERROR(Q281/F281,0)</f>
        <v/>
      </c>
      <c r="V281" s="35">
        <f>F281-R281</f>
        <v/>
      </c>
      <c r="W281" s="39">
        <f>IFERROR(V281/F281,0)</f>
        <v/>
      </c>
      <c r="X281" s="29" t="n">
        <v>34.250263</v>
      </c>
      <c r="Y281" s="31" t="n">
        <v>663.587</v>
      </c>
      <c r="Z281" s="39">
        <f>IFERROR(Y281/G281,0)</f>
        <v/>
      </c>
      <c r="AA281" s="35">
        <f>Y281-K281/1.06</f>
        <v/>
      </c>
      <c r="AB281" s="39">
        <f>IFERROR(AA281/G281,0)</f>
        <v/>
      </c>
      <c r="AC281" s="31" t="n">
        <v>-176.259991</v>
      </c>
      <c r="AD281" s="39">
        <f>IFERROR(AC281/G281,0)</f>
        <v/>
      </c>
    </row>
    <row r="282">
      <c r="A282" s="27" t="inlineStr">
        <is>
          <t>7.20-7.26</t>
        </is>
      </c>
      <c r="B282" s="27" t="inlineStr">
        <is>
          <t>7.20-7.26</t>
        </is>
      </c>
      <c r="C282" s="34" t="n">
        <v>648598580775</v>
      </c>
      <c r="D282" s="27" t="inlineStr">
        <is>
          <t>原味大包</t>
        </is>
      </c>
      <c r="E282" s="27" t="inlineStr">
        <is>
          <t>印尼进口大大包营多原味捞面5包干拌面速食超大包方便面速食宵夜</t>
        </is>
      </c>
      <c r="F282" s="31" t="n">
        <v>2089.77</v>
      </c>
      <c r="G282" s="35">
        <f>IFERROR(F282/1.13,0)</f>
        <v/>
      </c>
      <c r="H282" s="36" t="n">
        <v>57</v>
      </c>
      <c r="I282" s="37" t="n">
        <v>0.01501580611169652</v>
      </c>
      <c r="J282" s="38">
        <f>IFERROR(F282/H282,0)</f>
        <v/>
      </c>
      <c r="K282" s="31" t="n">
        <v>400.237508206506</v>
      </c>
      <c r="L282" s="31" t="n">
        <v>1430.6201104148</v>
      </c>
      <c r="M282" s="38">
        <f>IFERROR(L282/K282,0)</f>
        <v/>
      </c>
      <c r="N282" s="31" t="n">
        <v>30.1681587585795</v>
      </c>
      <c r="O282" s="31" t="n">
        <v>70.444195762459</v>
      </c>
      <c r="P282" s="38">
        <f>IFERROR(O282/N282,0)</f>
        <v/>
      </c>
      <c r="Q282" s="31" t="n">
        <v>430.405667</v>
      </c>
      <c r="R282" s="31" t="n">
        <v>1501.064306</v>
      </c>
      <c r="S282" s="38">
        <f>IFERROR(R282/Q282,0)</f>
        <v/>
      </c>
      <c r="T282" s="39">
        <f>IFERROR(Q282/SUMIF($A:$A,A282,$Q:$Q),0)</f>
        <v/>
      </c>
      <c r="U282" s="39">
        <f>IFERROR(Q282/F282,0)</f>
        <v/>
      </c>
      <c r="V282" s="35">
        <f>F282-R282</f>
        <v/>
      </c>
      <c r="W282" s="39">
        <f>IFERROR(V282/F282,0)</f>
        <v/>
      </c>
      <c r="X282" s="29" t="n">
        <v>31.488145</v>
      </c>
      <c r="Y282" s="31" t="n">
        <v>355.677</v>
      </c>
      <c r="Z282" s="39">
        <f>IFERROR(Y282/G282,0)</f>
        <v/>
      </c>
      <c r="AA282" s="35">
        <f>Y282-K282/1.06</f>
        <v/>
      </c>
      <c r="AB282" s="39">
        <f>IFERROR(AA282/G282,0)</f>
        <v/>
      </c>
      <c r="AC282" s="31" t="n">
        <v>-80.07187999999999</v>
      </c>
      <c r="AD282" s="39">
        <f>IFERROR(AC282/G282,0)</f>
        <v/>
      </c>
    </row>
    <row r="283">
      <c r="A283" s="27" t="inlineStr">
        <is>
          <t>7.20-7.26</t>
        </is>
      </c>
      <c r="B283" s="27" t="inlineStr">
        <is>
          <t>7.20-7.26</t>
        </is>
      </c>
      <c r="C283" s="34" t="n">
        <v>648681860568</v>
      </c>
      <c r="D283" s="27" t="inlineStr">
        <is>
          <t>杯面次链接</t>
        </is>
      </c>
      <c r="E283" s="27" t="inlineStr">
        <is>
          <t>营多捞面杯装方便面泡面速食干拌面原味整箱批发印尼进口桶装拌面</t>
        </is>
      </c>
      <c r="F283" s="31" t="n">
        <v>1154.67</v>
      </c>
      <c r="G283" s="35">
        <f>IFERROR(F283/1.13,0)</f>
        <v/>
      </c>
      <c r="H283" s="36" t="n">
        <v>49</v>
      </c>
      <c r="I283" s="37" t="n">
        <v>0.01290832455216017</v>
      </c>
      <c r="J283" s="38">
        <f>IFERROR(F283/H283,0)</f>
        <v/>
      </c>
      <c r="K283" s="31" t="n">
        <v>147.802757385855</v>
      </c>
      <c r="L283" s="31" t="n">
        <v>712.7070993733209</v>
      </c>
      <c r="M283" s="38">
        <f>IFERROR(L283/K283,0)</f>
        <v/>
      </c>
      <c r="N283" s="31" t="n">
        <v>27.1513428827216</v>
      </c>
      <c r="O283" s="31" t="n">
        <v>63.3997761862131</v>
      </c>
      <c r="P283" s="38">
        <f>IFERROR(O283/N283,0)</f>
        <v/>
      </c>
      <c r="Q283" s="31" t="n">
        <v>174.9541</v>
      </c>
      <c r="R283" s="31" t="n">
        <v>776.1068760000001</v>
      </c>
      <c r="S283" s="38">
        <f>IFERROR(R283/Q283,0)</f>
        <v/>
      </c>
      <c r="T283" s="39">
        <f>IFERROR(Q283/SUMIF($A:$A,A283,$Q:$Q),0)</f>
        <v/>
      </c>
      <c r="U283" s="39">
        <f>IFERROR(Q283/F283,0)</f>
        <v/>
      </c>
      <c r="V283" s="35">
        <f>F283-R283</f>
        <v/>
      </c>
      <c r="W283" s="39">
        <f>IFERROR(V283/F283,0)</f>
        <v/>
      </c>
      <c r="X283" s="29" t="n">
        <v>27.068757</v>
      </c>
      <c r="Y283" s="31" t="n">
        <v>81.669</v>
      </c>
      <c r="Z283" s="39">
        <f>IFERROR(Y283/G283,0)</f>
        <v/>
      </c>
      <c r="AA283" s="35">
        <f>Y283-K283/1.06</f>
        <v/>
      </c>
      <c r="AB283" s="39">
        <f>IFERROR(AA283/G283,0)</f>
        <v/>
      </c>
      <c r="AC283" s="31" t="n">
        <v>-108.918601</v>
      </c>
      <c r="AD283" s="39">
        <f>IFERROR(AC283/G283,0)</f>
        <v/>
      </c>
    </row>
    <row r="284">
      <c r="A284" s="27" t="inlineStr">
        <is>
          <t>7.20-7.26</t>
        </is>
      </c>
      <c r="B284" s="27" t="inlineStr">
        <is>
          <t>7.20-7.26</t>
        </is>
      </c>
      <c r="C284" s="34" t="n">
        <v>1013887677295</v>
      </c>
      <c r="D284" s="27" t="inlineStr">
        <is>
          <t>原味大包</t>
        </is>
      </c>
      <c r="E284" s="27" t="inlineStr">
        <is>
          <t>indomie印尼进口营多原味大大包129g捞面方便面速食食品宵夜小吃</t>
        </is>
      </c>
      <c r="F284" s="31" t="n">
        <v>1044.58</v>
      </c>
      <c r="G284" s="35">
        <f>IFERROR(F284/1.13,0)</f>
        <v/>
      </c>
      <c r="H284" s="36" t="n">
        <v>35</v>
      </c>
      <c r="I284" s="37" t="n">
        <v>0.009220231822971549</v>
      </c>
      <c r="J284" s="38">
        <f>IFERROR(F284/H284,0)</f>
        <v/>
      </c>
      <c r="K284" s="31" t="n">
        <v>338.002405252164</v>
      </c>
      <c r="L284" s="31" t="n">
        <v>691.003270665473</v>
      </c>
      <c r="M284" s="38">
        <f>IFERROR(L284/K284,0)</f>
        <v/>
      </c>
      <c r="N284" s="31" t="n">
        <v>19.3076216054909</v>
      </c>
      <c r="O284" s="31" t="n">
        <v>45.0842852879737</v>
      </c>
      <c r="P284" s="38">
        <f>IFERROR(O284/N284,0)</f>
        <v/>
      </c>
      <c r="Q284" s="31" t="n">
        <v>357.310027</v>
      </c>
      <c r="R284" s="31" t="n">
        <v>736.0875559999999</v>
      </c>
      <c r="S284" s="38">
        <f>IFERROR(R284/Q284,0)</f>
        <v/>
      </c>
      <c r="T284" s="39">
        <f>IFERROR(Q284/SUMIF($A:$A,A284,$Q:$Q),0)</f>
        <v/>
      </c>
      <c r="U284" s="39">
        <f>IFERROR(Q284/F284,0)</f>
        <v/>
      </c>
      <c r="V284" s="35">
        <f>F284-R284</f>
        <v/>
      </c>
      <c r="W284" s="39">
        <f>IFERROR(V284/F284,0)</f>
        <v/>
      </c>
      <c r="X284" s="29" t="n">
        <v>19.334826</v>
      </c>
      <c r="Y284" s="31" t="n">
        <v>132.346</v>
      </c>
      <c r="Z284" s="39">
        <f>IFERROR(Y284/G284,0)</f>
        <v/>
      </c>
      <c r="AA284" s="35">
        <f>Y284-K284/1.06</f>
        <v/>
      </c>
      <c r="AB284" s="39">
        <f>IFERROR(AA284/G284,0)</f>
        <v/>
      </c>
      <c r="AC284" s="31" t="n">
        <v>-222.979333</v>
      </c>
      <c r="AD284" s="39">
        <f>IFERROR(AC284/G284,0)</f>
        <v/>
      </c>
    </row>
    <row r="285">
      <c r="A285" s="27" t="inlineStr">
        <is>
          <t>7.20-7.26</t>
        </is>
      </c>
      <c r="B285" s="27" t="inlineStr">
        <is>
          <t>7.20-7.26</t>
        </is>
      </c>
      <c r="C285" s="34" t="n">
        <v>929504658691</v>
      </c>
      <c r="D285" s="27" t="inlineStr">
        <is>
          <t>巴东牛肉</t>
        </is>
      </c>
      <c r="E285" s="27" t="inlineStr">
        <is>
          <t>营多进口新口味巴东炖牛肉味捞面印尼料理方便面泡面捞面夜宵速食</t>
        </is>
      </c>
      <c r="F285" s="31" t="n">
        <v>652.61</v>
      </c>
      <c r="G285" s="35">
        <f>IFERROR(F285/1.13,0)</f>
        <v/>
      </c>
      <c r="H285" s="36" t="n">
        <v>30</v>
      </c>
      <c r="I285" s="37" t="n">
        <v>0.007903055848261328</v>
      </c>
      <c r="J285" s="38">
        <f>IFERROR(F285/H285,0)</f>
        <v/>
      </c>
      <c r="K285" s="31" t="n">
        <v>117.583754103253</v>
      </c>
      <c r="L285" s="31" t="n">
        <v>650.365055207401</v>
      </c>
      <c r="M285" s="38">
        <f>IFERROR(L285/K285,0)</f>
        <v/>
      </c>
      <c r="N285" s="31" t="n">
        <v>15.0840793792898</v>
      </c>
      <c r="O285" s="31" t="n">
        <v>35.2220978812295</v>
      </c>
      <c r="P285" s="38">
        <f>IFERROR(O285/N285,0)</f>
        <v/>
      </c>
      <c r="Q285" s="31" t="n">
        <v>132.667833</v>
      </c>
      <c r="R285" s="31" t="n">
        <v>685.5871529999999</v>
      </c>
      <c r="S285" s="38">
        <f>IFERROR(R285/Q285,0)</f>
        <v/>
      </c>
      <c r="T285" s="39">
        <f>IFERROR(Q285/SUMIF($A:$A,A285,$Q:$Q),0)</f>
        <v/>
      </c>
      <c r="U285" s="39">
        <f>IFERROR(Q285/F285,0)</f>
        <v/>
      </c>
      <c r="V285" s="35">
        <f>F285-R285</f>
        <v/>
      </c>
      <c r="W285" s="39">
        <f>IFERROR(V285/F285,0)</f>
        <v/>
      </c>
      <c r="X285" s="29" t="n">
        <v>16.572708</v>
      </c>
      <c r="Y285" s="31" t="n">
        <v>84.169</v>
      </c>
      <c r="Z285" s="39">
        <f>IFERROR(Y285/G285,0)</f>
        <v/>
      </c>
      <c r="AA285" s="35">
        <f>Y285-K285/1.06</f>
        <v/>
      </c>
      <c r="AB285" s="39">
        <f>IFERROR(AA285/G285,0)</f>
        <v/>
      </c>
      <c r="AC285" s="31" t="n">
        <v>-56.623964</v>
      </c>
      <c r="AD285" s="39">
        <f>IFERROR(AC285/G285,0)</f>
        <v/>
      </c>
    </row>
    <row r="286">
      <c r="A286" s="27" t="inlineStr">
        <is>
          <t>7.20-7.26</t>
        </is>
      </c>
      <c r="B286" s="27" t="inlineStr">
        <is>
          <t>7.20-7.26</t>
        </is>
      </c>
      <c r="C286" s="34" t="n">
        <v>744317232690</v>
      </c>
      <c r="D286" s="27" t="inlineStr">
        <is>
          <t>多规格</t>
        </is>
      </c>
      <c r="E286" s="27" t="inlineStr">
        <is>
          <t>营多捞面汤面清香牛肉味方便面泡面速食食品泡面拉面整箱旅行宿舍</t>
        </is>
      </c>
      <c r="F286" s="31" t="n">
        <v>727.99</v>
      </c>
      <c r="G286" s="35">
        <f>IFERROR(F286/1.13,0)</f>
        <v/>
      </c>
      <c r="H286" s="36" t="n">
        <v>26</v>
      </c>
      <c r="I286" s="37" t="n">
        <v>0.00684931506849315</v>
      </c>
      <c r="J286" s="38">
        <f>IFERROR(F286/H286,0)</f>
        <v/>
      </c>
      <c r="K286" s="31" t="n">
        <v>62.9537541032528</v>
      </c>
      <c r="L286" s="31" t="n">
        <v>560.375055207401</v>
      </c>
      <c r="M286" s="38">
        <f>IFERROR(L286/K286,0)</f>
        <v/>
      </c>
      <c r="N286" s="31" t="n">
        <v>15.0840793792898</v>
      </c>
      <c r="O286" s="31" t="n">
        <v>35.2220978812295</v>
      </c>
      <c r="P286" s="38">
        <f>IFERROR(O286/N286,0)</f>
        <v/>
      </c>
      <c r="Q286" s="31" t="n">
        <v>78.03783300000001</v>
      </c>
      <c r="R286" s="31" t="n">
        <v>595.597153</v>
      </c>
      <c r="S286" s="38">
        <f>IFERROR(R286/Q286,0)</f>
        <v/>
      </c>
      <c r="T286" s="39">
        <f>IFERROR(Q286/SUMIF($A:$A,A286,$Q:$Q),0)</f>
        <v/>
      </c>
      <c r="U286" s="39">
        <f>IFERROR(Q286/F286,0)</f>
        <v/>
      </c>
      <c r="V286" s="35">
        <f>F286-R286</f>
        <v/>
      </c>
      <c r="W286" s="39">
        <f>IFERROR(V286/F286,0)</f>
        <v/>
      </c>
      <c r="X286" s="29" t="n">
        <v>14.363014</v>
      </c>
      <c r="Y286" s="31" t="n">
        <v>102.862</v>
      </c>
      <c r="Z286" s="39">
        <f>IFERROR(Y286/G286,0)</f>
        <v/>
      </c>
      <c r="AA286" s="35">
        <f>Y286-K286/1.06</f>
        <v/>
      </c>
      <c r="AB286" s="39">
        <f>IFERROR(AA286/G286,0)</f>
        <v/>
      </c>
      <c r="AC286" s="31" t="n">
        <v>15.691389</v>
      </c>
      <c r="AD286" s="39">
        <f>IFERROR(AC286/G286,0)</f>
        <v/>
      </c>
    </row>
    <row r="287">
      <c r="A287" s="27" t="inlineStr">
        <is>
          <t>7.20-7.26</t>
        </is>
      </c>
      <c r="B287" s="27" t="inlineStr">
        <is>
          <t>7.20-7.26</t>
        </is>
      </c>
      <c r="C287" s="34" t="n">
        <v>969423151512</v>
      </c>
      <c r="D287" s="27" t="inlineStr">
        <is>
          <t>日韩混搭</t>
        </is>
      </c>
      <c r="E287" s="27" t="inlineStr">
        <is>
          <t>营多捞面甜辣炸鸡火鸡面辣蘑菇泡面方便面速食干拌面宿舍宵夜旅行</t>
        </is>
      </c>
      <c r="F287" s="31" t="n">
        <v>538.1900000000001</v>
      </c>
      <c r="G287" s="35">
        <f>IFERROR(F287/1.13,0)</f>
        <v/>
      </c>
      <c r="H287" s="36" t="n">
        <v>26</v>
      </c>
      <c r="I287" s="37" t="n">
        <v>0.00684931506849315</v>
      </c>
      <c r="J287" s="38">
        <f>IFERROR(F287/H287,0)</f>
        <v/>
      </c>
      <c r="K287" s="31" t="n">
        <v>79.1098537749926</v>
      </c>
      <c r="L287" s="31" t="n">
        <v>247.539850790809</v>
      </c>
      <c r="M287" s="38">
        <f>IFERROR(L287/K287,0)</f>
        <v/>
      </c>
      <c r="N287" s="31" t="n">
        <v>13.8773530289466</v>
      </c>
      <c r="O287" s="31" t="n">
        <v>32.4043300507311</v>
      </c>
      <c r="P287" s="38">
        <f>IFERROR(O287/N287,0)</f>
        <v/>
      </c>
      <c r="Q287" s="31" t="n">
        <v>92.987207</v>
      </c>
      <c r="R287" s="31" t="n">
        <v>279.944181</v>
      </c>
      <c r="S287" s="38">
        <f>IFERROR(R287/Q287,0)</f>
        <v/>
      </c>
      <c r="T287" s="39">
        <f>IFERROR(Q287/SUMIF($A:$A,A287,$Q:$Q),0)</f>
        <v/>
      </c>
      <c r="U287" s="39">
        <f>IFERROR(Q287/F287,0)</f>
        <v/>
      </c>
      <c r="V287" s="35">
        <f>F287-R287</f>
        <v/>
      </c>
      <c r="W287" s="39">
        <f>IFERROR(V287/F287,0)</f>
        <v/>
      </c>
      <c r="X287" s="29" t="n">
        <v>14.363014</v>
      </c>
      <c r="Y287" s="31" t="n">
        <v>99.851</v>
      </c>
      <c r="Z287" s="39">
        <f>IFERROR(Y287/G287,0)</f>
        <v/>
      </c>
      <c r="AA287" s="35">
        <f>Y287-K287/1.06</f>
        <v/>
      </c>
      <c r="AB287" s="39">
        <f>IFERROR(AA287/G287,0)</f>
        <v/>
      </c>
      <c r="AC287" s="31" t="n">
        <v>-1.422793</v>
      </c>
      <c r="AD287" s="39">
        <f>IFERROR(AC287/G287,0)</f>
        <v/>
      </c>
    </row>
    <row r="288">
      <c r="A288" s="27" t="inlineStr">
        <is>
          <t>7.20-7.26</t>
        </is>
      </c>
      <c r="B288" s="27" t="inlineStr">
        <is>
          <t>7.20-7.26</t>
        </is>
      </c>
      <c r="C288" s="34" t="n">
        <v>1059563993918</v>
      </c>
      <c r="D288" s="27" t="inlineStr">
        <is>
          <t>巴东牛肉</t>
        </is>
      </c>
      <c r="E288" s="27" t="inlineStr">
        <is>
          <t>营多进口新口味巴东炖牛肉味捞面印尼料理方便面泡面捞面夜宵速食</t>
        </is>
      </c>
      <c r="F288" s="31" t="n">
        <v>248.5</v>
      </c>
      <c r="G288" s="35">
        <f>IFERROR(F288/1.13,0)</f>
        <v/>
      </c>
      <c r="H288" s="36" t="n">
        <v>15</v>
      </c>
      <c r="I288" s="37" t="n">
        <v>0.003951527924130664</v>
      </c>
      <c r="J288" s="38">
        <f>IFERROR(F288/H288,0)</f>
        <v/>
      </c>
      <c r="K288" s="31" t="n">
        <v>35.7873022978216</v>
      </c>
      <c r="L288" s="31" t="n">
        <v>223.526430916144</v>
      </c>
      <c r="M288" s="38">
        <f>IFERROR(L288/K288,0)</f>
        <v/>
      </c>
      <c r="N288" s="31" t="n">
        <v>8.447084452402271</v>
      </c>
      <c r="O288" s="31" t="n">
        <v>19.7243748134885</v>
      </c>
      <c r="P288" s="38">
        <f>IFERROR(O288/N288,0)</f>
        <v/>
      </c>
      <c r="Q288" s="31" t="n">
        <v>44.234387</v>
      </c>
      <c r="R288" s="31" t="n">
        <v>243.250806</v>
      </c>
      <c r="S288" s="38">
        <f>IFERROR(R288/Q288,0)</f>
        <v/>
      </c>
      <c r="T288" s="39">
        <f>IFERROR(Q288/SUMIF($A:$A,A288,$Q:$Q),0)</f>
        <v/>
      </c>
      <c r="U288" s="39">
        <f>IFERROR(Q288/F288,0)</f>
        <v/>
      </c>
      <c r="V288" s="35">
        <f>F288-R288</f>
        <v/>
      </c>
      <c r="W288" s="39">
        <f>IFERROR(V288/F288,0)</f>
        <v/>
      </c>
      <c r="X288" s="29" t="n">
        <v>8.286353999999999</v>
      </c>
      <c r="Y288" s="31" t="n">
        <v>21.61</v>
      </c>
      <c r="Z288" s="39">
        <f>IFERROR(Y288/G288,0)</f>
        <v/>
      </c>
      <c r="AA288" s="35">
        <f>Y288-K288/1.06</f>
        <v/>
      </c>
      <c r="AB288" s="39">
        <f>IFERROR(AA288/G288,0)</f>
        <v/>
      </c>
      <c r="AC288" s="31" t="n">
        <v>-27.937869</v>
      </c>
      <c r="AD288" s="39">
        <f>IFERROR(AC288/G288,0)</f>
        <v/>
      </c>
    </row>
    <row r="289">
      <c r="A289" s="27" t="inlineStr">
        <is>
          <t>7.20-7.26</t>
        </is>
      </c>
      <c r="B289" s="27" t="inlineStr">
        <is>
          <t>7.20-7.26</t>
        </is>
      </c>
      <c r="C289" s="34" t="n">
        <v>735014804839</v>
      </c>
      <c r="D289" s="27" t="inlineStr">
        <is>
          <t>24/30包</t>
        </is>
      </c>
      <c r="E289" s="27" t="inlineStr">
        <is>
          <t>进口营多捞面多口味Indomie网红方便面干拌面泡面30包整箱批发面</t>
        </is>
      </c>
      <c r="F289" s="31" t="n">
        <v>1037.08</v>
      </c>
      <c r="G289" s="35">
        <f>IFERROR(F289/1.13,0)</f>
        <v/>
      </c>
      <c r="H289" s="36" t="n">
        <v>15</v>
      </c>
      <c r="I289" s="37" t="n">
        <v>0.003951527924130664</v>
      </c>
      <c r="J289" s="38">
        <f>IFERROR(F289/H289,0)</f>
        <v/>
      </c>
      <c r="K289" s="31" t="n">
        <v>230.237302297822</v>
      </c>
      <c r="L289" s="31" t="n">
        <v>847.666430916144</v>
      </c>
      <c r="M289" s="38">
        <f>IFERROR(L289/K289,0)</f>
        <v/>
      </c>
      <c r="N289" s="31" t="n">
        <v>8.447084452402271</v>
      </c>
      <c r="O289" s="31" t="n">
        <v>19.7243748134885</v>
      </c>
      <c r="P289" s="38">
        <f>IFERROR(O289/N289,0)</f>
        <v/>
      </c>
      <c r="Q289" s="31" t="n">
        <v>238.684387</v>
      </c>
      <c r="R289" s="31" t="n">
        <v>867.390806</v>
      </c>
      <c r="S289" s="38">
        <f>IFERROR(R289/Q289,0)</f>
        <v/>
      </c>
      <c r="T289" s="39">
        <f>IFERROR(Q289/SUMIF($A:$A,A289,$Q:$Q),0)</f>
        <v/>
      </c>
      <c r="U289" s="39">
        <f>IFERROR(Q289/F289,0)</f>
        <v/>
      </c>
      <c r="V289" s="35">
        <f>F289-R289</f>
        <v/>
      </c>
      <c r="W289" s="39">
        <f>IFERROR(V289/F289,0)</f>
        <v/>
      </c>
      <c r="X289" s="29" t="n">
        <v>8.286353999999999</v>
      </c>
      <c r="Y289" s="31" t="n">
        <v>210.279</v>
      </c>
      <c r="Z289" s="39">
        <f>IFERROR(Y289/G289,0)</f>
        <v/>
      </c>
      <c r="AA289" s="35">
        <f>Y289-K289/1.06</f>
        <v/>
      </c>
      <c r="AB289" s="39">
        <f>IFERROR(AA289/G289,0)</f>
        <v/>
      </c>
      <c r="AC289" s="31" t="n">
        <v>-22.712265</v>
      </c>
      <c r="AD289" s="39">
        <f>IFERROR(AC289/G289,0)</f>
        <v/>
      </c>
    </row>
    <row r="290">
      <c r="A290" s="27" t="inlineStr">
        <is>
          <t>7.20-7.26</t>
        </is>
      </c>
      <c r="B290" s="27" t="inlineStr">
        <is>
          <t>7.20-7.26</t>
        </is>
      </c>
      <c r="C290" s="34" t="n">
        <v>766165464414</v>
      </c>
      <c r="D290" s="27" t="inlineStr">
        <is>
          <t>12包</t>
        </is>
      </c>
      <c r="E290" s="27" t="inlineStr">
        <is>
          <t>营多印尼进口营多捞面方便面火鸡面干拌面12包宿舍速食泡面夜宵</t>
        </is>
      </c>
      <c r="F290" s="31" t="n">
        <v>435.57</v>
      </c>
      <c r="G290" s="35">
        <f>IFERROR(F290/1.13,0)</f>
        <v/>
      </c>
      <c r="H290" s="36" t="n">
        <v>15</v>
      </c>
      <c r="I290" s="37" t="n">
        <v>0.003951527924130664</v>
      </c>
      <c r="J290" s="38">
        <f>IFERROR(F290/H290,0)</f>
        <v/>
      </c>
      <c r="K290" s="31" t="n">
        <v>12.3503521336915</v>
      </c>
      <c r="L290" s="31" t="n">
        <v>65.07382870784831</v>
      </c>
      <c r="M290" s="38">
        <f>IFERROR(L290/K290,0)</f>
        <v/>
      </c>
      <c r="N290" s="31" t="n">
        <v>7.84372127723068</v>
      </c>
      <c r="O290" s="31" t="n">
        <v>18.3154908982393</v>
      </c>
      <c r="P290" s="38">
        <f>IFERROR(O290/N290,0)</f>
        <v/>
      </c>
      <c r="Q290" s="31" t="n">
        <v>20.194073</v>
      </c>
      <c r="R290" s="31" t="n">
        <v>83.38932</v>
      </c>
      <c r="S290" s="38">
        <f>IFERROR(R290/Q290,0)</f>
        <v/>
      </c>
      <c r="T290" s="39">
        <f>IFERROR(Q290/SUMIF($A:$A,A290,$Q:$Q),0)</f>
        <v/>
      </c>
      <c r="U290" s="39">
        <f>IFERROR(Q290/F290,0)</f>
        <v/>
      </c>
      <c r="V290" s="35">
        <f>F290-R290</f>
        <v/>
      </c>
      <c r="W290" s="39">
        <f>IFERROR(V290/F290,0)</f>
        <v/>
      </c>
      <c r="X290" s="29" t="n">
        <v>8.286353999999999</v>
      </c>
      <c r="Y290" s="31" t="n">
        <v>60.107</v>
      </c>
      <c r="Z290" s="39">
        <f>IFERROR(Y290/G290,0)</f>
        <v/>
      </c>
      <c r="AA290" s="35">
        <f>Y290-K290/1.06</f>
        <v/>
      </c>
      <c r="AB290" s="39">
        <f>IFERROR(AA290/G290,0)</f>
        <v/>
      </c>
      <c r="AC290" s="31" t="n">
        <v>33.238672</v>
      </c>
      <c r="AD290" s="39">
        <f>IFERROR(AC290/G290,0)</f>
        <v/>
      </c>
    </row>
    <row r="291">
      <c r="A291" s="27" t="inlineStr">
        <is>
          <t>7.20-7.26</t>
        </is>
      </c>
      <c r="B291" s="27" t="inlineStr">
        <is>
          <t>7.20-7.26</t>
        </is>
      </c>
      <c r="C291" s="34" t="n">
        <v>886856687067</v>
      </c>
      <c r="D291" s="27" t="inlineStr">
        <is>
          <t>大骨</t>
        </is>
      </c>
      <c r="E291" s="27" t="inlineStr">
        <is>
          <t>营多捞面牛系列大骨牛肉味方便面食品泡面拉面汤面宿舍宵夜旅行</t>
        </is>
      </c>
      <c r="F291" s="31" t="n">
        <v>241.93</v>
      </c>
      <c r="G291" s="35">
        <f>IFERROR(F291/1.13,0)</f>
        <v/>
      </c>
      <c r="H291" s="36" t="n">
        <v>13</v>
      </c>
      <c r="I291" s="37" t="n">
        <v>0.003424657534246575</v>
      </c>
      <c r="J291" s="38">
        <f>IFERROR(F291/H291,0)</f>
        <v/>
      </c>
      <c r="K291" s="31" t="n">
        <v>10.4964518054312</v>
      </c>
      <c r="L291" s="31" t="n">
        <v>23.5986242912563</v>
      </c>
      <c r="M291" s="38">
        <f>IFERROR(L291/K291,0)</f>
        <v/>
      </c>
      <c r="N291" s="31" t="n">
        <v>6.6369949268875</v>
      </c>
      <c r="O291" s="31" t="n">
        <v>15.497723067741</v>
      </c>
      <c r="P291" s="38">
        <f>IFERROR(O291/N291,0)</f>
        <v/>
      </c>
      <c r="Q291" s="31" t="n">
        <v>17.133447</v>
      </c>
      <c r="R291" s="31" t="n">
        <v>39.096347</v>
      </c>
      <c r="S291" s="38">
        <f>IFERROR(R291/Q291,0)</f>
        <v/>
      </c>
      <c r="T291" s="39">
        <f>IFERROR(Q291/SUMIF($A:$A,A291,$Q:$Q),0)</f>
        <v/>
      </c>
      <c r="U291" s="39">
        <f>IFERROR(Q291/F291,0)</f>
        <v/>
      </c>
      <c r="V291" s="35">
        <f>F291-R291</f>
        <v/>
      </c>
      <c r="W291" s="39">
        <f>IFERROR(V291/F291,0)</f>
        <v/>
      </c>
      <c r="X291" s="29" t="n">
        <v>7.181507</v>
      </c>
      <c r="Y291" s="31" t="n">
        <v>31.483</v>
      </c>
      <c r="Z291" s="39">
        <f>IFERROR(Y291/G291,0)</f>
        <v/>
      </c>
      <c r="AA291" s="35">
        <f>Y291-K291/1.06</f>
        <v/>
      </c>
      <c r="AB291" s="39">
        <f>IFERROR(AA291/G291,0)</f>
        <v/>
      </c>
      <c r="AC291" s="31" t="n">
        <v>8.544365000000001</v>
      </c>
      <c r="AD291" s="39">
        <f>IFERROR(AC291/G291,0)</f>
        <v/>
      </c>
    </row>
    <row r="292">
      <c r="A292" s="27" t="inlineStr">
        <is>
          <t>7.20-7.26</t>
        </is>
      </c>
      <c r="B292" s="27" t="inlineStr">
        <is>
          <t>7.20-7.26</t>
        </is>
      </c>
      <c r="C292" s="34" t="n">
        <v>898076297965</v>
      </c>
      <c r="D292" s="27" t="inlineStr">
        <is>
          <t>番茄牛肉</t>
        </is>
      </c>
      <c r="E292" s="27" t="inlineStr">
        <is>
          <t>进口正品意面风味奶香番茄牛肉味意式拌面营多捞面早餐儿童宝妈餐</t>
        </is>
      </c>
      <c r="F292" s="31" t="n">
        <v>193.26</v>
      </c>
      <c r="G292" s="35">
        <f>IFERROR(F292/1.13,0)</f>
        <v/>
      </c>
      <c r="H292" s="36" t="n">
        <v>11</v>
      </c>
      <c r="I292" s="37" t="n">
        <v>0.002897787144362487</v>
      </c>
      <c r="J292" s="38">
        <f>IFERROR(F292/H292,0)</f>
        <v/>
      </c>
      <c r="K292" s="31" t="n">
        <v>23.3095016413011</v>
      </c>
      <c r="L292" s="31" t="n">
        <v>138.98602208296</v>
      </c>
      <c r="M292" s="38">
        <f>IFERROR(L292/K292,0)</f>
        <v/>
      </c>
      <c r="N292" s="31" t="n">
        <v>6.03363175171591</v>
      </c>
      <c r="O292" s="31" t="n">
        <v>14.0888391524918</v>
      </c>
      <c r="P292" s="38">
        <f>IFERROR(O292/N292,0)</f>
        <v/>
      </c>
      <c r="Q292" s="31" t="n">
        <v>29.343133</v>
      </c>
      <c r="R292" s="31" t="n">
        <v>153.074861</v>
      </c>
      <c r="S292" s="38">
        <f>IFERROR(R292/Q292,0)</f>
        <v/>
      </c>
      <c r="T292" s="39">
        <f>IFERROR(Q292/SUMIF($A:$A,A292,$Q:$Q),0)</f>
        <v/>
      </c>
      <c r="U292" s="39">
        <f>IFERROR(Q292/F292,0)</f>
        <v/>
      </c>
      <c r="V292" s="35">
        <f>F292-R292</f>
        <v/>
      </c>
      <c r="W292" s="39">
        <f>IFERROR(V292/F292,0)</f>
        <v/>
      </c>
      <c r="X292" s="29" t="n">
        <v>6.07666</v>
      </c>
      <c r="Y292" s="31" t="n">
        <v>13.575</v>
      </c>
      <c r="Z292" s="39">
        <f>IFERROR(Y292/G292,0)</f>
        <v/>
      </c>
      <c r="AA292" s="35">
        <f>Y292-K292/1.06</f>
        <v/>
      </c>
      <c r="AB292" s="39">
        <f>IFERROR(AA292/G292,0)</f>
        <v/>
      </c>
      <c r="AC292" s="31" t="n">
        <v>-19.839899</v>
      </c>
      <c r="AD292" s="39">
        <f>IFERROR(AC292/G292,0)</f>
        <v/>
      </c>
    </row>
    <row r="293">
      <c r="A293" s="27" t="inlineStr">
        <is>
          <t>7.20-7.26</t>
        </is>
      </c>
      <c r="B293" s="27" t="inlineStr">
        <is>
          <t>7.20-7.26</t>
        </is>
      </c>
      <c r="C293" s="34" t="n">
        <v>885645733215</v>
      </c>
      <c r="D293" s="27" t="inlineStr">
        <is>
          <t>大骨牛肉</t>
        </is>
      </c>
      <c r="E293" s="27" t="inlineStr">
        <is>
          <t>进口营多大骨番茄牛肉味营多捞面意式泡面宿舍宿舍宵夜速食方便面</t>
        </is>
      </c>
      <c r="F293" s="31" t="n">
        <v>181.65</v>
      </c>
      <c r="G293" s="35">
        <f>IFERROR(F293/1.13,0)</f>
        <v/>
      </c>
      <c r="H293" s="36" t="n">
        <v>10</v>
      </c>
      <c r="I293" s="37" t="n">
        <v>0.002634351949420442</v>
      </c>
      <c r="J293" s="38">
        <f>IFERROR(F293/H293,0)</f>
        <v/>
      </c>
      <c r="K293" s="31" t="n">
        <v>14.692551477171</v>
      </c>
      <c r="L293" s="31" t="n">
        <v>73.62341987466419</v>
      </c>
      <c r="M293" s="38">
        <f>IFERROR(L293/K293,0)</f>
        <v/>
      </c>
      <c r="N293" s="31" t="n">
        <v>5.43026857654432</v>
      </c>
      <c r="O293" s="31" t="n">
        <v>12.6799552372426</v>
      </c>
      <c r="P293" s="38">
        <f>IFERROR(O293/N293,0)</f>
        <v/>
      </c>
      <c r="Q293" s="31" t="n">
        <v>20.12282</v>
      </c>
      <c r="R293" s="31" t="n">
        <v>86.303375</v>
      </c>
      <c r="S293" s="38">
        <f>IFERROR(R293/Q293,0)</f>
        <v/>
      </c>
      <c r="T293" s="39">
        <f>IFERROR(Q293/SUMIF($A:$A,A293,$Q:$Q),0)</f>
        <v/>
      </c>
      <c r="U293" s="39">
        <f>IFERROR(Q293/F293,0)</f>
        <v/>
      </c>
      <c r="V293" s="35">
        <f>F293-R293</f>
        <v/>
      </c>
      <c r="W293" s="39">
        <f>IFERROR(V293/F293,0)</f>
        <v/>
      </c>
      <c r="X293" s="29" t="n">
        <v>5.524236</v>
      </c>
      <c r="Y293" s="31" t="n">
        <v>16.134</v>
      </c>
      <c r="Z293" s="39">
        <f>IFERROR(Y293/G293,0)</f>
        <v/>
      </c>
      <c r="AA293" s="35">
        <f>Y293-K293/1.06</f>
        <v/>
      </c>
      <c r="AB293" s="39">
        <f>IFERROR(AA293/G293,0)</f>
        <v/>
      </c>
      <c r="AC293" s="31" t="n">
        <v>-8.061336000000001</v>
      </c>
      <c r="AD293" s="39">
        <f>IFERROR(AC293/G293,0)</f>
        <v/>
      </c>
    </row>
    <row r="294">
      <c r="A294" s="27" t="inlineStr">
        <is>
          <t>7.20-7.26</t>
        </is>
      </c>
      <c r="B294" s="27" t="inlineStr">
        <is>
          <t>7.20-7.26</t>
        </is>
      </c>
      <c r="C294" s="34" t="n">
        <v>648604228786</v>
      </c>
      <c r="D294" s="27" t="inlineStr">
        <is>
          <t>杯面混搭</t>
        </is>
      </c>
      <c r="E294" s="27" t="inlineStr">
        <is>
          <t>INDOMIE营多日式杯面原味经典泡面整箱批发速食宿舍旅行宵夜宿舍</t>
        </is>
      </c>
      <c r="F294" s="31" t="n">
        <v>212.58</v>
      </c>
      <c r="G294" s="35">
        <f>IFERROR(F294/1.13,0)</f>
        <v/>
      </c>
      <c r="H294" s="36" t="n">
        <v>8</v>
      </c>
      <c r="I294" s="37" t="n">
        <v>0.002107481559536354</v>
      </c>
      <c r="J294" s="38">
        <f>IFERROR(F294/H294,0)</f>
        <v/>
      </c>
      <c r="K294" s="31" t="n">
        <v>12.0256013130409</v>
      </c>
      <c r="L294" s="31" t="n">
        <v>8.100817666368201</v>
      </c>
      <c r="M294" s="38">
        <f>IFERROR(L294/K294,0)</f>
        <v/>
      </c>
      <c r="N294" s="31" t="n">
        <v>4.82690540137272</v>
      </c>
      <c r="O294" s="31" t="n">
        <v>11.2710713219934</v>
      </c>
      <c r="P294" s="38">
        <f>IFERROR(O294/N294,0)</f>
        <v/>
      </c>
      <c r="Q294" s="31" t="n">
        <v>16.852507</v>
      </c>
      <c r="R294" s="31" t="n">
        <v>19.371889</v>
      </c>
      <c r="S294" s="38">
        <f>IFERROR(R294/Q294,0)</f>
        <v/>
      </c>
      <c r="T294" s="39">
        <f>IFERROR(Q294/SUMIF($A:$A,A294,$Q:$Q),0)</f>
        <v/>
      </c>
      <c r="U294" s="39">
        <f>IFERROR(Q294/F294,0)</f>
        <v/>
      </c>
      <c r="V294" s="35">
        <f>F294-R294</f>
        <v/>
      </c>
      <c r="W294" s="39">
        <f>IFERROR(V294/F294,0)</f>
        <v/>
      </c>
      <c r="X294" s="29" t="n">
        <v>4.419389</v>
      </c>
      <c r="Y294" s="31" t="n">
        <v>29.185</v>
      </c>
      <c r="Z294" s="39">
        <f>IFERROR(Y294/G294,0)</f>
        <v/>
      </c>
      <c r="AA294" s="35">
        <f>Y294-K294/1.06</f>
        <v/>
      </c>
      <c r="AB294" s="39">
        <f>IFERROR(AA294/G294,0)</f>
        <v/>
      </c>
      <c r="AC294" s="31" t="n">
        <v>9.117174</v>
      </c>
      <c r="AD294" s="39">
        <f>IFERROR(AC294/G294,0)</f>
        <v/>
      </c>
    </row>
    <row r="295">
      <c r="A295" s="27" t="inlineStr">
        <is>
          <t>7.20-7.26</t>
        </is>
      </c>
      <c r="B295" s="27" t="inlineStr">
        <is>
          <t>7.20-7.26</t>
        </is>
      </c>
      <c r="C295" s="34" t="n">
        <v>976535014785</v>
      </c>
      <c r="D295" s="27" t="n"/>
      <c r="E295" s="27" t="n"/>
      <c r="F295" s="31" t="n">
        <v>6.87</v>
      </c>
      <c r="G295" s="35">
        <f>IFERROR(F295/1.13,0)</f>
        <v/>
      </c>
      <c r="H295" s="36" t="n">
        <v>7</v>
      </c>
      <c r="I295" s="37" t="n">
        <v>0.00184404636459431</v>
      </c>
      <c r="J295" s="38">
        <f>IFERROR(F295/H295,0)</f>
        <v/>
      </c>
      <c r="K295" s="31" t="n">
        <v>1.65865114891078</v>
      </c>
      <c r="L295" s="31" t="n">
        <v>7.08821545807218</v>
      </c>
      <c r="M295" s="38">
        <f>IFERROR(L295/K295,0)</f>
        <v/>
      </c>
      <c r="N295" s="31" t="n">
        <v>4.22354222620113</v>
      </c>
      <c r="O295" s="31" t="n">
        <v>9.86218740674426</v>
      </c>
      <c r="P295" s="38">
        <f>IFERROR(O295/N295,0)</f>
        <v/>
      </c>
      <c r="Q295" s="31" t="n">
        <v>5.882193</v>
      </c>
      <c r="R295" s="31" t="n">
        <v>16.950403</v>
      </c>
      <c r="S295" s="38">
        <f>IFERROR(R295/Q295,0)</f>
        <v/>
      </c>
      <c r="T295" s="39">
        <f>IFERROR(Q295/SUMIF($A:$A,A295,$Q:$Q),0)</f>
        <v/>
      </c>
      <c r="U295" s="39">
        <f>IFERROR(Q295/F295,0)</f>
        <v/>
      </c>
      <c r="V295" s="35">
        <f>F295-R295</f>
        <v/>
      </c>
      <c r="W295" s="39">
        <f>IFERROR(V295/F295,0)</f>
        <v/>
      </c>
      <c r="X295" s="29" t="n">
        <v>3.866965</v>
      </c>
      <c r="Y295" s="31" t="n">
        <v>0</v>
      </c>
      <c r="Z295" s="39">
        <f>IFERROR(Y295/G295,0)</f>
        <v/>
      </c>
      <c r="AA295" s="35">
        <f>Y295-K295/1.06</f>
        <v/>
      </c>
      <c r="AB295" s="39">
        <f>IFERROR(AA295/G295,0)</f>
        <v/>
      </c>
      <c r="AC295" s="31" t="n">
        <v>-9.197319</v>
      </c>
      <c r="AD295" s="39">
        <f>IFERROR(AC295/G295,0)</f>
        <v/>
      </c>
    </row>
    <row r="296">
      <c r="A296" s="27" t="inlineStr">
        <is>
          <t>7.20-7.26</t>
        </is>
      </c>
      <c r="B296" s="27" t="inlineStr">
        <is>
          <t>7.20-7.26</t>
        </is>
      </c>
      <c r="C296" s="34" t="n">
        <v>971242260371</v>
      </c>
      <c r="D296" s="27" t="inlineStr">
        <is>
          <t>韩式袋面</t>
        </is>
      </c>
      <c r="E296" s="27" t="inlineStr">
        <is>
          <t>新品营多捞面韩式辣蘑菇汤面泡面方便面速食干拌面宿舍宵夜旅行</t>
        </is>
      </c>
      <c r="F296" s="31" t="n">
        <v>164.03</v>
      </c>
      <c r="G296" s="35">
        <f>IFERROR(F296/1.13,0)</f>
        <v/>
      </c>
      <c r="H296" s="36" t="n">
        <v>9</v>
      </c>
      <c r="I296" s="37" t="n">
        <v>0.002370916754478398</v>
      </c>
      <c r="J296" s="38">
        <f>IFERROR(F296/H296,0)</f>
        <v/>
      </c>
      <c r="K296" s="31" t="n">
        <v>26.5786511489108</v>
      </c>
      <c r="L296" s="31" t="n">
        <v>189.348215458072</v>
      </c>
      <c r="M296" s="38">
        <f>IFERROR(L296/K296,0)</f>
        <v/>
      </c>
      <c r="N296" s="31" t="n">
        <v>4.22354222620113</v>
      </c>
      <c r="O296" s="31" t="n">
        <v>9.86218740674426</v>
      </c>
      <c r="P296" s="38">
        <f>IFERROR(O296/N296,0)</f>
        <v/>
      </c>
      <c r="Q296" s="31" t="n">
        <v>30.802193</v>
      </c>
      <c r="R296" s="31" t="n">
        <v>199.210403</v>
      </c>
      <c r="S296" s="38">
        <f>IFERROR(R296/Q296,0)</f>
        <v/>
      </c>
      <c r="T296" s="39">
        <f>IFERROR(Q296/SUMIF($A:$A,A296,$Q:$Q),0)</f>
        <v/>
      </c>
      <c r="U296" s="39">
        <f>IFERROR(Q296/F296,0)</f>
        <v/>
      </c>
      <c r="V296" s="35">
        <f>F296-R296</f>
        <v/>
      </c>
      <c r="W296" s="39">
        <f>IFERROR(V296/F296,0)</f>
        <v/>
      </c>
      <c r="X296" s="29" t="n">
        <v>4.971812</v>
      </c>
      <c r="Y296" s="31" t="n">
        <v>15.887</v>
      </c>
      <c r="Z296" s="39">
        <f>IFERROR(Y296/G296,0)</f>
        <v/>
      </c>
      <c r="AA296" s="35">
        <f>Y296-K296/1.06</f>
        <v/>
      </c>
      <c r="AB296" s="39">
        <f>IFERROR(AA296/G296,0)</f>
        <v/>
      </c>
      <c r="AC296" s="31" t="n">
        <v>-17.862062</v>
      </c>
      <c r="AD296" s="39">
        <f>IFERROR(AC296/G296,0)</f>
        <v/>
      </c>
    </row>
    <row r="297">
      <c r="A297" s="27" t="inlineStr">
        <is>
          <t>7.20-7.26</t>
        </is>
      </c>
      <c r="B297" s="27" t="inlineStr">
        <is>
          <t>7.20-7.26</t>
        </is>
      </c>
      <c r="C297" s="34" t="n">
        <v>937005385662</v>
      </c>
      <c r="D297" s="27" t="inlineStr">
        <is>
          <t>日式袋面</t>
        </is>
      </c>
      <c r="E297" s="27" t="inlineStr">
        <is>
          <t>进口营多正品捞面日式鸡肉鸡汤辛辣味袋装泡面辣味速食方便面汤面</t>
        </is>
      </c>
      <c r="F297" s="31" t="n">
        <v>218.59</v>
      </c>
      <c r="G297" s="35">
        <f>IFERROR(F297/1.13,0)</f>
        <v/>
      </c>
      <c r="H297" s="36" t="n">
        <v>10</v>
      </c>
      <c r="I297" s="37" t="n">
        <v>0.002634351949420442</v>
      </c>
      <c r="J297" s="38">
        <f>IFERROR(F297/H297,0)</f>
        <v/>
      </c>
      <c r="K297" s="31" t="n">
        <v>43.1586511489108</v>
      </c>
      <c r="L297" s="31" t="n">
        <v>288.088215458072</v>
      </c>
      <c r="M297" s="38">
        <f>IFERROR(L297/K297,0)</f>
        <v/>
      </c>
      <c r="N297" s="31" t="n">
        <v>4.22354222620113</v>
      </c>
      <c r="O297" s="31" t="n">
        <v>9.86218740674426</v>
      </c>
      <c r="P297" s="38">
        <f>IFERROR(O297/N297,0)</f>
        <v/>
      </c>
      <c r="Q297" s="31" t="n">
        <v>47.382193</v>
      </c>
      <c r="R297" s="31" t="n">
        <v>297.950403</v>
      </c>
      <c r="S297" s="38">
        <f>IFERROR(R297/Q297,0)</f>
        <v/>
      </c>
      <c r="T297" s="39">
        <f>IFERROR(Q297/SUMIF($A:$A,A297,$Q:$Q),0)</f>
        <v/>
      </c>
      <c r="U297" s="39">
        <f>IFERROR(Q297/F297,0)</f>
        <v/>
      </c>
      <c r="V297" s="35">
        <f>F297-R297</f>
        <v/>
      </c>
      <c r="W297" s="39">
        <f>IFERROR(V297/F297,0)</f>
        <v/>
      </c>
      <c r="X297" s="29" t="n">
        <v>5.524236</v>
      </c>
      <c r="Y297" s="31" t="n">
        <v>30.148</v>
      </c>
      <c r="Z297" s="39">
        <f>IFERROR(Y297/G297,0)</f>
        <v/>
      </c>
      <c r="AA297" s="35">
        <f>Y297-K297/1.06</f>
        <v/>
      </c>
      <c r="AB297" s="39">
        <f>IFERROR(AA297/G297,0)</f>
        <v/>
      </c>
      <c r="AC297" s="31" t="n">
        <v>-19.763726</v>
      </c>
      <c r="AD297" s="39">
        <f>IFERROR(AC297/G297,0)</f>
        <v/>
      </c>
    </row>
    <row r="298">
      <c r="A298" s="27" t="inlineStr">
        <is>
          <t>7.20-7.26</t>
        </is>
      </c>
      <c r="B298" s="27" t="inlineStr">
        <is>
          <t>7.20-7.26</t>
        </is>
      </c>
      <c r="C298" s="34" t="n">
        <v>969433743398</v>
      </c>
      <c r="D298" s="27" t="inlineStr">
        <is>
          <t>韩蘑菇</t>
        </is>
      </c>
      <c r="E298" s="27" t="inlineStr">
        <is>
          <t>新品营多捞面韩式辣蘑菇汤面泡面方便面速食干拌面宿舍宵夜旅行</t>
        </is>
      </c>
      <c r="F298" s="31" t="n">
        <v>142.44</v>
      </c>
      <c r="G298" s="35">
        <f>IFERROR(F298/1.13,0)</f>
        <v/>
      </c>
      <c r="H298" s="36" t="n">
        <v>7</v>
      </c>
      <c r="I298" s="37" t="n">
        <v>0.00184404636459431</v>
      </c>
      <c r="J298" s="38">
        <f>IFERROR(F298/H298,0)</f>
        <v/>
      </c>
      <c r="K298" s="31" t="n">
        <v>9.001700984780671</v>
      </c>
      <c r="L298" s="31" t="n">
        <v>41.9756132497762</v>
      </c>
      <c r="M298" s="38">
        <f>IFERROR(L298/K298,0)</f>
        <v/>
      </c>
      <c r="N298" s="31" t="n">
        <v>3.62017905102954</v>
      </c>
      <c r="O298" s="31" t="n">
        <v>8.453303491495079</v>
      </c>
      <c r="P298" s="38">
        <f>IFERROR(O298/N298,0)</f>
        <v/>
      </c>
      <c r="Q298" s="31" t="n">
        <v>12.62188</v>
      </c>
      <c r="R298" s="31" t="n">
        <v>50.428917</v>
      </c>
      <c r="S298" s="38">
        <f>IFERROR(R298/Q298,0)</f>
        <v/>
      </c>
      <c r="T298" s="39">
        <f>IFERROR(Q298/SUMIF($A:$A,A298,$Q:$Q),0)</f>
        <v/>
      </c>
      <c r="U298" s="39">
        <f>IFERROR(Q298/F298,0)</f>
        <v/>
      </c>
      <c r="V298" s="35">
        <f>F298-R298</f>
        <v/>
      </c>
      <c r="W298" s="39">
        <f>IFERROR(V298/F298,0)</f>
        <v/>
      </c>
      <c r="X298" s="29" t="n">
        <v>3.866965</v>
      </c>
      <c r="Y298" s="31" t="n">
        <v>19.197</v>
      </c>
      <c r="Z298" s="39">
        <f>IFERROR(Y298/G298,0)</f>
        <v/>
      </c>
      <c r="AA298" s="35">
        <f>Y298-K298/1.06</f>
        <v/>
      </c>
      <c r="AB298" s="39">
        <f>IFERROR(AA298/G298,0)</f>
        <v/>
      </c>
      <c r="AC298" s="31" t="n">
        <v>3.641486</v>
      </c>
      <c r="AD298" s="39">
        <f>IFERROR(AC298/G298,0)</f>
        <v/>
      </c>
    </row>
    <row r="299">
      <c r="A299" s="27" t="inlineStr">
        <is>
          <t>7.20-7.26</t>
        </is>
      </c>
      <c r="B299" s="27" t="inlineStr">
        <is>
          <t>7.20-7.26</t>
        </is>
      </c>
      <c r="C299" s="34" t="n">
        <v>1067363868298</v>
      </c>
      <c r="D299" s="27" t="n"/>
      <c r="E299" s="27" t="n"/>
      <c r="F299" s="31" t="n">
        <v>93.18000000000001</v>
      </c>
      <c r="G299" s="35">
        <f>IFERROR(F299/1.13,0)</f>
        <v/>
      </c>
      <c r="H299" s="36" t="n">
        <v>5</v>
      </c>
      <c r="I299" s="37" t="n">
        <v>0.001317175974710221</v>
      </c>
      <c r="J299" s="38">
        <f>IFERROR(F299/H299,0)</f>
        <v/>
      </c>
      <c r="K299" s="31" t="n">
        <v>5.82475082065056</v>
      </c>
      <c r="L299" s="31" t="n">
        <v>5.06301104148013</v>
      </c>
      <c r="M299" s="38">
        <f>IFERROR(L299/K299,0)</f>
        <v/>
      </c>
      <c r="N299" s="31" t="n">
        <v>3.01681587585795</v>
      </c>
      <c r="O299" s="31" t="n">
        <v>7.0444195762459</v>
      </c>
      <c r="P299" s="38">
        <f>IFERROR(O299/N299,0)</f>
        <v/>
      </c>
      <c r="Q299" s="31" t="n">
        <v>8.841567</v>
      </c>
      <c r="R299" s="31" t="n">
        <v>12.107431</v>
      </c>
      <c r="S299" s="38">
        <f>IFERROR(R299/Q299,0)</f>
        <v/>
      </c>
      <c r="T299" s="39">
        <f>IFERROR(Q299/SUMIF($A:$A,A299,$Q:$Q),0)</f>
        <v/>
      </c>
      <c r="U299" s="39">
        <f>IFERROR(Q299/F299,0)</f>
        <v/>
      </c>
      <c r="V299" s="35">
        <f>F299-R299</f>
        <v/>
      </c>
      <c r="W299" s="39">
        <f>IFERROR(V299/F299,0)</f>
        <v/>
      </c>
      <c r="X299" s="29" t="n">
        <v>2.762118</v>
      </c>
      <c r="Y299" s="31" t="n">
        <v>6.925</v>
      </c>
      <c r="Z299" s="39">
        <f>IFERROR(Y299/G299,0)</f>
        <v/>
      </c>
      <c r="AA299" s="35">
        <f>Y299-K299/1.06</f>
        <v/>
      </c>
      <c r="AB299" s="39">
        <f>IFERROR(AA299/G299,0)</f>
        <v/>
      </c>
      <c r="AC299" s="31" t="n">
        <v>-4.021872</v>
      </c>
      <c r="AD299" s="39">
        <f>IFERROR(AC299/G299,0)</f>
        <v/>
      </c>
    </row>
    <row r="300">
      <c r="A300" s="27" t="inlineStr">
        <is>
          <t>7.20-7.26</t>
        </is>
      </c>
      <c r="B300" s="27" t="inlineStr">
        <is>
          <t>7.20-7.26</t>
        </is>
      </c>
      <c r="C300" s="34" t="n">
        <v>649731447266</v>
      </c>
      <c r="D300" s="27" t="inlineStr">
        <is>
          <t>20包经典/牛系列</t>
        </is>
      </c>
      <c r="E300" s="27" t="inlineStr">
        <is>
          <t>营多印尼进口营多捞面方便面火鸡面干拌面20包宿舍速食泡面夜宵</t>
        </is>
      </c>
      <c r="F300" s="31" t="n">
        <v>243.5</v>
      </c>
      <c r="G300" s="35">
        <f>IFERROR(F300/1.13,0)</f>
        <v/>
      </c>
      <c r="H300" s="36" t="n">
        <v>5</v>
      </c>
      <c r="I300" s="37" t="n">
        <v>0.001317175974710221</v>
      </c>
      <c r="J300" s="38">
        <f>IFERROR(F300/H300,0)</f>
        <v/>
      </c>
      <c r="K300" s="31" t="n">
        <v>11.0947508206506</v>
      </c>
      <c r="L300" s="31" t="n">
        <v>5.06301104148013</v>
      </c>
      <c r="M300" s="38">
        <f>IFERROR(L300/K300,0)</f>
        <v/>
      </c>
      <c r="N300" s="31" t="n">
        <v>3.01681587585795</v>
      </c>
      <c r="O300" s="31" t="n">
        <v>7.0444195762459</v>
      </c>
      <c r="P300" s="38">
        <f>IFERROR(O300/N300,0)</f>
        <v/>
      </c>
      <c r="Q300" s="31" t="n">
        <v>14.111567</v>
      </c>
      <c r="R300" s="31" t="n">
        <v>12.107431</v>
      </c>
      <c r="S300" s="38">
        <f>IFERROR(R300/Q300,0)</f>
        <v/>
      </c>
      <c r="T300" s="39">
        <f>IFERROR(Q300/SUMIF($A:$A,A300,$Q:$Q),0)</f>
        <v/>
      </c>
      <c r="U300" s="39">
        <f>IFERROR(Q300/F300,0)</f>
        <v/>
      </c>
      <c r="V300" s="35">
        <f>F300-R300</f>
        <v/>
      </c>
      <c r="W300" s="39">
        <f>IFERROR(V300/F300,0)</f>
        <v/>
      </c>
      <c r="X300" s="29" t="n">
        <v>2.762118</v>
      </c>
      <c r="Y300" s="31" t="n">
        <v>50.194</v>
      </c>
      <c r="Z300" s="39">
        <f>IFERROR(Y300/G300,0)</f>
        <v/>
      </c>
      <c r="AA300" s="35">
        <f>Y300-K300/1.06</f>
        <v/>
      </c>
      <c r="AB300" s="39">
        <f>IFERROR(AA300/G300,0)</f>
        <v/>
      </c>
      <c r="AC300" s="31" t="n">
        <v>34.27543</v>
      </c>
      <c r="AD300" s="39">
        <f>IFERROR(AC300/G300,0)</f>
        <v/>
      </c>
    </row>
    <row r="301">
      <c r="A301" s="27" t="inlineStr">
        <is>
          <t>7.20-7.26</t>
        </is>
      </c>
      <c r="B301" s="27" t="inlineStr">
        <is>
          <t>7.20-7.26</t>
        </is>
      </c>
      <c r="C301" s="34" t="n">
        <v>1067957289054</v>
      </c>
      <c r="D301" s="27" t="inlineStr">
        <is>
          <t>巴东牛肉</t>
        </is>
      </c>
      <c r="E301" s="27" t="inlineStr">
        <is>
          <t>【新口味】印尼进口营多捞面巴东炖牛肉味泡面方便面宿舍速食宵夜</t>
        </is>
      </c>
      <c r="F301" s="31" t="n">
        <v>60.93</v>
      </c>
      <c r="G301" s="35">
        <f>IFERROR(F301/1.13,0)</f>
        <v/>
      </c>
      <c r="H301" s="36" t="n">
        <v>4</v>
      </c>
      <c r="I301" s="37" t="n">
        <v>0.001053740779768177</v>
      </c>
      <c r="J301" s="38">
        <f>IFERROR(F301/H301,0)</f>
        <v/>
      </c>
      <c r="K301" s="31" t="n">
        <v>5.84780065652045</v>
      </c>
      <c r="L301" s="31" t="n">
        <v>4.0504088331841</v>
      </c>
      <c r="M301" s="38">
        <f>IFERROR(L301/K301,0)</f>
        <v/>
      </c>
      <c r="N301" s="31" t="n">
        <v>2.41345270068636</v>
      </c>
      <c r="O301" s="31" t="n">
        <v>5.63553566099672</v>
      </c>
      <c r="P301" s="38">
        <f>IFERROR(O301/N301,0)</f>
        <v/>
      </c>
      <c r="Q301" s="31" t="n">
        <v>8.261253</v>
      </c>
      <c r="R301" s="31" t="n">
        <v>9.685943999999999</v>
      </c>
      <c r="S301" s="38">
        <f>IFERROR(R301/Q301,0)</f>
        <v/>
      </c>
      <c r="T301" s="39">
        <f>IFERROR(Q301/SUMIF($A:$A,A301,$Q:$Q),0)</f>
        <v/>
      </c>
      <c r="U301" s="39">
        <f>IFERROR(Q301/F301,0)</f>
        <v/>
      </c>
      <c r="V301" s="35">
        <f>F301-R301</f>
        <v/>
      </c>
      <c r="W301" s="39">
        <f>IFERROR(V301/F301,0)</f>
        <v/>
      </c>
      <c r="X301" s="29" t="n">
        <v>2.209694</v>
      </c>
      <c r="Y301" s="31" t="n">
        <v>4.936</v>
      </c>
      <c r="Z301" s="39">
        <f>IFERROR(Y301/G301,0)</f>
        <v/>
      </c>
      <c r="AA301" s="35">
        <f>Y301-K301/1.06</f>
        <v/>
      </c>
      <c r="AB301" s="39">
        <f>IFERROR(AA301/G301,0)</f>
        <v/>
      </c>
      <c r="AC301" s="31" t="n">
        <v>-4.942253</v>
      </c>
      <c r="AD301" s="39">
        <f>IFERROR(AC301/G301,0)</f>
        <v/>
      </c>
    </row>
    <row r="302">
      <c r="A302" s="27" t="inlineStr">
        <is>
          <t>7.20-7.26</t>
        </is>
      </c>
      <c r="B302" s="27" t="inlineStr">
        <is>
          <t>7.20-7.26</t>
        </is>
      </c>
      <c r="C302" s="34" t="n">
        <v>976467954327</v>
      </c>
      <c r="D302" s="27" t="inlineStr">
        <is>
          <t>日韩杯面</t>
        </is>
      </c>
      <c r="E302" s="27" t="inlineStr">
        <is>
          <t>【天猫U选】indomie营多捞面辣蘑菇味日式辣味杯面</t>
        </is>
      </c>
      <c r="F302" s="31" t="n">
        <v>28.22</v>
      </c>
      <c r="G302" s="35">
        <f>IFERROR(F302/1.13,0)</f>
        <v/>
      </c>
      <c r="H302" s="36" t="n">
        <v>3</v>
      </c>
      <c r="I302" s="37" t="n">
        <v>0.0007903055848261328</v>
      </c>
      <c r="J302" s="38">
        <f>IFERROR(F302/H302,0)</f>
        <v/>
      </c>
      <c r="K302" s="31" t="n">
        <v>0.710850492390335</v>
      </c>
      <c r="L302" s="31" t="n">
        <v>3.03780662488808</v>
      </c>
      <c r="M302" s="38">
        <f>IFERROR(L302/K302,0)</f>
        <v/>
      </c>
      <c r="N302" s="31" t="n">
        <v>1.81008952551477</v>
      </c>
      <c r="O302" s="31" t="n">
        <v>4.22665174574754</v>
      </c>
      <c r="P302" s="38">
        <f>IFERROR(O302/N302,0)</f>
        <v/>
      </c>
      <c r="Q302" s="31" t="n">
        <v>2.52094</v>
      </c>
      <c r="R302" s="31" t="n">
        <v>7.264458</v>
      </c>
      <c r="S302" s="38">
        <f>IFERROR(R302/Q302,0)</f>
        <v/>
      </c>
      <c r="T302" s="39">
        <f>IFERROR(Q302/SUMIF($A:$A,A302,$Q:$Q),0)</f>
        <v/>
      </c>
      <c r="U302" s="39">
        <f>IFERROR(Q302/F302,0)</f>
        <v/>
      </c>
      <c r="V302" s="35">
        <f>F302-R302</f>
        <v/>
      </c>
      <c r="W302" s="39">
        <f>IFERROR(V302/F302,0)</f>
        <v/>
      </c>
      <c r="X302" s="29" t="n">
        <v>1.657271</v>
      </c>
      <c r="Y302" s="31" t="n">
        <v>-5.289</v>
      </c>
      <c r="Z302" s="39">
        <f>IFERROR(Y302/G302,0)</f>
        <v/>
      </c>
      <c r="AA302" s="35">
        <f>Y302-K302/1.06</f>
        <v/>
      </c>
      <c r="AB302" s="39">
        <f>IFERROR(AA302/G302,0)</f>
        <v/>
      </c>
      <c r="AC302" s="31" t="n">
        <v>-9.230708</v>
      </c>
      <c r="AD302" s="39">
        <f>IFERROR(AC302/G302,0)</f>
        <v/>
      </c>
    </row>
    <row r="303">
      <c r="A303" s="27" t="inlineStr">
        <is>
          <t>7.20-7.26</t>
        </is>
      </c>
      <c r="B303" s="27" t="inlineStr">
        <is>
          <t>7.20-7.26</t>
        </is>
      </c>
      <c r="C303" s="34" t="n">
        <v>932687928859</v>
      </c>
      <c r="D303" s="27" t="inlineStr">
        <is>
          <t>8包组合</t>
        </is>
      </c>
      <c r="E303" s="27" t="inlineStr">
        <is>
          <t>营多捞面八口味袋装泡面拌面速食面干拌面方便面宿舍宵夜速食家用</t>
        </is>
      </c>
      <c r="F303" s="31" t="n">
        <v>75.92</v>
      </c>
      <c r="G303" s="35">
        <f>IFERROR(F303/1.13,0)</f>
        <v/>
      </c>
      <c r="H303" s="36" t="n">
        <v>3</v>
      </c>
      <c r="I303" s="37" t="n">
        <v>0.0007903055848261328</v>
      </c>
      <c r="J303" s="38">
        <f>IFERROR(F303/H303,0)</f>
        <v/>
      </c>
      <c r="K303" s="31" t="n">
        <v>7.59085049239033</v>
      </c>
      <c r="L303" s="31" t="n">
        <v>3.03780662488808</v>
      </c>
      <c r="M303" s="38">
        <f>IFERROR(L303/K303,0)</f>
        <v/>
      </c>
      <c r="N303" s="31" t="n">
        <v>1.81008952551477</v>
      </c>
      <c r="O303" s="31" t="n">
        <v>4.22665174574754</v>
      </c>
      <c r="P303" s="38">
        <f>IFERROR(O303/N303,0)</f>
        <v/>
      </c>
      <c r="Q303" s="31" t="n">
        <v>9.40094</v>
      </c>
      <c r="R303" s="31" t="n">
        <v>7.264458</v>
      </c>
      <c r="S303" s="38">
        <f>IFERROR(R303/Q303,0)</f>
        <v/>
      </c>
      <c r="T303" s="39">
        <f>IFERROR(Q303/SUMIF($A:$A,A303,$Q:$Q),0)</f>
        <v/>
      </c>
      <c r="U303" s="39">
        <f>IFERROR(Q303/F303,0)</f>
        <v/>
      </c>
      <c r="V303" s="35">
        <f>F303-R303</f>
        <v/>
      </c>
      <c r="W303" s="39">
        <f>IFERROR(V303/F303,0)</f>
        <v/>
      </c>
      <c r="X303" s="29" t="n">
        <v>1.657271</v>
      </c>
      <c r="Y303" s="31" t="n">
        <v>11.502</v>
      </c>
      <c r="Z303" s="39">
        <f>IFERROR(Y303/G303,0)</f>
        <v/>
      </c>
      <c r="AA303" s="35">
        <f>Y303-K303/1.06</f>
        <v/>
      </c>
      <c r="AB303" s="39">
        <f>IFERROR(AA303/G303,0)</f>
        <v/>
      </c>
      <c r="AC303" s="31" t="n">
        <v>1.069726</v>
      </c>
      <c r="AD303" s="39">
        <f>IFERROR(AC303/G303,0)</f>
        <v/>
      </c>
    </row>
    <row r="304">
      <c r="A304" s="27" t="inlineStr">
        <is>
          <t>7.20-7.26</t>
        </is>
      </c>
      <c r="B304" s="27" t="inlineStr">
        <is>
          <t>7.20-7.26</t>
        </is>
      </c>
      <c r="C304" s="34" t="n">
        <v>976466902934</v>
      </c>
      <c r="D304" s="27" t="inlineStr">
        <is>
          <t>【U选】日式原杯1+日式辣杯1</t>
        </is>
      </c>
      <c r="E304" s="27" t="inlineStr">
        <is>
          <t>【天猫U选】indomie营多捞面辣火鸡味日式鸡肉原味杯面</t>
        </is>
      </c>
      <c r="F304" s="31" t="n">
        <v>29.5</v>
      </c>
      <c r="G304" s="35">
        <f>IFERROR(F304/1.13,0)</f>
        <v/>
      </c>
      <c r="H304" s="36" t="n">
        <v>3</v>
      </c>
      <c r="I304" s="37" t="n">
        <v>0.0007903055848261328</v>
      </c>
      <c r="J304" s="38">
        <f>IFERROR(F304/H304,0)</f>
        <v/>
      </c>
      <c r="K304" s="31" t="n">
        <v>0.710850492390335</v>
      </c>
      <c r="L304" s="31" t="n">
        <v>3.03780662488808</v>
      </c>
      <c r="M304" s="38">
        <f>IFERROR(L304/K304,0)</f>
        <v/>
      </c>
      <c r="N304" s="31" t="n">
        <v>1.81008952551477</v>
      </c>
      <c r="O304" s="31" t="n">
        <v>4.22665174574754</v>
      </c>
      <c r="P304" s="38">
        <f>IFERROR(O304/N304,0)</f>
        <v/>
      </c>
      <c r="Q304" s="31" t="n">
        <v>2.52094</v>
      </c>
      <c r="R304" s="31" t="n">
        <v>7.264458</v>
      </c>
      <c r="S304" s="38">
        <f>IFERROR(R304/Q304,0)</f>
        <v/>
      </c>
      <c r="T304" s="39">
        <f>IFERROR(Q304/SUMIF($A:$A,A304,$Q:$Q),0)</f>
        <v/>
      </c>
      <c r="U304" s="39">
        <f>IFERROR(Q304/F304,0)</f>
        <v/>
      </c>
      <c r="V304" s="35">
        <f>F304-R304</f>
        <v/>
      </c>
      <c r="W304" s="39">
        <f>IFERROR(V304/F304,0)</f>
        <v/>
      </c>
      <c r="X304" s="29" t="n">
        <v>1.657271</v>
      </c>
      <c r="Y304" s="31" t="n">
        <v>-4.241</v>
      </c>
      <c r="Z304" s="39">
        <f>IFERROR(Y304/G304,0)</f>
        <v/>
      </c>
      <c r="AA304" s="35">
        <f>Y304-K304/1.06</f>
        <v/>
      </c>
      <c r="AB304" s="39">
        <f>IFERROR(AA304/G304,0)</f>
        <v/>
      </c>
      <c r="AC304" s="31" t="n">
        <v>-8.182708</v>
      </c>
      <c r="AD304" s="39">
        <f>IFERROR(AC304/G304,0)</f>
        <v/>
      </c>
    </row>
    <row r="305">
      <c r="A305" s="27" t="inlineStr">
        <is>
          <t>7.20-7.26</t>
        </is>
      </c>
      <c r="B305" s="27" t="inlineStr">
        <is>
          <t>7.20-7.26</t>
        </is>
      </c>
      <c r="C305" s="34" t="n">
        <v>1067350828719</v>
      </c>
      <c r="D305" s="27" t="n"/>
      <c r="E305" s="27" t="n"/>
      <c r="F305" s="31" t="n">
        <v>148.7</v>
      </c>
      <c r="G305" s="35">
        <f>IFERROR(F305/1.13,0)</f>
        <v/>
      </c>
      <c r="H305" s="36" t="n">
        <v>3</v>
      </c>
      <c r="I305" s="37" t="n">
        <v>0.0007903055848261328</v>
      </c>
      <c r="J305" s="38">
        <f>IFERROR(F305/H305,0)</f>
        <v/>
      </c>
      <c r="K305" s="31" t="n">
        <v>3.75390032826022</v>
      </c>
      <c r="L305" s="31" t="n">
        <v>20.4852044165921</v>
      </c>
      <c r="M305" s="38">
        <f>IFERROR(L305/K305,0)</f>
        <v/>
      </c>
      <c r="N305" s="31" t="n">
        <v>1.20672635034318</v>
      </c>
      <c r="O305" s="31" t="n">
        <v>2.81776783049836</v>
      </c>
      <c r="P305" s="38">
        <f>IFERROR(O305/N305,0)</f>
        <v/>
      </c>
      <c r="Q305" s="31" t="n">
        <v>4.960627</v>
      </c>
      <c r="R305" s="31" t="n">
        <v>23.302972</v>
      </c>
      <c r="S305" s="38">
        <f>IFERROR(R305/Q305,0)</f>
        <v/>
      </c>
      <c r="T305" s="39">
        <f>IFERROR(Q305/SUMIF($A:$A,A305,$Q:$Q),0)</f>
        <v/>
      </c>
      <c r="U305" s="39">
        <f>IFERROR(Q305/F305,0)</f>
        <v/>
      </c>
      <c r="V305" s="35">
        <f>F305-R305</f>
        <v/>
      </c>
      <c r="W305" s="39">
        <f>IFERROR(V305/F305,0)</f>
        <v/>
      </c>
      <c r="X305" s="29" t="n">
        <v>1.657271</v>
      </c>
      <c r="Y305" s="31" t="n">
        <v>31.483</v>
      </c>
      <c r="Z305" s="39">
        <f>IFERROR(Y305/G305,0)</f>
        <v/>
      </c>
      <c r="AA305" s="35">
        <f>Y305-K305/1.06</f>
        <v/>
      </c>
      <c r="AB305" s="39">
        <f>IFERROR(AA305/G305,0)</f>
        <v/>
      </c>
      <c r="AC305" s="31" t="n">
        <v>25.2397</v>
      </c>
      <c r="AD305" s="39">
        <f>IFERROR(AC305/G305,0)</f>
        <v/>
      </c>
    </row>
    <row r="306">
      <c r="A306" s="27" t="inlineStr">
        <is>
          <t>7.20-7.26</t>
        </is>
      </c>
      <c r="B306" s="27" t="inlineStr">
        <is>
          <t>7.20-7.26</t>
        </is>
      </c>
      <c r="C306" s="34" t="n">
        <v>975092562679</v>
      </c>
      <c r="D306" s="27" t="inlineStr">
        <is>
          <t>杯面混搭</t>
        </is>
      </c>
      <c r="E306" s="27" t="inlineStr">
        <is>
          <t>营多韩式甜辣炸鸡火鸡面辣蘑菇杯面拌面泡面方便面速食宵夜旅行</t>
        </is>
      </c>
      <c r="F306" s="31" t="n">
        <v>59.33</v>
      </c>
      <c r="G306" s="35">
        <f>IFERROR(F306/1.13,0)</f>
        <v/>
      </c>
      <c r="H306" s="36" t="n">
        <v>2</v>
      </c>
      <c r="I306" s="37" t="n">
        <v>0.0005268703898840885</v>
      </c>
      <c r="J306" s="38">
        <f>IFERROR(F306/H306,0)</f>
        <v/>
      </c>
      <c r="K306" s="31" t="n">
        <v>1.71390032826022</v>
      </c>
      <c r="L306" s="31" t="n">
        <v>51.9252044165921</v>
      </c>
      <c r="M306" s="38">
        <f>IFERROR(L306/K306,0)</f>
        <v/>
      </c>
      <c r="N306" s="31" t="n">
        <v>1.20672635034318</v>
      </c>
      <c r="O306" s="31" t="n">
        <v>2.81776783049836</v>
      </c>
      <c r="P306" s="38">
        <f>IFERROR(O306/N306,0)</f>
        <v/>
      </c>
      <c r="Q306" s="31" t="n">
        <v>2.920627</v>
      </c>
      <c r="R306" s="31" t="n">
        <v>54.742972</v>
      </c>
      <c r="S306" s="38">
        <f>IFERROR(R306/Q306,0)</f>
        <v/>
      </c>
      <c r="T306" s="39">
        <f>IFERROR(Q306/SUMIF($A:$A,A306,$Q:$Q),0)</f>
        <v/>
      </c>
      <c r="U306" s="39">
        <f>IFERROR(Q306/F306,0)</f>
        <v/>
      </c>
      <c r="V306" s="35">
        <f>F306-R306</f>
        <v/>
      </c>
      <c r="W306" s="39">
        <f>IFERROR(V306/F306,0)</f>
        <v/>
      </c>
      <c r="X306" s="29" t="n">
        <v>1.104847</v>
      </c>
      <c r="Y306" s="31" t="n">
        <v>12.234</v>
      </c>
      <c r="Z306" s="39">
        <f>IFERROR(Y306/G306,0)</f>
        <v/>
      </c>
      <c r="AA306" s="35">
        <f>Y306-K306/1.06</f>
        <v/>
      </c>
      <c r="AB306" s="39">
        <f>IFERROR(AA306/G306,0)</f>
        <v/>
      </c>
      <c r="AC306" s="31" t="n">
        <v>8.436382999999999</v>
      </c>
      <c r="AD306" s="39">
        <f>IFERROR(AC306/G306,0)</f>
        <v/>
      </c>
    </row>
    <row r="307">
      <c r="A307" s="27" t="inlineStr">
        <is>
          <t>7.20-7.26</t>
        </is>
      </c>
      <c r="B307" s="27" t="inlineStr">
        <is>
          <t>7.20-7.26</t>
        </is>
      </c>
      <c r="C307" s="34" t="n">
        <v>869217868453</v>
      </c>
      <c r="D307" s="27" t="inlineStr">
        <is>
          <t>韩式杯面</t>
        </is>
      </c>
      <c r="E307" s="27" t="inlineStr">
        <is>
          <t>营多捞面韩式甜辣炸鸡辣蘑菇杯面方便面拌面泡面宿舍速食面</t>
        </is>
      </c>
      <c r="F307" s="31" t="n">
        <v>32.79</v>
      </c>
      <c r="G307" s="35">
        <f>IFERROR(F307/1.13,0)</f>
        <v/>
      </c>
      <c r="H307" s="36" t="n">
        <v>2</v>
      </c>
      <c r="I307" s="37" t="n">
        <v>0.0005268703898840885</v>
      </c>
      <c r="J307" s="38">
        <f>IFERROR(F307/H307,0)</f>
        <v/>
      </c>
      <c r="K307" s="31" t="n">
        <v>13.7639003282602</v>
      </c>
      <c r="L307" s="31" t="n">
        <v>123.405204416592</v>
      </c>
      <c r="M307" s="38">
        <f>IFERROR(L307/K307,0)</f>
        <v/>
      </c>
      <c r="N307" s="31" t="n">
        <v>1.20672635034318</v>
      </c>
      <c r="O307" s="31" t="n">
        <v>2.81776783049836</v>
      </c>
      <c r="P307" s="38">
        <f>IFERROR(O307/N307,0)</f>
        <v/>
      </c>
      <c r="Q307" s="31" t="n">
        <v>14.970627</v>
      </c>
      <c r="R307" s="31" t="n">
        <v>126.222972</v>
      </c>
      <c r="S307" s="38">
        <f>IFERROR(R307/Q307,0)</f>
        <v/>
      </c>
      <c r="T307" s="39">
        <f>IFERROR(Q307/SUMIF($A:$A,A307,$Q:$Q),0)</f>
        <v/>
      </c>
      <c r="U307" s="39">
        <f>IFERROR(Q307/F307,0)</f>
        <v/>
      </c>
      <c r="V307" s="35">
        <f>F307-R307</f>
        <v/>
      </c>
      <c r="W307" s="39">
        <f>IFERROR(V307/F307,0)</f>
        <v/>
      </c>
      <c r="X307" s="29" t="n">
        <v>1.104847</v>
      </c>
      <c r="Y307" s="31" t="n">
        <v>0.66</v>
      </c>
      <c r="Z307" s="39">
        <f>IFERROR(Y307/G307,0)</f>
        <v/>
      </c>
      <c r="AA307" s="35">
        <f>Y307-K307/1.06</f>
        <v/>
      </c>
      <c r="AB307" s="39">
        <f>IFERROR(AA307/G307,0)</f>
        <v/>
      </c>
      <c r="AC307" s="31" t="n">
        <v>-14.505541</v>
      </c>
      <c r="AD307" s="39">
        <f>IFERROR(AC307/G307,0)</f>
        <v/>
      </c>
    </row>
    <row r="308">
      <c r="A308" s="27" t="inlineStr">
        <is>
          <t>7.20-7.26</t>
        </is>
      </c>
      <c r="B308" s="27" t="inlineStr">
        <is>
          <t>7.20-7.26</t>
        </is>
      </c>
      <c r="C308" s="34" t="n">
        <v>976479938842</v>
      </c>
      <c r="D308" s="27" t="inlineStr">
        <is>
          <t>杯面混搭</t>
        </is>
      </c>
      <c r="E308" s="27" t="inlineStr">
        <is>
          <t>营多捞面韩式甜辣炸鸡辣蘑菇杯面方便面拌面泡面宿舍速食面</t>
        </is>
      </c>
      <c r="F308" s="31" t="n">
        <v>18.9</v>
      </c>
      <c r="G308" s="35">
        <f>IFERROR(F308/1.13,0)</f>
        <v/>
      </c>
      <c r="H308" s="36" t="n">
        <v>2</v>
      </c>
      <c r="I308" s="37" t="n">
        <v>0.0005268703898840885</v>
      </c>
      <c r="J308" s="38">
        <f>IFERROR(F308/H308,0)</f>
        <v/>
      </c>
      <c r="K308" s="31" t="n">
        <v>0.473900328260223</v>
      </c>
      <c r="L308" s="31" t="n">
        <v>2.02520441659205</v>
      </c>
      <c r="M308" s="38">
        <f>IFERROR(L308/K308,0)</f>
        <v/>
      </c>
      <c r="N308" s="31" t="n">
        <v>1.20672635034318</v>
      </c>
      <c r="O308" s="31" t="n">
        <v>2.81776783049836</v>
      </c>
      <c r="P308" s="38">
        <f>IFERROR(O308/N308,0)</f>
        <v/>
      </c>
      <c r="Q308" s="31" t="n">
        <v>1.680627</v>
      </c>
      <c r="R308" s="31" t="n">
        <v>4.842972</v>
      </c>
      <c r="S308" s="38">
        <f>IFERROR(R308/Q308,0)</f>
        <v/>
      </c>
      <c r="T308" s="39">
        <f>IFERROR(Q308/SUMIF($A:$A,A308,$Q:$Q),0)</f>
        <v/>
      </c>
      <c r="U308" s="39">
        <f>IFERROR(Q308/F308,0)</f>
        <v/>
      </c>
      <c r="V308" s="35">
        <f>F308-R308</f>
        <v/>
      </c>
      <c r="W308" s="39">
        <f>IFERROR(V308/F308,0)</f>
        <v/>
      </c>
      <c r="X308" s="29" t="n">
        <v>1.104847</v>
      </c>
      <c r="Y308" s="31" t="n">
        <v>-6.263</v>
      </c>
      <c r="Z308" s="39">
        <f>IFERROR(Y308/G308,0)</f>
        <v/>
      </c>
      <c r="AA308" s="35">
        <f>Y308-K308/1.06</f>
        <v/>
      </c>
      <c r="AB308" s="39">
        <f>IFERROR(AA308/G308,0)</f>
        <v/>
      </c>
      <c r="AC308" s="31" t="n">
        <v>-8.890806</v>
      </c>
      <c r="AD308" s="39">
        <f>IFERROR(AC308/G308,0)</f>
        <v/>
      </c>
    </row>
    <row r="309">
      <c r="A309" s="27" t="inlineStr">
        <is>
          <t>7.20-7.26</t>
        </is>
      </c>
      <c r="B309" s="27" t="inlineStr">
        <is>
          <t>7.20-7.26</t>
        </is>
      </c>
      <c r="C309" s="34" t="n">
        <v>903183018417</v>
      </c>
      <c r="D309" s="27" t="inlineStr">
        <is>
          <t>杯面混搭</t>
        </is>
      </c>
      <c r="E309" s="27" t="inlineStr">
        <is>
          <t>印尼进口营多捞面杯面原味甜辣蘑菇味整箱速食拌面拉面泡面方便面</t>
        </is>
      </c>
      <c r="F309" s="31" t="n">
        <v>38.36</v>
      </c>
      <c r="G309" s="35">
        <f>IFERROR(F309/1.13,0)</f>
        <v/>
      </c>
      <c r="H309" s="36" t="n">
        <v>2</v>
      </c>
      <c r="I309" s="37" t="n">
        <v>0.0005268703898840885</v>
      </c>
      <c r="J309" s="38">
        <f>IFERROR(F309/H309,0)</f>
        <v/>
      </c>
      <c r="K309" s="31" t="n">
        <v>3.51390032826022</v>
      </c>
      <c r="L309" s="31" t="n">
        <v>2.02520441659205</v>
      </c>
      <c r="M309" s="38">
        <f>IFERROR(L309/K309,0)</f>
        <v/>
      </c>
      <c r="N309" s="31" t="n">
        <v>1.20672635034318</v>
      </c>
      <c r="O309" s="31" t="n">
        <v>2.81776783049836</v>
      </c>
      <c r="P309" s="38">
        <f>IFERROR(O309/N309,0)</f>
        <v/>
      </c>
      <c r="Q309" s="31" t="n">
        <v>4.720627</v>
      </c>
      <c r="R309" s="31" t="n">
        <v>4.842972</v>
      </c>
      <c r="S309" s="38">
        <f>IFERROR(R309/Q309,0)</f>
        <v/>
      </c>
      <c r="T309" s="39">
        <f>IFERROR(Q309/SUMIF($A:$A,A309,$Q:$Q),0)</f>
        <v/>
      </c>
      <c r="U309" s="39">
        <f>IFERROR(Q309/F309,0)</f>
        <v/>
      </c>
      <c r="V309" s="35">
        <f>F309-R309</f>
        <v/>
      </c>
      <c r="W309" s="39">
        <f>IFERROR(V309/F309,0)</f>
        <v/>
      </c>
      <c r="X309" s="29" t="n">
        <v>1.104847</v>
      </c>
      <c r="Y309" s="31" t="n">
        <v>3.134</v>
      </c>
      <c r="Z309" s="39">
        <f>IFERROR(Y309/G309,0)</f>
        <v/>
      </c>
      <c r="AA309" s="35">
        <f>Y309-K309/1.06</f>
        <v/>
      </c>
      <c r="AB309" s="39">
        <f>IFERROR(AA309/G309,0)</f>
        <v/>
      </c>
      <c r="AC309" s="31" t="n">
        <v>-2.36173</v>
      </c>
      <c r="AD309" s="39">
        <f>IFERROR(AC309/G309,0)</f>
        <v/>
      </c>
    </row>
    <row r="310">
      <c r="A310" s="27" t="inlineStr">
        <is>
          <t>7.27-8.2</t>
        </is>
      </c>
      <c r="B310" s="27" t="inlineStr">
        <is>
          <t>7.27-8.2</t>
        </is>
      </c>
      <c r="C310" s="34" t="n">
        <v>668566625747</v>
      </c>
      <c r="D310" s="27" t="inlineStr">
        <is>
          <t>袋面主链接</t>
        </is>
      </c>
      <c r="E310" s="27" t="inlineStr">
        <is>
          <t>印尼营多捞面进口网红泡面袋装方便面速食食品拉面火鸡面拌面整箱</t>
        </is>
      </c>
      <c r="F310" s="31" t="n">
        <v>38360.0000000009</v>
      </c>
      <c r="G310" s="35">
        <f>IFERROR(F310/1.13,0)</f>
        <v/>
      </c>
      <c r="H310" s="36" t="n">
        <v>1566</v>
      </c>
      <c r="I310" s="37" t="n">
        <v>0.3841059602649007</v>
      </c>
      <c r="J310" s="38">
        <f>IFERROR(F310/H310,0)</f>
        <v/>
      </c>
      <c r="K310" s="31" t="n">
        <v>4534.46114762138</v>
      </c>
      <c r="L310" s="31" t="n">
        <v>31378.8711672389</v>
      </c>
      <c r="M310" s="38">
        <f>IFERROR(L310/K310,0)</f>
        <v/>
      </c>
      <c r="N310" s="31" t="n">
        <v>788.990583619421</v>
      </c>
      <c r="O310" s="31" t="n">
        <v>1697.15153997057</v>
      </c>
      <c r="P310" s="38">
        <f>IFERROR(O310/N310,0)</f>
        <v/>
      </c>
      <c r="Q310" s="31" t="n">
        <v>5323.451731</v>
      </c>
      <c r="R310" s="31" t="n">
        <v>33076.022707</v>
      </c>
      <c r="S310" s="38">
        <f>IFERROR(R310/Q310,0)</f>
        <v/>
      </c>
      <c r="T310" s="39">
        <f>IFERROR(Q310/SUMIF($A:$A,A310,$Q:$Q),0)</f>
        <v/>
      </c>
      <c r="U310" s="39">
        <f>IFERROR(Q310/F310,0)</f>
        <v/>
      </c>
      <c r="V310" s="35">
        <f>F310-R310</f>
        <v/>
      </c>
      <c r="W310" s="39">
        <f>IFERROR(V310/F310,0)</f>
        <v/>
      </c>
      <c r="X310" s="29" t="n">
        <v>816.993377</v>
      </c>
      <c r="Y310" s="31" t="n">
        <v>5163.45700000005</v>
      </c>
      <c r="Z310" s="39">
        <f>IFERROR(Y310/G310,0)</f>
        <v/>
      </c>
      <c r="AA310" s="35">
        <f>Y310-K310/1.06</f>
        <v/>
      </c>
      <c r="AB310" s="39">
        <f>IFERROR(AA310/G310,0)</f>
        <v/>
      </c>
      <c r="AC310" s="31" t="n">
        <v>-629.415744</v>
      </c>
      <c r="AD310" s="39">
        <f>IFERROR(AC310/G310,0)</f>
        <v/>
      </c>
    </row>
    <row r="311">
      <c r="A311" s="27" t="inlineStr">
        <is>
          <t>7.27-8.2</t>
        </is>
      </c>
      <c r="B311" s="27" t="inlineStr">
        <is>
          <t>7.27-8.2</t>
        </is>
      </c>
      <c r="C311" s="34" t="n">
        <v>649361890551</v>
      </c>
      <c r="D311" s="27" t="inlineStr">
        <is>
          <t>袋面次链接</t>
        </is>
      </c>
      <c r="E311" s="27" t="inlineStr">
        <is>
          <t>营多捞面印尼进口Indomie网红夜宵早餐方便面火鸡面泡面拌面</t>
        </is>
      </c>
      <c r="F311" s="31" t="n">
        <v>15822.6999999999</v>
      </c>
      <c r="G311" s="35">
        <f>IFERROR(F311/1.13,0)</f>
        <v/>
      </c>
      <c r="H311" s="36" t="n">
        <v>793</v>
      </c>
      <c r="I311" s="37" t="n">
        <v>0.1945057640421879</v>
      </c>
      <c r="J311" s="38">
        <f>IFERROR(F311/H311,0)</f>
        <v/>
      </c>
      <c r="K311" s="31" t="n">
        <v>2709.37466159882</v>
      </c>
      <c r="L311" s="31" t="n">
        <v>14621.8720917116</v>
      </c>
      <c r="M311" s="38">
        <f>IFERROR(L311/K311,0)</f>
        <v/>
      </c>
      <c r="N311" s="31" t="n">
        <v>399.533545855812</v>
      </c>
      <c r="O311" s="31" t="n">
        <v>859.413263854831</v>
      </c>
      <c r="P311" s="38">
        <f>IFERROR(O311/N311,0)</f>
        <v/>
      </c>
      <c r="Q311" s="31" t="n">
        <v>3108.908207</v>
      </c>
      <c r="R311" s="31" t="n">
        <v>15481.285356</v>
      </c>
      <c r="S311" s="38">
        <f>IFERROR(R311/Q311,0)</f>
        <v/>
      </c>
      <c r="T311" s="39">
        <f>IFERROR(Q311/SUMIF($A:$A,A311,$Q:$Q),0)</f>
        <v/>
      </c>
      <c r="U311" s="39">
        <f>IFERROR(Q311/F311,0)</f>
        <v/>
      </c>
      <c r="V311" s="35">
        <f>F311-R311</f>
        <v/>
      </c>
      <c r="W311" s="39">
        <f>IFERROR(V311/F311,0)</f>
        <v/>
      </c>
      <c r="X311" s="29" t="n">
        <v>413.71376</v>
      </c>
      <c r="Y311" s="31" t="n">
        <v>1570.04299999999</v>
      </c>
      <c r="Z311" s="39">
        <f>IFERROR(Y311/G311,0)</f>
        <v/>
      </c>
      <c r="AA311" s="35">
        <f>Y311-K311/1.06</f>
        <v/>
      </c>
      <c r="AB311" s="39">
        <f>IFERROR(AA311/G311,0)</f>
        <v/>
      </c>
      <c r="AC311" s="31" t="n">
        <v>-1753.185271</v>
      </c>
      <c r="AD311" s="39">
        <f>IFERROR(AC311/G311,0)</f>
        <v/>
      </c>
    </row>
    <row r="312">
      <c r="A312" s="27" t="inlineStr">
        <is>
          <t>7.27-8.2</t>
        </is>
      </c>
      <c r="B312" s="27" t="inlineStr">
        <is>
          <t>7.27-8.2</t>
        </is>
      </c>
      <c r="C312" s="34" t="n">
        <v>649735171438</v>
      </c>
      <c r="D312" s="27" t="inlineStr">
        <is>
          <t>杯面主链接</t>
        </is>
      </c>
      <c r="E312" s="27" t="inlineStr">
        <is>
          <t>印尼进口indomie营多捞面杯面速食泡面干拌面盒桶装方便面火鸡面</t>
        </is>
      </c>
      <c r="F312" s="31" t="n">
        <v>15355.2</v>
      </c>
      <c r="G312" s="35">
        <f>IFERROR(F312/1.13,0)</f>
        <v/>
      </c>
      <c r="H312" s="36" t="n">
        <v>619</v>
      </c>
      <c r="I312" s="37" t="n">
        <v>0.1518273240127545</v>
      </c>
      <c r="J312" s="38">
        <f>IFERROR(F312/H312,0)</f>
        <v/>
      </c>
      <c r="K312" s="31" t="n">
        <v>2185.03453408534</v>
      </c>
      <c r="L312" s="31" t="n">
        <v>10082.8308509073</v>
      </c>
      <c r="M312" s="38">
        <f>IFERROR(L312/K312,0)</f>
        <v/>
      </c>
      <c r="N312" s="31" t="n">
        <v>311.867925453654</v>
      </c>
      <c r="O312" s="31" t="n">
        <v>670.840870524767</v>
      </c>
      <c r="P312" s="38">
        <f>IFERROR(O312/N312,0)</f>
        <v/>
      </c>
      <c r="Q312" s="31" t="n">
        <v>2496.90246</v>
      </c>
      <c r="R312" s="31" t="n">
        <v>10753.671721</v>
      </c>
      <c r="S312" s="38">
        <f>IFERROR(R312/Q312,0)</f>
        <v/>
      </c>
      <c r="T312" s="39">
        <f>IFERROR(Q312/SUMIF($A:$A,A312,$Q:$Q),0)</f>
        <v/>
      </c>
      <c r="U312" s="39">
        <f>IFERROR(Q312/F312,0)</f>
        <v/>
      </c>
      <c r="V312" s="35">
        <f>F312-R312</f>
        <v/>
      </c>
      <c r="W312" s="39">
        <f>IFERROR(V312/F312,0)</f>
        <v/>
      </c>
      <c r="X312" s="29" t="n">
        <v>322.936718</v>
      </c>
      <c r="Y312" s="31" t="n">
        <v>1871.199</v>
      </c>
      <c r="Z312" s="39">
        <f>IFERROR(Y312/G312,0)</f>
        <v/>
      </c>
      <c r="AA312" s="35">
        <f>Y312-K312/1.06</f>
        <v/>
      </c>
      <c r="AB312" s="39">
        <f>IFERROR(AA312/G312,0)</f>
        <v/>
      </c>
      <c r="AC312" s="31" t="n">
        <v>-789.026639</v>
      </c>
      <c r="AD312" s="39">
        <f>IFERROR(AC312/G312,0)</f>
        <v/>
      </c>
    </row>
    <row r="313">
      <c r="A313" s="27" t="inlineStr">
        <is>
          <t>7.27-8.2</t>
        </is>
      </c>
      <c r="B313" s="27" t="inlineStr">
        <is>
          <t>7.27-8.2</t>
        </is>
      </c>
      <c r="C313" s="34" t="n">
        <v>1058280415678</v>
      </c>
      <c r="D313" s="27" t="inlineStr">
        <is>
          <t>原味大包</t>
        </is>
      </c>
      <c r="E313" s="27" t="inlineStr">
        <is>
          <t>印尼进口大大包营多原味捞面5包干拌面速食超大包方便面速食宵夜</t>
        </is>
      </c>
      <c r="F313" s="31" t="n">
        <v>5107.37</v>
      </c>
      <c r="G313" s="35">
        <f>IFERROR(F313/1.13,0)</f>
        <v/>
      </c>
      <c r="H313" s="36" t="n">
        <v>184</v>
      </c>
      <c r="I313" s="37" t="n">
        <v>0.04513122393917096</v>
      </c>
      <c r="J313" s="38">
        <f>IFERROR(F313/H313,0)</f>
        <v/>
      </c>
      <c r="K313" s="31" t="n">
        <v>858.639215301618</v>
      </c>
      <c r="L313" s="31" t="n">
        <v>4651.71774889652</v>
      </c>
      <c r="M313" s="38">
        <f>IFERROR(L313/K313,0)</f>
        <v/>
      </c>
      <c r="N313" s="31" t="n">
        <v>92.7038744482589</v>
      </c>
      <c r="O313" s="31" t="n">
        <v>199.409887199608</v>
      </c>
      <c r="P313" s="38">
        <f>IFERROR(O313/N313,0)</f>
        <v/>
      </c>
      <c r="Q313" s="31" t="n">
        <v>951.34309</v>
      </c>
      <c r="R313" s="31" t="n">
        <v>4851.127636</v>
      </c>
      <c r="S313" s="38">
        <f>IFERROR(R313/Q313,0)</f>
        <v/>
      </c>
      <c r="T313" s="39">
        <f>IFERROR(Q313/SUMIF($A:$A,A313,$Q:$Q),0)</f>
        <v/>
      </c>
      <c r="U313" s="39">
        <f>IFERROR(Q313/F313,0)</f>
        <v/>
      </c>
      <c r="V313" s="35">
        <f>F313-R313</f>
        <v/>
      </c>
      <c r="W313" s="39">
        <f>IFERROR(V313/F313,0)</f>
        <v/>
      </c>
      <c r="X313" s="29" t="n">
        <v>95.994113</v>
      </c>
      <c r="Y313" s="31" t="n">
        <v>1095.84</v>
      </c>
      <c r="Z313" s="39">
        <f>IFERROR(Y313/G313,0)</f>
        <v/>
      </c>
      <c r="AA313" s="35">
        <f>Y313-K313/1.06</f>
        <v/>
      </c>
      <c r="AB313" s="39">
        <f>IFERROR(AA313/G313,0)</f>
        <v/>
      </c>
      <c r="AC313" s="31" t="n">
        <v>107.786035</v>
      </c>
      <c r="AD313" s="39">
        <f>IFERROR(AC313/G313,0)</f>
        <v/>
      </c>
    </row>
    <row r="314">
      <c r="A314" s="27" t="inlineStr">
        <is>
          <t>7.27-8.2</t>
        </is>
      </c>
      <c r="B314" s="27" t="inlineStr">
        <is>
          <t>7.27-8.2</t>
        </is>
      </c>
      <c r="C314" s="34" t="n">
        <v>1057479227624</v>
      </c>
      <c r="D314" s="27" t="inlineStr">
        <is>
          <t>巴东牛肉</t>
        </is>
      </c>
      <c r="E314" s="27" t="inlineStr">
        <is>
          <t>【新口味】印尼进口营多捞面巴东炖牛肉味泡面方便面宿舍速食宵夜</t>
        </is>
      </c>
      <c r="F314" s="31" t="n">
        <v>2736.09000000001</v>
      </c>
      <c r="G314" s="35">
        <f>IFERROR(F314/1.13,0)</f>
        <v/>
      </c>
      <c r="H314" s="36" t="n">
        <v>157</v>
      </c>
      <c r="I314" s="37" t="n">
        <v>0.03850870738287957</v>
      </c>
      <c r="J314" s="38">
        <f>IFERROR(F314/H314,0)</f>
        <v/>
      </c>
      <c r="K314" s="31" t="n">
        <v>805.608678273663</v>
      </c>
      <c r="L314" s="31" t="n">
        <v>3892.90617704757</v>
      </c>
      <c r="M314" s="38">
        <f>IFERROR(L314/K314,0)</f>
        <v/>
      </c>
      <c r="N314" s="31" t="n">
        <v>79.1005885237862</v>
      </c>
      <c r="O314" s="31" t="n">
        <v>170.148653751839</v>
      </c>
      <c r="P314" s="38">
        <f>IFERROR(O314/N314,0)</f>
        <v/>
      </c>
      <c r="Q314" s="31" t="n">
        <v>884.709267</v>
      </c>
      <c r="R314" s="31" t="n">
        <v>4063.054831</v>
      </c>
      <c r="S314" s="38">
        <f>IFERROR(R314/Q314,0)</f>
        <v/>
      </c>
      <c r="T314" s="39">
        <f>IFERROR(Q314/SUMIF($A:$A,A314,$Q:$Q),0)</f>
        <v/>
      </c>
      <c r="U314" s="39">
        <f>IFERROR(Q314/F314,0)</f>
        <v/>
      </c>
      <c r="V314" s="35">
        <f>F314-R314</f>
        <v/>
      </c>
      <c r="W314" s="39">
        <f>IFERROR(V314/F314,0)</f>
        <v/>
      </c>
      <c r="X314" s="29" t="n">
        <v>81.90802100000001</v>
      </c>
      <c r="Y314" s="31" t="n">
        <v>299.643</v>
      </c>
      <c r="Z314" s="39">
        <f>IFERROR(Y314/G314,0)</f>
        <v/>
      </c>
      <c r="AA314" s="35">
        <f>Y314-K314/1.06</f>
        <v/>
      </c>
      <c r="AB314" s="39">
        <f>IFERROR(AA314/G314,0)</f>
        <v/>
      </c>
      <c r="AC314" s="31" t="n">
        <v>-612.260101</v>
      </c>
      <c r="AD314" s="39">
        <f>IFERROR(AC314/G314,0)</f>
        <v/>
      </c>
    </row>
    <row r="315">
      <c r="A315" s="27" t="inlineStr">
        <is>
          <t>7.27-8.2</t>
        </is>
      </c>
      <c r="B315" s="27" t="inlineStr">
        <is>
          <t>7.27-8.2</t>
        </is>
      </c>
      <c r="C315" s="34" t="n">
        <v>648600900806</v>
      </c>
      <c r="D315" s="27" t="inlineStr">
        <is>
          <t>30包</t>
        </is>
      </c>
      <c r="E315" s="27" t="inlineStr">
        <is>
          <t>进口营多捞面一整箱30包网红速食方便面宿舍速食泡面干拌面拉面</t>
        </is>
      </c>
      <c r="F315" s="31" t="n">
        <v>10398.16</v>
      </c>
      <c r="G315" s="35">
        <f>IFERROR(F315/1.13,0)</f>
        <v/>
      </c>
      <c r="H315" s="36" t="n">
        <v>153</v>
      </c>
      <c r="I315" s="37" t="n">
        <v>0.03752759381898454</v>
      </c>
      <c r="J315" s="38">
        <f>IFERROR(F315/H315,0)</f>
        <v/>
      </c>
      <c r="K315" s="31" t="n">
        <v>2406.26304315841</v>
      </c>
      <c r="L315" s="31" t="n">
        <v>10799.1955738107</v>
      </c>
      <c r="M315" s="38">
        <f>IFERROR(L315/K315,0)</f>
        <v/>
      </c>
      <c r="N315" s="31" t="n">
        <v>77.0852869053458</v>
      </c>
      <c r="O315" s="31" t="n">
        <v>165.813656204022</v>
      </c>
      <c r="P315" s="38">
        <f>IFERROR(O315/N315,0)</f>
        <v/>
      </c>
      <c r="Q315" s="31" t="n">
        <v>2483.34833</v>
      </c>
      <c r="R315" s="31" t="n">
        <v>10965.00923</v>
      </c>
      <c r="S315" s="38">
        <f>IFERROR(R315/Q315,0)</f>
        <v/>
      </c>
      <c r="T315" s="39">
        <f>IFERROR(Q315/SUMIF($A:$A,A315,$Q:$Q),0)</f>
        <v/>
      </c>
      <c r="U315" s="39">
        <f>IFERROR(Q315/F315,0)</f>
        <v/>
      </c>
      <c r="V315" s="35">
        <f>F315-R315</f>
        <v/>
      </c>
      <c r="W315" s="39">
        <f>IFERROR(V315/F315,0)</f>
        <v/>
      </c>
      <c r="X315" s="29" t="n">
        <v>79.821192</v>
      </c>
      <c r="Y315" s="31" t="n">
        <v>1930.47</v>
      </c>
      <c r="Z315" s="39">
        <f>IFERROR(Y315/G315,0)</f>
        <v/>
      </c>
      <c r="AA315" s="35">
        <f>Y315-K315/1.06</f>
        <v/>
      </c>
      <c r="AB315" s="39">
        <f>IFERROR(AA315/G315,0)</f>
        <v/>
      </c>
      <c r="AC315" s="31" t="n">
        <v>-487.614455</v>
      </c>
      <c r="AD315" s="39">
        <f>IFERROR(AC315/G315,0)</f>
        <v/>
      </c>
    </row>
    <row r="316">
      <c r="A316" s="27" t="inlineStr">
        <is>
          <t>7.27-8.2</t>
        </is>
      </c>
      <c r="B316" s="27" t="inlineStr">
        <is>
          <t>7.27-8.2</t>
        </is>
      </c>
      <c r="C316" s="34" t="n">
        <v>649369494424</v>
      </c>
      <c r="D316" s="27" t="inlineStr">
        <is>
          <t>24包经典/牛系列</t>
        </is>
      </c>
      <c r="E316" s="27" t="inlineStr">
        <is>
          <t>营多捞面干拌面一整箱24袋装批发泡面混搭宿舍速食方便面火鸡面</t>
        </is>
      </c>
      <c r="F316" s="31" t="n">
        <v>4152.8</v>
      </c>
      <c r="G316" s="35">
        <f>IFERROR(F316/1.13,0)</f>
        <v/>
      </c>
      <c r="H316" s="36" t="n">
        <v>75</v>
      </c>
      <c r="I316" s="37" t="n">
        <v>0.01839587932303164</v>
      </c>
      <c r="J316" s="38">
        <f>IFERROR(F316/H316,0)</f>
        <v/>
      </c>
      <c r="K316" s="31" t="n">
        <v>613.928158410986</v>
      </c>
      <c r="L316" s="31" t="n">
        <v>2197.72881069152</v>
      </c>
      <c r="M316" s="38">
        <f>IFERROR(L316/K316,0)</f>
        <v/>
      </c>
      <c r="N316" s="31" t="n">
        <v>37.7869053457577</v>
      </c>
      <c r="O316" s="31" t="n">
        <v>81.2812040215792</v>
      </c>
      <c r="P316" s="38">
        <f>IFERROR(O316/N316,0)</f>
        <v/>
      </c>
      <c r="Q316" s="31" t="n">
        <v>651.715064</v>
      </c>
      <c r="R316" s="31" t="n">
        <v>2279.010015</v>
      </c>
      <c r="S316" s="38">
        <f>IFERROR(R316/Q316,0)</f>
        <v/>
      </c>
      <c r="T316" s="39">
        <f>IFERROR(Q316/SUMIF($A:$A,A316,$Q:$Q),0)</f>
        <v/>
      </c>
      <c r="U316" s="39">
        <f>IFERROR(Q316/F316,0)</f>
        <v/>
      </c>
      <c r="V316" s="35">
        <f>F316-R316</f>
        <v/>
      </c>
      <c r="W316" s="39">
        <f>IFERROR(V316/F316,0)</f>
        <v/>
      </c>
      <c r="X316" s="29" t="n">
        <v>39.128035</v>
      </c>
      <c r="Y316" s="31" t="n">
        <v>783.0660000000011</v>
      </c>
      <c r="Z316" s="39">
        <f>IFERROR(Y316/G316,0)</f>
        <v/>
      </c>
      <c r="AA316" s="35">
        <f>Y316-K316/1.06</f>
        <v/>
      </c>
      <c r="AB316" s="39">
        <f>IFERROR(AA316/G316,0)</f>
        <v/>
      </c>
      <c r="AC316" s="31" t="n">
        <v>131.327227</v>
      </c>
      <c r="AD316" s="39">
        <f>IFERROR(AC316/G316,0)</f>
        <v/>
      </c>
    </row>
    <row r="317">
      <c r="A317" s="27" t="inlineStr">
        <is>
          <t>7.27-8.2</t>
        </is>
      </c>
      <c r="B317" s="27" t="inlineStr">
        <is>
          <t>7.27-8.2</t>
        </is>
      </c>
      <c r="C317" s="34" t="n">
        <v>648681860568</v>
      </c>
      <c r="D317" s="27" t="inlineStr">
        <is>
          <t>杯面次链接</t>
        </is>
      </c>
      <c r="E317" s="27" t="inlineStr">
        <is>
          <t>营多捞面杯装方便面泡面速食干拌面原味整箱批发印尼进口桶装拌面</t>
        </is>
      </c>
      <c r="F317" s="31" t="n">
        <v>1135.09</v>
      </c>
      <c r="G317" s="35">
        <f>IFERROR(F317/1.13,0)</f>
        <v/>
      </c>
      <c r="H317" s="36" t="n">
        <v>66</v>
      </c>
      <c r="I317" s="37" t="n">
        <v>0.01618837380426785</v>
      </c>
      <c r="J317" s="38">
        <f>IFERROR(F317/H317,0)</f>
        <v/>
      </c>
      <c r="K317" s="31" t="n">
        <v>250.357979401667</v>
      </c>
      <c r="L317" s="31" t="n">
        <v>1223.82495340853</v>
      </c>
      <c r="M317" s="38">
        <f>IFERROR(L317/K317,0)</f>
        <v/>
      </c>
      <c r="N317" s="31" t="n">
        <v>33.2524767042668</v>
      </c>
      <c r="O317" s="31" t="n">
        <v>71.5274595389897</v>
      </c>
      <c r="P317" s="38">
        <f>IFERROR(O317/N317,0)</f>
        <v/>
      </c>
      <c r="Q317" s="31" t="n">
        <v>283.610456</v>
      </c>
      <c r="R317" s="31" t="n">
        <v>1295.352413</v>
      </c>
      <c r="S317" s="38">
        <f>IFERROR(R317/Q317,0)</f>
        <v/>
      </c>
      <c r="T317" s="39">
        <f>IFERROR(Q317/SUMIF($A:$A,A317,$Q:$Q),0)</f>
        <v/>
      </c>
      <c r="U317" s="39">
        <f>IFERROR(Q317/F317,0)</f>
        <v/>
      </c>
      <c r="V317" s="35">
        <f>F317-R317</f>
        <v/>
      </c>
      <c r="W317" s="39">
        <f>IFERROR(V317/F317,0)</f>
        <v/>
      </c>
      <c r="X317" s="29" t="n">
        <v>34.432671</v>
      </c>
      <c r="Y317" s="31" t="n">
        <v>21.311</v>
      </c>
      <c r="Z317" s="39">
        <f>IFERROR(Y317/G317,0)</f>
        <v/>
      </c>
      <c r="AA317" s="35">
        <f>Y317-K317/1.06</f>
        <v/>
      </c>
      <c r="AB317" s="39">
        <f>IFERROR(AA317/G317,0)</f>
        <v/>
      </c>
      <c r="AC317" s="31" t="n">
        <v>-278.729686</v>
      </c>
      <c r="AD317" s="39">
        <f>IFERROR(AC317/G317,0)</f>
        <v/>
      </c>
    </row>
    <row r="318">
      <c r="A318" s="27" t="inlineStr">
        <is>
          <t>7.27-8.2</t>
        </is>
      </c>
      <c r="B318" s="27" t="inlineStr">
        <is>
          <t>7.27-8.2</t>
        </is>
      </c>
      <c r="C318" s="34" t="n">
        <v>1060999732877</v>
      </c>
      <c r="D318" s="27" t="inlineStr">
        <is>
          <t>原味大包</t>
        </is>
      </c>
      <c r="E318" s="27" t="inlineStr">
        <is>
          <t>indomie印尼进口营多原味大大包129g捞面方便面速食食品宵夜小吃</t>
        </is>
      </c>
      <c r="F318" s="31" t="n">
        <v>1620.28</v>
      </c>
      <c r="G318" s="35">
        <f>IFERROR(F318/1.13,0)</f>
        <v/>
      </c>
      <c r="H318" s="36" t="n">
        <v>62</v>
      </c>
      <c r="I318" s="37" t="n">
        <v>0.01520726024037282</v>
      </c>
      <c r="J318" s="38">
        <f>IFERROR(F318/H318,0)</f>
        <v/>
      </c>
      <c r="K318" s="31" t="n">
        <v>350.672344286415</v>
      </c>
      <c r="L318" s="31" t="n">
        <v>1896.23435017165</v>
      </c>
      <c r="M318" s="38">
        <f>IFERROR(L318/K318,0)</f>
        <v/>
      </c>
      <c r="N318" s="31" t="n">
        <v>31.2371750858264</v>
      </c>
      <c r="O318" s="31" t="n">
        <v>67.1924619911721</v>
      </c>
      <c r="P318" s="38">
        <f>IFERROR(O318/N318,0)</f>
        <v/>
      </c>
      <c r="Q318" s="31" t="n">
        <v>381.909519</v>
      </c>
      <c r="R318" s="31" t="n">
        <v>1963.426812</v>
      </c>
      <c r="S318" s="38">
        <f>IFERROR(R318/Q318,0)</f>
        <v/>
      </c>
      <c r="T318" s="39">
        <f>IFERROR(Q318/SUMIF($A:$A,A318,$Q:$Q),0)</f>
        <v/>
      </c>
      <c r="U318" s="39">
        <f>IFERROR(Q318/F318,0)</f>
        <v/>
      </c>
      <c r="V318" s="35">
        <f>F318-R318</f>
        <v/>
      </c>
      <c r="W318" s="39">
        <f>IFERROR(V318/F318,0)</f>
        <v/>
      </c>
      <c r="X318" s="29" t="n">
        <v>32.345843</v>
      </c>
      <c r="Y318" s="31" t="n">
        <v>339.432</v>
      </c>
      <c r="Z318" s="39">
        <f>IFERROR(Y318/G318,0)</f>
        <v/>
      </c>
      <c r="AA318" s="35">
        <f>Y318-K318/1.06</f>
        <v/>
      </c>
      <c r="AB318" s="39">
        <f>IFERROR(AA318/G318,0)</f>
        <v/>
      </c>
      <c r="AC318" s="31" t="n">
        <v>-51.374945</v>
      </c>
      <c r="AD318" s="39">
        <f>IFERROR(AC318/G318,0)</f>
        <v/>
      </c>
    </row>
    <row r="319">
      <c r="A319" s="27" t="inlineStr">
        <is>
          <t>7.27-8.2</t>
        </is>
      </c>
      <c r="B319" s="27" t="inlineStr">
        <is>
          <t>7.27-8.2</t>
        </is>
      </c>
      <c r="C319" s="34" t="n">
        <v>648598580775</v>
      </c>
      <c r="D319" s="27" t="inlineStr">
        <is>
          <t>原味大包</t>
        </is>
      </c>
      <c r="E319" s="27" t="inlineStr">
        <is>
          <t>印尼进口大大包营多原味捞面5包干拌面速食超大包方便面速食宵夜</t>
        </is>
      </c>
      <c r="F319" s="31" t="n">
        <v>2210.84</v>
      </c>
      <c r="G319" s="35">
        <f>IFERROR(F319/1.13,0)</f>
        <v/>
      </c>
      <c r="H319" s="36" t="n">
        <v>60</v>
      </c>
      <c r="I319" s="37" t="n">
        <v>0.01471670345842531</v>
      </c>
      <c r="J319" s="38">
        <f>IFERROR(F319/H319,0)</f>
        <v/>
      </c>
      <c r="K319" s="31" t="n">
        <v>467.024526728789</v>
      </c>
      <c r="L319" s="31" t="n">
        <v>1635.14904855321</v>
      </c>
      <c r="M319" s="38">
        <f>IFERROR(L319/K319,0)</f>
        <v/>
      </c>
      <c r="N319" s="31" t="n">
        <v>30.2295242766062</v>
      </c>
      <c r="O319" s="31" t="n">
        <v>65.02496321726341</v>
      </c>
      <c r="P319" s="38">
        <f>IFERROR(O319/N319,0)</f>
        <v/>
      </c>
      <c r="Q319" s="31" t="n">
        <v>497.254051</v>
      </c>
      <c r="R319" s="31" t="n">
        <v>1700.174012</v>
      </c>
      <c r="S319" s="38">
        <f>IFERROR(R319/Q319,0)</f>
        <v/>
      </c>
      <c r="T319" s="39">
        <f>IFERROR(Q319/SUMIF($A:$A,A319,$Q:$Q),0)</f>
        <v/>
      </c>
      <c r="U319" s="39">
        <f>IFERROR(Q319/F319,0)</f>
        <v/>
      </c>
      <c r="V319" s="35">
        <f>F319-R319</f>
        <v/>
      </c>
      <c r="W319" s="39">
        <f>IFERROR(V319/F319,0)</f>
        <v/>
      </c>
      <c r="X319" s="29" t="n">
        <v>31.302428</v>
      </c>
      <c r="Y319" s="31" t="n">
        <v>413.688</v>
      </c>
      <c r="Z319" s="39">
        <f>IFERROR(Y319/G319,0)</f>
        <v/>
      </c>
      <c r="AA319" s="35">
        <f>Y319-K319/1.06</f>
        <v/>
      </c>
      <c r="AB319" s="39">
        <f>IFERROR(AA319/G319,0)</f>
        <v/>
      </c>
      <c r="AC319" s="31" t="n">
        <v>-84.950188</v>
      </c>
      <c r="AD319" s="39">
        <f>IFERROR(AC319/G319,0)</f>
        <v/>
      </c>
    </row>
    <row r="320">
      <c r="A320" s="27" t="inlineStr">
        <is>
          <t>7.27-8.2</t>
        </is>
      </c>
      <c r="B320" s="27" t="inlineStr">
        <is>
          <t>7.27-8.2</t>
        </is>
      </c>
      <c r="C320" s="34" t="n">
        <v>649014937782</v>
      </c>
      <c r="D320" s="27" t="inlineStr">
        <is>
          <t>24包</t>
        </is>
      </c>
      <c r="E320" s="27" t="inlineStr">
        <is>
          <t>印尼营多捞面干拌面一整箱24袋装批发泡面宿舍速食方便面火鸡面</t>
        </is>
      </c>
      <c r="F320" s="31" t="n">
        <v>3108.81</v>
      </c>
      <c r="G320" s="35">
        <f>IFERROR(F320/1.13,0)</f>
        <v/>
      </c>
      <c r="H320" s="36" t="n">
        <v>56</v>
      </c>
      <c r="I320" s="37" t="n">
        <v>0.01373558989453029</v>
      </c>
      <c r="J320" s="38">
        <f>IFERROR(F320/H320,0)</f>
        <v/>
      </c>
      <c r="K320" s="31" t="n">
        <v>804.5488916135359</v>
      </c>
      <c r="L320" s="31" t="n">
        <v>2301.44844531633</v>
      </c>
      <c r="M320" s="38">
        <f>IFERROR(L320/K320,0)</f>
        <v/>
      </c>
      <c r="N320" s="31" t="n">
        <v>28.2142226581658</v>
      </c>
      <c r="O320" s="31" t="n">
        <v>60.6899656694458</v>
      </c>
      <c r="P320" s="38">
        <f>IFERROR(O320/N320,0)</f>
        <v/>
      </c>
      <c r="Q320" s="31" t="n">
        <v>832.763114</v>
      </c>
      <c r="R320" s="31" t="n">
        <v>2362.138411</v>
      </c>
      <c r="S320" s="38">
        <f>IFERROR(R320/Q320,0)</f>
        <v/>
      </c>
      <c r="T320" s="39">
        <f>IFERROR(Q320/SUMIF($A:$A,A320,$Q:$Q),0)</f>
        <v/>
      </c>
      <c r="U320" s="39">
        <f>IFERROR(Q320/F320,0)</f>
        <v/>
      </c>
      <c r="V320" s="35">
        <f>F320-R320</f>
        <v/>
      </c>
      <c r="W320" s="39">
        <f>IFERROR(V320/F320,0)</f>
        <v/>
      </c>
      <c r="X320" s="29" t="n">
        <v>29.2156</v>
      </c>
      <c r="Y320" s="31" t="n">
        <v>578.087000000001</v>
      </c>
      <c r="Z320" s="39">
        <f>IFERROR(Y320/G320,0)</f>
        <v/>
      </c>
      <c r="AA320" s="35">
        <f>Y320-K320/1.06</f>
        <v/>
      </c>
      <c r="AB320" s="39">
        <f>IFERROR(AA320/G320,0)</f>
        <v/>
      </c>
      <c r="AC320" s="31" t="n">
        <v>-235.100466</v>
      </c>
      <c r="AD320" s="39">
        <f>IFERROR(AC320/G320,0)</f>
        <v/>
      </c>
    </row>
    <row r="321">
      <c r="A321" s="27" t="inlineStr">
        <is>
          <t>7.27-8.2</t>
        </is>
      </c>
      <c r="B321" s="27" t="inlineStr">
        <is>
          <t>7.27-8.2</t>
        </is>
      </c>
      <c r="C321" s="34" t="n">
        <v>1013887677295</v>
      </c>
      <c r="D321" s="27" t="inlineStr">
        <is>
          <t>原味大包</t>
        </is>
      </c>
      <c r="E321" s="27" t="inlineStr">
        <is>
          <t>indomie印尼进口营多原味大大包129g捞面方便面速食食品宵夜小吃</t>
        </is>
      </c>
      <c r="F321" s="31" t="n">
        <v>1457.75</v>
      </c>
      <c r="G321" s="35">
        <f>IFERROR(F321/1.13,0)</f>
        <v/>
      </c>
      <c r="H321" s="36" t="n">
        <v>52</v>
      </c>
      <c r="I321" s="37" t="n">
        <v>0.01275447633063527</v>
      </c>
      <c r="J321" s="38">
        <f>IFERROR(F321/H321,0)</f>
        <v/>
      </c>
      <c r="K321" s="31" t="n">
        <v>270.693256498284</v>
      </c>
      <c r="L321" s="31" t="n">
        <v>985.907842079451</v>
      </c>
      <c r="M321" s="38">
        <f>IFERROR(L321/K321,0)</f>
        <v/>
      </c>
      <c r="N321" s="31" t="n">
        <v>26.1989210397254</v>
      </c>
      <c r="O321" s="31" t="n">
        <v>56.3549681216282</v>
      </c>
      <c r="P321" s="38">
        <f>IFERROR(O321/N321,0)</f>
        <v/>
      </c>
      <c r="Q321" s="31" t="n">
        <v>296.892178</v>
      </c>
      <c r="R321" s="31" t="n">
        <v>1042.26281</v>
      </c>
      <c r="S321" s="38">
        <f>IFERROR(R321/Q321,0)</f>
        <v/>
      </c>
      <c r="T321" s="39">
        <f>IFERROR(Q321/SUMIF($A:$A,A321,$Q:$Q),0)</f>
        <v/>
      </c>
      <c r="U321" s="39">
        <f>IFERROR(Q321/F321,0)</f>
        <v/>
      </c>
      <c r="V321" s="35">
        <f>F321-R321</f>
        <v/>
      </c>
      <c r="W321" s="39">
        <f>IFERROR(V321/F321,0)</f>
        <v/>
      </c>
      <c r="X321" s="29" t="n">
        <v>27.128771</v>
      </c>
      <c r="Y321" s="31" t="n">
        <v>158.29</v>
      </c>
      <c r="Z321" s="39">
        <f>IFERROR(Y321/G321,0)</f>
        <v/>
      </c>
      <c r="AA321" s="35">
        <f>Y321-K321/1.06</f>
        <v/>
      </c>
      <c r="AB321" s="39">
        <f>IFERROR(AA321/G321,0)</f>
        <v/>
      </c>
      <c r="AC321" s="31" t="n">
        <v>-147.39014</v>
      </c>
      <c r="AD321" s="39">
        <f>IFERROR(AC321/G321,0)</f>
        <v/>
      </c>
    </row>
    <row r="322">
      <c r="A322" s="27" t="inlineStr">
        <is>
          <t>7.27-8.2</t>
        </is>
      </c>
      <c r="B322" s="27" t="inlineStr">
        <is>
          <t>7.27-8.2</t>
        </is>
      </c>
      <c r="C322" s="34" t="n">
        <v>929504658691</v>
      </c>
      <c r="D322" s="27" t="inlineStr">
        <is>
          <t>巴东牛肉</t>
        </is>
      </c>
      <c r="E322" s="27" t="inlineStr">
        <is>
          <t>营多进口新口味巴东炖牛肉味捞面印尼料理方便面泡面捞面夜宵速食</t>
        </is>
      </c>
      <c r="F322" s="31" t="n">
        <v>585.7</v>
      </c>
      <c r="G322" s="35">
        <f>IFERROR(F322/1.13,0)</f>
        <v/>
      </c>
      <c r="H322" s="36" t="n">
        <v>28</v>
      </c>
      <c r="I322" s="37" t="n">
        <v>0.006867794947265146</v>
      </c>
      <c r="J322" s="38">
        <f>IFERROR(F322/H322,0)</f>
        <v/>
      </c>
      <c r="K322" s="31" t="n">
        <v>130.489445806768</v>
      </c>
      <c r="L322" s="31" t="n">
        <v>527.904222658166</v>
      </c>
      <c r="M322" s="38">
        <f>IFERROR(L322/K322,0)</f>
        <v/>
      </c>
      <c r="N322" s="31" t="n">
        <v>14.1071113290829</v>
      </c>
      <c r="O322" s="31" t="n">
        <v>30.3449828347229</v>
      </c>
      <c r="P322" s="38">
        <f>IFERROR(O322/N322,0)</f>
        <v/>
      </c>
      <c r="Q322" s="31" t="n">
        <v>144.596557</v>
      </c>
      <c r="R322" s="31" t="n">
        <v>558.249205</v>
      </c>
      <c r="S322" s="38">
        <f>IFERROR(R322/Q322,0)</f>
        <v/>
      </c>
      <c r="T322" s="39">
        <f>IFERROR(Q322/SUMIF($A:$A,A322,$Q:$Q),0)</f>
        <v/>
      </c>
      <c r="U322" s="39">
        <f>IFERROR(Q322/F322,0)</f>
        <v/>
      </c>
      <c r="V322" s="35">
        <f>F322-R322</f>
        <v/>
      </c>
      <c r="W322" s="39">
        <f>IFERROR(V322/F322,0)</f>
        <v/>
      </c>
      <c r="X322" s="29" t="n">
        <v>14.6078</v>
      </c>
      <c r="Y322" s="31" t="n">
        <v>71.306</v>
      </c>
      <c r="Z322" s="39">
        <f>IFERROR(Y322/G322,0)</f>
        <v/>
      </c>
      <c r="AA322" s="35">
        <f>Y322-K322/1.06</f>
        <v/>
      </c>
      <c r="AB322" s="39">
        <f>IFERROR(AA322/G322,0)</f>
        <v/>
      </c>
      <c r="AC322" s="31" t="n">
        <v>-78.88679</v>
      </c>
      <c r="AD322" s="39">
        <f>IFERROR(AC322/G322,0)</f>
        <v/>
      </c>
    </row>
    <row r="323">
      <c r="A323" s="27" t="inlineStr">
        <is>
          <t>7.27-8.2</t>
        </is>
      </c>
      <c r="B323" s="27" t="inlineStr">
        <is>
          <t>7.27-8.2</t>
        </is>
      </c>
      <c r="C323" s="34" t="n">
        <v>969423151512</v>
      </c>
      <c r="D323" s="27" t="inlineStr">
        <is>
          <t>日韩混搭</t>
        </is>
      </c>
      <c r="E323" s="27" t="inlineStr">
        <is>
          <t>营多捞面甜辣炸鸡火鸡面辣蘑菇泡面方便面速食干拌面宿舍宵夜旅行</t>
        </is>
      </c>
      <c r="F323" s="31" t="n">
        <v>510.77</v>
      </c>
      <c r="G323" s="35">
        <f>IFERROR(F323/1.13,0)</f>
        <v/>
      </c>
      <c r="H323" s="36" t="n">
        <v>24</v>
      </c>
      <c r="I323" s="37" t="n">
        <v>0.005886681383370125</v>
      </c>
      <c r="J323" s="38">
        <f>IFERROR(F323/H323,0)</f>
        <v/>
      </c>
      <c r="K323" s="31" t="n">
        <v>111.833810691515</v>
      </c>
      <c r="L323" s="31" t="n">
        <v>471.773619421285</v>
      </c>
      <c r="M323" s="38">
        <f>IFERROR(L323/K323,0)</f>
        <v/>
      </c>
      <c r="N323" s="31" t="n">
        <v>12.0918097106425</v>
      </c>
      <c r="O323" s="31" t="n">
        <v>26.0099852869053</v>
      </c>
      <c r="P323" s="38">
        <f>IFERROR(O323/N323,0)</f>
        <v/>
      </c>
      <c r="Q323" s="31" t="n">
        <v>123.92562</v>
      </c>
      <c r="R323" s="31" t="n">
        <v>497.783605</v>
      </c>
      <c r="S323" s="38">
        <f>IFERROR(R323/Q323,0)</f>
        <v/>
      </c>
      <c r="T323" s="39">
        <f>IFERROR(Q323/SUMIF($A:$A,A323,$Q:$Q),0)</f>
        <v/>
      </c>
      <c r="U323" s="39">
        <f>IFERROR(Q323/F323,0)</f>
        <v/>
      </c>
      <c r="V323" s="35">
        <f>F323-R323</f>
        <v/>
      </c>
      <c r="W323" s="39">
        <f>IFERROR(V323/F323,0)</f>
        <v/>
      </c>
      <c r="X323" s="29" t="n">
        <v>12.520971</v>
      </c>
      <c r="Y323" s="31" t="n">
        <v>67.911</v>
      </c>
      <c r="Z323" s="39">
        <f>IFERROR(Y323/G323,0)</f>
        <v/>
      </c>
      <c r="AA323" s="35">
        <f>Y323-K323/1.06</f>
        <v/>
      </c>
      <c r="AB323" s="39">
        <f>IFERROR(AA323/G323,0)</f>
        <v/>
      </c>
      <c r="AC323" s="31" t="n">
        <v>-60.8122</v>
      </c>
      <c r="AD323" s="39">
        <f>IFERROR(AC323/G323,0)</f>
        <v/>
      </c>
    </row>
    <row r="324">
      <c r="A324" s="27" t="inlineStr">
        <is>
          <t>7.27-8.2</t>
        </is>
      </c>
      <c r="B324" s="27" t="inlineStr">
        <is>
          <t>7.27-8.2</t>
        </is>
      </c>
      <c r="C324" s="34" t="n">
        <v>766165464414</v>
      </c>
      <c r="D324" s="27" t="inlineStr">
        <is>
          <t>12包</t>
        </is>
      </c>
      <c r="E324" s="27" t="inlineStr">
        <is>
          <t>营多印尼进口营多捞面方便面火鸡面干拌面12包宿舍速食泡面夜宵</t>
        </is>
      </c>
      <c r="F324" s="31" t="n">
        <v>653.6900000000001</v>
      </c>
      <c r="G324" s="35">
        <f>IFERROR(F324/1.13,0)</f>
        <v/>
      </c>
      <c r="H324" s="36" t="n">
        <v>22</v>
      </c>
      <c r="I324" s="37" t="n">
        <v>0.005396124601422614</v>
      </c>
      <c r="J324" s="38">
        <f>IFERROR(F324/H324,0)</f>
        <v/>
      </c>
      <c r="K324" s="31" t="n">
        <v>16.5159931338892</v>
      </c>
      <c r="L324" s="31" t="n">
        <v>84.1983178028448</v>
      </c>
      <c r="M324" s="38">
        <f>IFERROR(L324/K324,0)</f>
        <v/>
      </c>
      <c r="N324" s="31" t="n">
        <v>11.0841589014223</v>
      </c>
      <c r="O324" s="31" t="n">
        <v>23.8424865129966</v>
      </c>
      <c r="P324" s="38">
        <f>IFERROR(O324/N324,0)</f>
        <v/>
      </c>
      <c r="Q324" s="31" t="n">
        <v>27.600152</v>
      </c>
      <c r="R324" s="31" t="n">
        <v>108.040804</v>
      </c>
      <c r="S324" s="38">
        <f>IFERROR(R324/Q324,0)</f>
        <v/>
      </c>
      <c r="T324" s="39">
        <f>IFERROR(Q324/SUMIF($A:$A,A324,$Q:$Q),0)</f>
        <v/>
      </c>
      <c r="U324" s="39">
        <f>IFERROR(Q324/F324,0)</f>
        <v/>
      </c>
      <c r="V324" s="35">
        <f>F324-R324</f>
        <v/>
      </c>
      <c r="W324" s="39">
        <f>IFERROR(V324/F324,0)</f>
        <v/>
      </c>
      <c r="X324" s="29" t="n">
        <v>11.477557</v>
      </c>
      <c r="Y324" s="31" t="n">
        <v>95.274</v>
      </c>
      <c r="Z324" s="39">
        <f>IFERROR(Y324/G324,0)</f>
        <v/>
      </c>
      <c r="AA324" s="35">
        <f>Y324-K324/1.06</f>
        <v/>
      </c>
      <c r="AB324" s="39">
        <f>IFERROR(AA324/G324,0)</f>
        <v/>
      </c>
      <c r="AC324" s="31" t="n">
        <v>58.408237</v>
      </c>
      <c r="AD324" s="39">
        <f>IFERROR(AC324/G324,0)</f>
        <v/>
      </c>
    </row>
    <row r="325">
      <c r="A325" s="27" t="inlineStr">
        <is>
          <t>7.27-8.2</t>
        </is>
      </c>
      <c r="B325" s="27" t="inlineStr">
        <is>
          <t>7.27-8.2</t>
        </is>
      </c>
      <c r="C325" s="34" t="n">
        <v>735014804839</v>
      </c>
      <c r="D325" s="27" t="inlineStr">
        <is>
          <t>24/30包</t>
        </is>
      </c>
      <c r="E325" s="27" t="inlineStr">
        <is>
          <t>进口营多捞面多口味Indomie网红方便面干拌面泡面30包整箱批发面</t>
        </is>
      </c>
      <c r="F325" s="31" t="n">
        <v>1372.92</v>
      </c>
      <c r="G325" s="35">
        <f>IFERROR(F325/1.13,0)</f>
        <v/>
      </c>
      <c r="H325" s="36" t="n">
        <v>21</v>
      </c>
      <c r="I325" s="37" t="n">
        <v>0.005150846210448859</v>
      </c>
      <c r="J325" s="38">
        <f>IFERROR(F325/H325,0)</f>
        <v/>
      </c>
      <c r="K325" s="31" t="n">
        <v>242.467084355076</v>
      </c>
      <c r="L325" s="31" t="n">
        <v>1239.30566699362</v>
      </c>
      <c r="M325" s="38">
        <f>IFERROR(L325/K325,0)</f>
        <v/>
      </c>
      <c r="N325" s="31" t="n">
        <v>10.5803334968122</v>
      </c>
      <c r="O325" s="31" t="n">
        <v>22.7587371260422</v>
      </c>
      <c r="P325" s="38">
        <f>IFERROR(O325/N325,0)</f>
        <v/>
      </c>
      <c r="Q325" s="31" t="n">
        <v>253.047418</v>
      </c>
      <c r="R325" s="31" t="n">
        <v>1262.064404</v>
      </c>
      <c r="S325" s="38">
        <f>IFERROR(R325/Q325,0)</f>
        <v/>
      </c>
      <c r="T325" s="39">
        <f>IFERROR(Q325/SUMIF($A:$A,A325,$Q:$Q),0)</f>
        <v/>
      </c>
      <c r="U325" s="39">
        <f>IFERROR(Q325/F325,0)</f>
        <v/>
      </c>
      <c r="V325" s="35">
        <f>F325-R325</f>
        <v/>
      </c>
      <c r="W325" s="39">
        <f>IFERROR(V325/F325,0)</f>
        <v/>
      </c>
      <c r="X325" s="29" t="n">
        <v>10.95585</v>
      </c>
      <c r="Y325" s="31" t="n">
        <v>229.703</v>
      </c>
      <c r="Z325" s="39">
        <f>IFERROR(Y325/G325,0)</f>
        <v/>
      </c>
      <c r="AA325" s="35">
        <f>Y325-K325/1.06</f>
        <v/>
      </c>
      <c r="AB325" s="39">
        <f>IFERROR(AA325/G325,0)</f>
        <v/>
      </c>
      <c r="AC325" s="31" t="n">
        <v>-19.356687</v>
      </c>
      <c r="AD325" s="39">
        <f>IFERROR(AC325/G325,0)</f>
        <v/>
      </c>
    </row>
    <row r="326">
      <c r="A326" s="27" t="inlineStr">
        <is>
          <t>7.27-8.2</t>
        </is>
      </c>
      <c r="B326" s="27" t="inlineStr">
        <is>
          <t>7.27-8.2</t>
        </is>
      </c>
      <c r="C326" s="34" t="n">
        <v>744317232690</v>
      </c>
      <c r="D326" s="27" t="inlineStr">
        <is>
          <t>多规格</t>
        </is>
      </c>
      <c r="E326" s="27" t="inlineStr">
        <is>
          <t>营多捞面汤面清香牛肉味方便面泡面速食食品泡面拉面整箱旅行宿舍</t>
        </is>
      </c>
      <c r="F326" s="31" t="n">
        <v>338.89</v>
      </c>
      <c r="G326" s="35">
        <f>IFERROR(F326/1.13,0)</f>
        <v/>
      </c>
      <c r="H326" s="36" t="n">
        <v>18</v>
      </c>
      <c r="I326" s="37" t="n">
        <v>0.004415011037527594</v>
      </c>
      <c r="J326" s="38">
        <f>IFERROR(F326/H326,0)</f>
        <v/>
      </c>
      <c r="K326" s="31" t="n">
        <v>63.1603580186366</v>
      </c>
      <c r="L326" s="31" t="n">
        <v>176.677714565964</v>
      </c>
      <c r="M326" s="38">
        <f>IFERROR(L326/K326,0)</f>
        <v/>
      </c>
      <c r="N326" s="31" t="n">
        <v>9.068857282981851</v>
      </c>
      <c r="O326" s="31" t="n">
        <v>19.507488965179</v>
      </c>
      <c r="P326" s="38">
        <f>IFERROR(O326/N326,0)</f>
        <v/>
      </c>
      <c r="Q326" s="31" t="n">
        <v>72.229215</v>
      </c>
      <c r="R326" s="31" t="n">
        <v>196.185204</v>
      </c>
      <c r="S326" s="38">
        <f>IFERROR(R326/Q326,0)</f>
        <v/>
      </c>
      <c r="T326" s="39">
        <f>IFERROR(Q326/SUMIF($A:$A,A326,$Q:$Q),0)</f>
        <v/>
      </c>
      <c r="U326" s="39">
        <f>IFERROR(Q326/F326,0)</f>
        <v/>
      </c>
      <c r="V326" s="35">
        <f>F326-R326</f>
        <v/>
      </c>
      <c r="W326" s="39">
        <f>IFERROR(V326/F326,0)</f>
        <v/>
      </c>
      <c r="X326" s="29" t="n">
        <v>9.390727999999999</v>
      </c>
      <c r="Y326" s="31" t="n">
        <v>37.021</v>
      </c>
      <c r="Z326" s="39">
        <f>IFERROR(Y326/G326,0)</f>
        <v/>
      </c>
      <c r="AA326" s="35">
        <f>Y326-K326/1.06</f>
        <v/>
      </c>
      <c r="AB326" s="39">
        <f>IFERROR(AA326/G326,0)</f>
        <v/>
      </c>
      <c r="AC326" s="31" t="n">
        <v>-39.978947</v>
      </c>
      <c r="AD326" s="39">
        <f>IFERROR(AC326/G326,0)</f>
        <v/>
      </c>
    </row>
    <row r="327">
      <c r="A327" s="27" t="inlineStr">
        <is>
          <t>7.27-8.2</t>
        </is>
      </c>
      <c r="B327" s="27" t="inlineStr">
        <is>
          <t>7.27-8.2</t>
        </is>
      </c>
      <c r="C327" s="34" t="n">
        <v>1059563993918</v>
      </c>
      <c r="D327" s="27" t="inlineStr">
        <is>
          <t>巴东牛肉</t>
        </is>
      </c>
      <c r="E327" s="27" t="inlineStr">
        <is>
          <t>营多进口新口味巴东炖牛肉味捞面印尼料理方便面泡面捞面夜宵速食</t>
        </is>
      </c>
      <c r="F327" s="31" t="n">
        <v>290.01</v>
      </c>
      <c r="G327" s="35">
        <f>IFERROR(F327/1.13,0)</f>
        <v/>
      </c>
      <c r="H327" s="36" t="n">
        <v>17</v>
      </c>
      <c r="I327" s="37" t="n">
        <v>0.004169732646553839</v>
      </c>
      <c r="J327" s="38">
        <f>IFERROR(F327/H327,0)</f>
        <v/>
      </c>
      <c r="K327" s="31" t="n">
        <v>48.3214492398234</v>
      </c>
      <c r="L327" s="31" t="n">
        <v>254.365063756744</v>
      </c>
      <c r="M327" s="38">
        <f>IFERROR(L327/K327,0)</f>
        <v/>
      </c>
      <c r="N327" s="31" t="n">
        <v>8.56503187837175</v>
      </c>
      <c r="O327" s="31" t="n">
        <v>18.4237395782246</v>
      </c>
      <c r="P327" s="38">
        <f>IFERROR(O327/N327,0)</f>
        <v/>
      </c>
      <c r="Q327" s="31" t="n">
        <v>56.886481</v>
      </c>
      <c r="R327" s="31" t="n">
        <v>272.788803</v>
      </c>
      <c r="S327" s="38">
        <f>IFERROR(R327/Q327,0)</f>
        <v/>
      </c>
      <c r="T327" s="39">
        <f>IFERROR(Q327/SUMIF($A:$A,A327,$Q:$Q),0)</f>
        <v/>
      </c>
      <c r="U327" s="39">
        <f>IFERROR(Q327/F327,0)</f>
        <v/>
      </c>
      <c r="V327" s="35">
        <f>F327-R327</f>
        <v/>
      </c>
      <c r="W327" s="39">
        <f>IFERROR(V327/F327,0)</f>
        <v/>
      </c>
      <c r="X327" s="29" t="n">
        <v>8.869021</v>
      </c>
      <c r="Y327" s="31" t="n">
        <v>32.063</v>
      </c>
      <c r="Z327" s="39">
        <f>IFERROR(Y327/G327,0)</f>
        <v/>
      </c>
      <c r="AA327" s="35">
        <f>Y327-K327/1.06</f>
        <v/>
      </c>
      <c r="AB327" s="39">
        <f>IFERROR(AA327/G327,0)</f>
        <v/>
      </c>
      <c r="AC327" s="31" t="n">
        <v>-29.970493</v>
      </c>
      <c r="AD327" s="39">
        <f>IFERROR(AC327/G327,0)</f>
        <v/>
      </c>
    </row>
    <row r="328">
      <c r="A328" s="27" t="inlineStr">
        <is>
          <t>7.27-8.2</t>
        </is>
      </c>
      <c r="B328" s="27" t="inlineStr">
        <is>
          <t>7.27-8.2</t>
        </is>
      </c>
      <c r="C328" s="34" t="n">
        <v>971242260371</v>
      </c>
      <c r="D328" s="27" t="inlineStr">
        <is>
          <t>韩式袋面</t>
        </is>
      </c>
      <c r="E328" s="27" t="inlineStr">
        <is>
          <t>新品营多捞面韩式辣蘑菇汤面泡面方便面速食干拌面宿舍宵夜旅行</t>
        </is>
      </c>
      <c r="F328" s="31" t="n">
        <v>268.55</v>
      </c>
      <c r="G328" s="35">
        <f>IFERROR(F328/1.13,0)</f>
        <v/>
      </c>
      <c r="H328" s="36" t="n">
        <v>12</v>
      </c>
      <c r="I328" s="37" t="n">
        <v>0.002943340691685063</v>
      </c>
      <c r="J328" s="38">
        <f>IFERROR(F328/H328,0)</f>
        <v/>
      </c>
      <c r="K328" s="31" t="n">
        <v>61.5969053457577</v>
      </c>
      <c r="L328" s="31" t="n">
        <v>285.211809710643</v>
      </c>
      <c r="M328" s="38">
        <f>IFERROR(L328/K328,0)</f>
        <v/>
      </c>
      <c r="N328" s="31" t="n">
        <v>6.04590485532124</v>
      </c>
      <c r="O328" s="31" t="n">
        <v>13.0049926434527</v>
      </c>
      <c r="P328" s="38">
        <f>IFERROR(O328/N328,0)</f>
        <v/>
      </c>
      <c r="Q328" s="31" t="n">
        <v>67.64281</v>
      </c>
      <c r="R328" s="31" t="n">
        <v>298.216802</v>
      </c>
      <c r="S328" s="38">
        <f>IFERROR(R328/Q328,0)</f>
        <v/>
      </c>
      <c r="T328" s="39">
        <f>IFERROR(Q328/SUMIF($A:$A,A328,$Q:$Q),0)</f>
        <v/>
      </c>
      <c r="U328" s="39">
        <f>IFERROR(Q328/F328,0)</f>
        <v/>
      </c>
      <c r="V328" s="35">
        <f>F328-R328</f>
        <v/>
      </c>
      <c r="W328" s="39">
        <f>IFERROR(V328/F328,0)</f>
        <v/>
      </c>
      <c r="X328" s="29" t="n">
        <v>6.260486</v>
      </c>
      <c r="Y328" s="31" t="n">
        <v>39.409</v>
      </c>
      <c r="Z328" s="39">
        <f>IFERROR(Y328/G328,0)</f>
        <v/>
      </c>
      <c r="AA328" s="35">
        <f>Y328-K328/1.06</f>
        <v/>
      </c>
      <c r="AB328" s="39">
        <f>IFERROR(AA328/G328,0)</f>
        <v/>
      </c>
      <c r="AC328" s="31" t="n">
        <v>-30.31109</v>
      </c>
      <c r="AD328" s="39">
        <f>IFERROR(AC328/G328,0)</f>
        <v/>
      </c>
    </row>
    <row r="329">
      <c r="A329" s="27" t="inlineStr">
        <is>
          <t>7.27-8.2</t>
        </is>
      </c>
      <c r="B329" s="27" t="inlineStr">
        <is>
          <t>7.27-8.2</t>
        </is>
      </c>
      <c r="C329" s="34" t="n">
        <v>937005385662</v>
      </c>
      <c r="D329" s="27" t="inlineStr">
        <is>
          <t>日式袋面</t>
        </is>
      </c>
      <c r="E329" s="27" t="inlineStr">
        <is>
          <t>进口营多正品捞面日式鸡肉鸡汤辛辣味袋装泡面辣味速食方便面汤面</t>
        </is>
      </c>
      <c r="F329" s="31" t="n">
        <v>230.53</v>
      </c>
      <c r="G329" s="35">
        <f>IFERROR(F329/1.13,0)</f>
        <v/>
      </c>
      <c r="H329" s="36" t="n">
        <v>11</v>
      </c>
      <c r="I329" s="37" t="n">
        <v>0.002698062300711307</v>
      </c>
      <c r="J329" s="38">
        <f>IFERROR(F329/H329,0)</f>
        <v/>
      </c>
      <c r="K329" s="31" t="n">
        <v>88.8679965669446</v>
      </c>
      <c r="L329" s="31" t="n">
        <v>266.479158901422</v>
      </c>
      <c r="M329" s="38">
        <f>IFERROR(L329/K329,0)</f>
        <v/>
      </c>
      <c r="N329" s="31" t="n">
        <v>5.54207945071113</v>
      </c>
      <c r="O329" s="31" t="n">
        <v>11.9212432564983</v>
      </c>
      <c r="P329" s="38">
        <f>IFERROR(O329/N329,0)</f>
        <v/>
      </c>
      <c r="Q329" s="31" t="n">
        <v>94.410076</v>
      </c>
      <c r="R329" s="31" t="n">
        <v>278.400402</v>
      </c>
      <c r="S329" s="38">
        <f>IFERROR(R329/Q329,0)</f>
        <v/>
      </c>
      <c r="T329" s="39">
        <f>IFERROR(Q329/SUMIF($A:$A,A329,$Q:$Q),0)</f>
        <v/>
      </c>
      <c r="U329" s="39">
        <f>IFERROR(Q329/F329,0)</f>
        <v/>
      </c>
      <c r="V329" s="35">
        <f>F329-R329</f>
        <v/>
      </c>
      <c r="W329" s="39">
        <f>IFERROR(V329/F329,0)</f>
        <v/>
      </c>
      <c r="X329" s="29" t="n">
        <v>5.738779</v>
      </c>
      <c r="Y329" s="31" t="n">
        <v>26.764</v>
      </c>
      <c r="Z329" s="39">
        <f>IFERROR(Y329/G329,0)</f>
        <v/>
      </c>
      <c r="AA329" s="35">
        <f>Y329-K329/1.06</f>
        <v/>
      </c>
      <c r="AB329" s="39">
        <f>IFERROR(AA329/G329,0)</f>
        <v/>
      </c>
      <c r="AC329" s="31" t="n">
        <v>-67.71605099999999</v>
      </c>
      <c r="AD329" s="39">
        <f>IFERROR(AC329/G329,0)</f>
        <v/>
      </c>
    </row>
    <row r="330">
      <c r="A330" s="27" t="inlineStr">
        <is>
          <t>7.27-8.2</t>
        </is>
      </c>
      <c r="B330" s="27" t="inlineStr">
        <is>
          <t>7.27-8.2</t>
        </is>
      </c>
      <c r="C330" s="34" t="n">
        <v>898076297965</v>
      </c>
      <c r="D330" s="27" t="inlineStr">
        <is>
          <t>番茄牛肉</t>
        </is>
      </c>
      <c r="E330" s="27" t="inlineStr">
        <is>
          <t>进口正品意面风味奶香番茄牛肉味意式拌面营多捞面早餐儿童宝妈餐</t>
        </is>
      </c>
      <c r="F330" s="31" t="n">
        <v>158.89</v>
      </c>
      <c r="G330" s="35">
        <f>IFERROR(F330/1.13,0)</f>
        <v/>
      </c>
      <c r="H330" s="36" t="n">
        <v>10</v>
      </c>
      <c r="I330" s="37" t="n">
        <v>0.002452783909737552</v>
      </c>
      <c r="J330" s="38">
        <f>IFERROR(F330/H330,0)</f>
        <v/>
      </c>
      <c r="K330" s="31" t="n">
        <v>19.7690877881314</v>
      </c>
      <c r="L330" s="31" t="n">
        <v>136.816508092202</v>
      </c>
      <c r="M330" s="38">
        <f>IFERROR(L330/K330,0)</f>
        <v/>
      </c>
      <c r="N330" s="31" t="n">
        <v>5.03825404610103</v>
      </c>
      <c r="O330" s="31" t="n">
        <v>10.8374938695439</v>
      </c>
      <c r="P330" s="38">
        <f>IFERROR(O330/N330,0)</f>
        <v/>
      </c>
      <c r="Q330" s="31" t="n">
        <v>24.807342</v>
      </c>
      <c r="R330" s="31" t="n">
        <v>147.654002</v>
      </c>
      <c r="S330" s="38">
        <f>IFERROR(R330/Q330,0)</f>
        <v/>
      </c>
      <c r="T330" s="39">
        <f>IFERROR(Q330/SUMIF($A:$A,A330,$Q:$Q),0)</f>
        <v/>
      </c>
      <c r="U330" s="39">
        <f>IFERROR(Q330/F330,0)</f>
        <v/>
      </c>
      <c r="V330" s="35">
        <f>F330-R330</f>
        <v/>
      </c>
      <c r="W330" s="39">
        <f>IFERROR(V330/F330,0)</f>
        <v/>
      </c>
      <c r="X330" s="29" t="n">
        <v>5.217071</v>
      </c>
      <c r="Y330" s="31" t="n">
        <v>8.856</v>
      </c>
      <c r="Z330" s="39">
        <f>IFERROR(Y330/G330,0)</f>
        <v/>
      </c>
      <c r="AA330" s="35">
        <f>Y330-K330/1.06</f>
        <v/>
      </c>
      <c r="AB330" s="39">
        <f>IFERROR(AA330/G330,0)</f>
        <v/>
      </c>
      <c r="AC330" s="31" t="n">
        <v>-19.468918</v>
      </c>
      <c r="AD330" s="39">
        <f>IFERROR(AC330/G330,0)</f>
        <v/>
      </c>
    </row>
    <row r="331">
      <c r="A331" s="27" t="inlineStr">
        <is>
          <t>7.27-8.2</t>
        </is>
      </c>
      <c r="B331" s="27" t="inlineStr">
        <is>
          <t>7.27-8.2</t>
        </is>
      </c>
      <c r="C331" s="34" t="n">
        <v>886856687067</v>
      </c>
      <c r="D331" s="27" t="inlineStr">
        <is>
          <t>大骨</t>
        </is>
      </c>
      <c r="E331" s="27" t="inlineStr">
        <is>
          <t>营多捞面牛系列大骨牛肉味方便面食品泡面拉面汤面宿舍宵夜旅行</t>
        </is>
      </c>
      <c r="F331" s="31" t="n">
        <v>128.26</v>
      </c>
      <c r="G331" s="35">
        <f>IFERROR(F331/1.13,0)</f>
        <v/>
      </c>
      <c r="H331" s="36" t="n">
        <v>9</v>
      </c>
      <c r="I331" s="37" t="n">
        <v>0.002207505518763797</v>
      </c>
      <c r="J331" s="38">
        <f>IFERROR(F331/H331,0)</f>
        <v/>
      </c>
      <c r="K331" s="31" t="n">
        <v>11.1201790093183</v>
      </c>
      <c r="L331" s="31" t="n">
        <v>24.453857282982</v>
      </c>
      <c r="M331" s="38">
        <f>IFERROR(L331/K331,0)</f>
        <v/>
      </c>
      <c r="N331" s="31" t="n">
        <v>4.53442864149093</v>
      </c>
      <c r="O331" s="31" t="n">
        <v>9.7537444825895</v>
      </c>
      <c r="P331" s="38">
        <f>IFERROR(O331/N331,0)</f>
        <v/>
      </c>
      <c r="Q331" s="31" t="n">
        <v>15.654608</v>
      </c>
      <c r="R331" s="31" t="n">
        <v>34.207602</v>
      </c>
      <c r="S331" s="38">
        <f>IFERROR(R331/Q331,0)</f>
        <v/>
      </c>
      <c r="T331" s="39">
        <f>IFERROR(Q331/SUMIF($A:$A,A331,$Q:$Q),0)</f>
        <v/>
      </c>
      <c r="U331" s="39">
        <f>IFERROR(Q331/F331,0)</f>
        <v/>
      </c>
      <c r="V331" s="35">
        <f>F331-R331</f>
        <v/>
      </c>
      <c r="W331" s="39">
        <f>IFERROR(V331/F331,0)</f>
        <v/>
      </c>
      <c r="X331" s="29" t="n">
        <v>4.695364</v>
      </c>
      <c r="Y331" s="31" t="n">
        <v>4.525</v>
      </c>
      <c r="Z331" s="39">
        <f>IFERROR(Y331/G331,0)</f>
        <v/>
      </c>
      <c r="AA331" s="35">
        <f>Y331-K331/1.06</f>
        <v/>
      </c>
      <c r="AB331" s="39">
        <f>IFERROR(AA331/G331,0)</f>
        <v/>
      </c>
      <c r="AC331" s="31" t="n">
        <v>-14.673087</v>
      </c>
      <c r="AD331" s="39">
        <f>IFERROR(AC331/G331,0)</f>
        <v/>
      </c>
    </row>
    <row r="332">
      <c r="A332" s="27" t="inlineStr">
        <is>
          <t>7.27-8.2</t>
        </is>
      </c>
      <c r="B332" s="27" t="inlineStr">
        <is>
          <t>7.27-8.2</t>
        </is>
      </c>
      <c r="C332" s="34" t="n">
        <v>869217868453</v>
      </c>
      <c r="D332" s="27" t="inlineStr">
        <is>
          <t>韩式杯面</t>
        </is>
      </c>
      <c r="E332" s="27" t="inlineStr">
        <is>
          <t>营多捞面韩式甜辣炸鸡辣蘑菇杯面方便面拌面泡面宿舍速食面</t>
        </is>
      </c>
      <c r="F332" s="31" t="n">
        <v>194.7</v>
      </c>
      <c r="G332" s="35">
        <f>IFERROR(F332/1.13,0)</f>
        <v/>
      </c>
      <c r="H332" s="36" t="n">
        <v>7</v>
      </c>
      <c r="I332" s="37" t="n">
        <v>0.001716948736816286</v>
      </c>
      <c r="J332" s="38">
        <f>IFERROR(F332/H332,0)</f>
        <v/>
      </c>
      <c r="K332" s="31" t="n">
        <v>30.872361451692</v>
      </c>
      <c r="L332" s="31" t="n">
        <v>97.9085556645415</v>
      </c>
      <c r="M332" s="38">
        <f>IFERROR(L332/K332,0)</f>
        <v/>
      </c>
      <c r="N332" s="31" t="n">
        <v>3.52677783227072</v>
      </c>
      <c r="O332" s="31" t="n">
        <v>7.58624570868073</v>
      </c>
      <c r="P332" s="38">
        <f>IFERROR(O332/N332,0)</f>
        <v/>
      </c>
      <c r="Q332" s="31" t="n">
        <v>34.399139</v>
      </c>
      <c r="R332" s="31" t="n">
        <v>105.494801</v>
      </c>
      <c r="S332" s="38">
        <f>IFERROR(R332/Q332,0)</f>
        <v/>
      </c>
      <c r="T332" s="39">
        <f>IFERROR(Q332/SUMIF($A:$A,A332,$Q:$Q),0)</f>
        <v/>
      </c>
      <c r="U332" s="39">
        <f>IFERROR(Q332/F332,0)</f>
        <v/>
      </c>
      <c r="V332" s="35">
        <f>F332-R332</f>
        <v/>
      </c>
      <c r="W332" s="39">
        <f>IFERROR(V332/F332,0)</f>
        <v/>
      </c>
      <c r="X332" s="29" t="n">
        <v>3.65195</v>
      </c>
      <c r="Y332" s="31" t="n">
        <v>24.416</v>
      </c>
      <c r="Z332" s="39">
        <f>IFERROR(Y332/G332,0)</f>
        <v/>
      </c>
      <c r="AA332" s="35">
        <f>Y332-K332/1.06</f>
        <v/>
      </c>
      <c r="AB332" s="39">
        <f>IFERROR(AA332/G332,0)</f>
        <v/>
      </c>
      <c r="AC332" s="31" t="n">
        <v>-11.481254</v>
      </c>
      <c r="AD332" s="39">
        <f>IFERROR(AC332/G332,0)</f>
        <v/>
      </c>
    </row>
    <row r="333">
      <c r="A333" s="27" t="inlineStr">
        <is>
          <t>7.27-8.2</t>
        </is>
      </c>
      <c r="B333" s="27" t="inlineStr">
        <is>
          <t>7.27-8.2</t>
        </is>
      </c>
      <c r="C333" s="34" t="n">
        <v>648604228786</v>
      </c>
      <c r="D333" s="27" t="inlineStr">
        <is>
          <t>杯面混搭</t>
        </is>
      </c>
      <c r="E333" s="27" t="inlineStr">
        <is>
          <t>INDOMIE营多日式杯面原味经典泡面整箱批发速食宿舍旅行宵夜宿舍</t>
        </is>
      </c>
      <c r="F333" s="31" t="n">
        <v>204.64</v>
      </c>
      <c r="G333" s="35">
        <f>IFERROR(F333/1.13,0)</f>
        <v/>
      </c>
      <c r="H333" s="36" t="n">
        <v>7</v>
      </c>
      <c r="I333" s="37" t="n">
        <v>0.001716948736816286</v>
      </c>
      <c r="J333" s="38">
        <f>IFERROR(F333/H333,0)</f>
        <v/>
      </c>
      <c r="K333" s="31" t="n">
        <v>12.872361451692</v>
      </c>
      <c r="L333" s="31" t="n">
        <v>60.0085556645415</v>
      </c>
      <c r="M333" s="38">
        <f>IFERROR(L333/K333,0)</f>
        <v/>
      </c>
      <c r="N333" s="31" t="n">
        <v>3.52677783227072</v>
      </c>
      <c r="O333" s="31" t="n">
        <v>7.58624570868073</v>
      </c>
      <c r="P333" s="38">
        <f>IFERROR(O333/N333,0)</f>
        <v/>
      </c>
      <c r="Q333" s="31" t="n">
        <v>16.399139</v>
      </c>
      <c r="R333" s="31" t="n">
        <v>67.594801</v>
      </c>
      <c r="S333" s="38">
        <f>IFERROR(R333/Q333,0)</f>
        <v/>
      </c>
      <c r="T333" s="39">
        <f>IFERROR(Q333/SUMIF($A:$A,A333,$Q:$Q),0)</f>
        <v/>
      </c>
      <c r="U333" s="39">
        <f>IFERROR(Q333/F333,0)</f>
        <v/>
      </c>
      <c r="V333" s="35">
        <f>F333-R333</f>
        <v/>
      </c>
      <c r="W333" s="39">
        <f>IFERROR(V333/F333,0)</f>
        <v/>
      </c>
      <c r="X333" s="29" t="n">
        <v>3.65195</v>
      </c>
      <c r="Y333" s="31" t="n">
        <v>25.85</v>
      </c>
      <c r="Z333" s="39">
        <f>IFERROR(Y333/G333,0)</f>
        <v/>
      </c>
      <c r="AA333" s="35">
        <f>Y333-K333/1.06</f>
        <v/>
      </c>
      <c r="AB333" s="39">
        <f>IFERROR(AA333/G333,0)</f>
        <v/>
      </c>
      <c r="AC333" s="31" t="n">
        <v>6.933878</v>
      </c>
      <c r="AD333" s="39">
        <f>IFERROR(AC333/G333,0)</f>
        <v/>
      </c>
    </row>
    <row r="334">
      <c r="A334" s="27" t="inlineStr">
        <is>
          <t>7.27-8.2</t>
        </is>
      </c>
      <c r="B334" s="27" t="inlineStr">
        <is>
          <t>7.27-8.2</t>
        </is>
      </c>
      <c r="C334" s="34" t="n">
        <v>1067957289054</v>
      </c>
      <c r="D334" s="27" t="inlineStr">
        <is>
          <t>巴东牛肉</t>
        </is>
      </c>
      <c r="E334" s="27" t="inlineStr">
        <is>
          <t>【新口味】印尼进口营多捞面巴东炖牛肉味泡面方便面宿舍速食宵夜</t>
        </is>
      </c>
      <c r="F334" s="31" t="n">
        <v>73.09999999999999</v>
      </c>
      <c r="G334" s="35">
        <f>IFERROR(F334/1.13,0)</f>
        <v/>
      </c>
      <c r="H334" s="36" t="n">
        <v>5</v>
      </c>
      <c r="I334" s="37" t="n">
        <v>0.001226391954868776</v>
      </c>
      <c r="J334" s="38">
        <f>IFERROR(F334/H334,0)</f>
        <v/>
      </c>
      <c r="K334" s="31" t="n">
        <v>12.7045438940657</v>
      </c>
      <c r="L334" s="31" t="n">
        <v>5.86325404610109</v>
      </c>
      <c r="M334" s="38">
        <f>IFERROR(L334/K334,0)</f>
        <v/>
      </c>
      <c r="N334" s="31" t="n">
        <v>2.51912702305051</v>
      </c>
      <c r="O334" s="31" t="n">
        <v>5.41874693477195</v>
      </c>
      <c r="P334" s="38">
        <f>IFERROR(O334/N334,0)</f>
        <v/>
      </c>
      <c r="Q334" s="31" t="n">
        <v>15.223671</v>
      </c>
      <c r="R334" s="31" t="n">
        <v>11.282001</v>
      </c>
      <c r="S334" s="38">
        <f>IFERROR(R334/Q334,0)</f>
        <v/>
      </c>
      <c r="T334" s="39">
        <f>IFERROR(Q334/SUMIF($A:$A,A334,$Q:$Q),0)</f>
        <v/>
      </c>
      <c r="U334" s="39">
        <f>IFERROR(Q334/F334,0)</f>
        <v/>
      </c>
      <c r="V334" s="35">
        <f>F334-R334</f>
        <v/>
      </c>
      <c r="W334" s="39">
        <f>IFERROR(V334/F334,0)</f>
        <v/>
      </c>
      <c r="X334" s="29" t="n">
        <v>2.608536</v>
      </c>
      <c r="Y334" s="31" t="n">
        <v>5.512</v>
      </c>
      <c r="Z334" s="39">
        <f>IFERROR(Y334/G334,0)</f>
        <v/>
      </c>
      <c r="AA334" s="35">
        <f>Y334-K334/1.06</f>
        <v/>
      </c>
      <c r="AB334" s="39">
        <f>IFERROR(AA334/G334,0)</f>
        <v/>
      </c>
      <c r="AC334" s="31" t="n">
        <v>-11.310836</v>
      </c>
      <c r="AD334" s="39">
        <f>IFERROR(AC334/G334,0)</f>
        <v/>
      </c>
    </row>
    <row r="335">
      <c r="A335" s="27" t="inlineStr">
        <is>
          <t>7.27-8.2</t>
        </is>
      </c>
      <c r="B335" s="27" t="inlineStr">
        <is>
          <t>7.27-8.2</t>
        </is>
      </c>
      <c r="C335" s="34" t="n">
        <v>976467954327</v>
      </c>
      <c r="D335" s="27" t="inlineStr">
        <is>
          <t>日韩杯面</t>
        </is>
      </c>
      <c r="E335" s="27" t="inlineStr">
        <is>
          <t>【天猫U选】indomie营多捞面辣蘑菇味日式辣味杯面</t>
        </is>
      </c>
      <c r="F335" s="31" t="n">
        <v>49.3</v>
      </c>
      <c r="G335" s="35">
        <f>IFERROR(F335/1.13,0)</f>
        <v/>
      </c>
      <c r="H335" s="36" t="n">
        <v>5</v>
      </c>
      <c r="I335" s="37" t="n">
        <v>0.001226391954868776</v>
      </c>
      <c r="J335" s="38">
        <f>IFERROR(F335/H335,0)</f>
        <v/>
      </c>
      <c r="K335" s="31" t="n">
        <v>0.994543894065718</v>
      </c>
      <c r="L335" s="31" t="n">
        <v>5.86325404610109</v>
      </c>
      <c r="M335" s="38">
        <f>IFERROR(L335/K335,0)</f>
        <v/>
      </c>
      <c r="N335" s="31" t="n">
        <v>2.51912702305051</v>
      </c>
      <c r="O335" s="31" t="n">
        <v>5.41874693477195</v>
      </c>
      <c r="P335" s="38">
        <f>IFERROR(O335/N335,0)</f>
        <v/>
      </c>
      <c r="Q335" s="31" t="n">
        <v>3.513671</v>
      </c>
      <c r="R335" s="31" t="n">
        <v>11.282001</v>
      </c>
      <c r="S335" s="38">
        <f>IFERROR(R335/Q335,0)</f>
        <v/>
      </c>
      <c r="T335" s="39">
        <f>IFERROR(Q335/SUMIF($A:$A,A335,$Q:$Q),0)</f>
        <v/>
      </c>
      <c r="U335" s="39">
        <f>IFERROR(Q335/F335,0)</f>
        <v/>
      </c>
      <c r="V335" s="35">
        <f>F335-R335</f>
        <v/>
      </c>
      <c r="W335" s="39">
        <f>IFERROR(V335/F335,0)</f>
        <v/>
      </c>
      <c r="X335" s="29" t="n">
        <v>2.608536</v>
      </c>
      <c r="Y335" s="31" t="n">
        <v>-6.959</v>
      </c>
      <c r="Z335" s="39">
        <f>IFERROR(Y335/G335,0)</f>
        <v/>
      </c>
      <c r="AA335" s="35">
        <f>Y335-K335/1.06</f>
        <v/>
      </c>
      <c r="AB335" s="39">
        <f>IFERROR(AA335/G335,0)</f>
        <v/>
      </c>
      <c r="AC335" s="31" t="n">
        <v>-12.734667</v>
      </c>
      <c r="AD335" s="39">
        <f>IFERROR(AC335/G335,0)</f>
        <v/>
      </c>
    </row>
    <row r="336">
      <c r="A336" s="27" t="inlineStr">
        <is>
          <t>7.27-8.2</t>
        </is>
      </c>
      <c r="B336" s="27" t="inlineStr">
        <is>
          <t>7.27-8.2</t>
        </is>
      </c>
      <c r="C336" s="34" t="n">
        <v>976479938842</v>
      </c>
      <c r="D336" s="27" t="inlineStr">
        <is>
          <t>【U选】原味5</t>
        </is>
      </c>
      <c r="E336" s="27" t="inlineStr">
        <is>
          <t>【天猫U选】indomie营多大骨牛肉味捞面拌面5包</t>
        </is>
      </c>
      <c r="F336" s="31" t="n">
        <v>47.83</v>
      </c>
      <c r="G336" s="35">
        <f>IFERROR(F336/1.13,0)</f>
        <v/>
      </c>
      <c r="H336" s="36" t="n">
        <v>5</v>
      </c>
      <c r="I336" s="37" t="n">
        <v>0.001226391954868776</v>
      </c>
      <c r="J336" s="38">
        <f>IFERROR(F336/H336,0)</f>
        <v/>
      </c>
      <c r="K336" s="31" t="n">
        <v>0.994543894065718</v>
      </c>
      <c r="L336" s="31" t="n">
        <v>5.86325404610109</v>
      </c>
      <c r="M336" s="38">
        <f>IFERROR(L336/K336,0)</f>
        <v/>
      </c>
      <c r="N336" s="31" t="n">
        <v>2.51912702305051</v>
      </c>
      <c r="O336" s="31" t="n">
        <v>5.41874693477195</v>
      </c>
      <c r="P336" s="38">
        <f>IFERROR(O336/N336,0)</f>
        <v/>
      </c>
      <c r="Q336" s="31" t="n">
        <v>3.513671</v>
      </c>
      <c r="R336" s="31" t="n">
        <v>11.282001</v>
      </c>
      <c r="S336" s="38">
        <f>IFERROR(R336/Q336,0)</f>
        <v/>
      </c>
      <c r="T336" s="39">
        <f>IFERROR(Q336/SUMIF($A:$A,A336,$Q:$Q),0)</f>
        <v/>
      </c>
      <c r="U336" s="39">
        <f>IFERROR(Q336/F336,0)</f>
        <v/>
      </c>
      <c r="V336" s="35">
        <f>F336-R336</f>
        <v/>
      </c>
      <c r="W336" s="39">
        <f>IFERROR(V336/F336,0)</f>
        <v/>
      </c>
      <c r="X336" s="29" t="n">
        <v>2.608536</v>
      </c>
      <c r="Y336" s="31" t="n">
        <v>-15.185</v>
      </c>
      <c r="Z336" s="39">
        <f>IFERROR(Y336/G336,0)</f>
        <v/>
      </c>
      <c r="AA336" s="35">
        <f>Y336-K336/1.06</f>
        <v/>
      </c>
      <c r="AB336" s="39">
        <f>IFERROR(AA336/G336,0)</f>
        <v/>
      </c>
      <c r="AC336" s="31" t="n">
        <v>-20.960667</v>
      </c>
      <c r="AD336" s="39">
        <f>IFERROR(AC336/G336,0)</f>
        <v/>
      </c>
    </row>
    <row r="337">
      <c r="A337" s="27" t="inlineStr">
        <is>
          <t>7.27-8.2</t>
        </is>
      </c>
      <c r="B337" s="27" t="inlineStr">
        <is>
          <t>7.27-8.2</t>
        </is>
      </c>
      <c r="C337" s="34" t="n">
        <v>969433743398</v>
      </c>
      <c r="D337" s="27" t="inlineStr">
        <is>
          <t>韩蘑菇</t>
        </is>
      </c>
      <c r="E337" s="27" t="inlineStr">
        <is>
          <t>新品营多捞面韩式辣蘑菇汤面泡面方便面速食干拌面宿舍宵夜旅行</t>
        </is>
      </c>
      <c r="F337" s="31" t="n">
        <v>137.23</v>
      </c>
      <c r="G337" s="35">
        <f>IFERROR(F337/1.13,0)</f>
        <v/>
      </c>
      <c r="H337" s="36" t="n">
        <v>5</v>
      </c>
      <c r="I337" s="37" t="n">
        <v>0.001226391954868776</v>
      </c>
      <c r="J337" s="38">
        <f>IFERROR(F337/H337,0)</f>
        <v/>
      </c>
      <c r="K337" s="31" t="n">
        <v>12.5945438940657</v>
      </c>
      <c r="L337" s="31" t="n">
        <v>174.003254046101</v>
      </c>
      <c r="M337" s="38">
        <f>IFERROR(L337/K337,0)</f>
        <v/>
      </c>
      <c r="N337" s="31" t="n">
        <v>2.51912702305051</v>
      </c>
      <c r="O337" s="31" t="n">
        <v>5.41874693477195</v>
      </c>
      <c r="P337" s="38">
        <f>IFERROR(O337/N337,0)</f>
        <v/>
      </c>
      <c r="Q337" s="31" t="n">
        <v>15.113671</v>
      </c>
      <c r="R337" s="31" t="n">
        <v>179.422001</v>
      </c>
      <c r="S337" s="38">
        <f>IFERROR(R337/Q337,0)</f>
        <v/>
      </c>
      <c r="T337" s="39">
        <f>IFERROR(Q337/SUMIF($A:$A,A337,$Q:$Q),0)</f>
        <v/>
      </c>
      <c r="U337" s="39">
        <f>IFERROR(Q337/F337,0)</f>
        <v/>
      </c>
      <c r="V337" s="35">
        <f>F337-R337</f>
        <v/>
      </c>
      <c r="W337" s="39">
        <f>IFERROR(V337/F337,0)</f>
        <v/>
      </c>
      <c r="X337" s="29" t="n">
        <v>2.608536</v>
      </c>
      <c r="Y337" s="31" t="n">
        <v>23.991</v>
      </c>
      <c r="Z337" s="39">
        <f>IFERROR(Y337/G337,0)</f>
        <v/>
      </c>
      <c r="AA337" s="35">
        <f>Y337-K337/1.06</f>
        <v/>
      </c>
      <c r="AB337" s="39">
        <f>IFERROR(AA337/G337,0)</f>
        <v/>
      </c>
      <c r="AC337" s="31" t="n">
        <v>7.271937</v>
      </c>
      <c r="AD337" s="39">
        <f>IFERROR(AC337/G337,0)</f>
        <v/>
      </c>
    </row>
    <row r="338">
      <c r="A338" s="27" t="inlineStr">
        <is>
          <t>7.27-8.2</t>
        </is>
      </c>
      <c r="B338" s="27" t="inlineStr">
        <is>
          <t>7.27-8.2</t>
        </is>
      </c>
      <c r="C338" s="34" t="n">
        <v>649731447266</v>
      </c>
      <c r="D338" s="27" t="inlineStr">
        <is>
          <t>20包经典/牛系列</t>
        </is>
      </c>
      <c r="E338" s="27" t="inlineStr">
        <is>
          <t>营多印尼进口营多捞面方便面火鸡面干拌面20包宿舍速食泡面夜宵</t>
        </is>
      </c>
      <c r="F338" s="31" t="n">
        <v>231.87</v>
      </c>
      <c r="G338" s="35">
        <f>IFERROR(F338/1.13,0)</f>
        <v/>
      </c>
      <c r="H338" s="36" t="n">
        <v>5</v>
      </c>
      <c r="I338" s="37" t="n">
        <v>0.001226391954868776</v>
      </c>
      <c r="J338" s="38">
        <f>IFERROR(F338/H338,0)</f>
        <v/>
      </c>
      <c r="K338" s="31" t="n">
        <v>5.90454389406572</v>
      </c>
      <c r="L338" s="31" t="n">
        <v>5.86325404610109</v>
      </c>
      <c r="M338" s="38">
        <f>IFERROR(L338/K338,0)</f>
        <v/>
      </c>
      <c r="N338" s="31" t="n">
        <v>2.51912702305051</v>
      </c>
      <c r="O338" s="31" t="n">
        <v>5.41874693477195</v>
      </c>
      <c r="P338" s="38">
        <f>IFERROR(O338/N338,0)</f>
        <v/>
      </c>
      <c r="Q338" s="31" t="n">
        <v>8.423671000000001</v>
      </c>
      <c r="R338" s="31" t="n">
        <v>11.282001</v>
      </c>
      <c r="S338" s="38">
        <f>IFERROR(R338/Q338,0)</f>
        <v/>
      </c>
      <c r="T338" s="39">
        <f>IFERROR(Q338/SUMIF($A:$A,A338,$Q:$Q),0)</f>
        <v/>
      </c>
      <c r="U338" s="39">
        <f>IFERROR(Q338/F338,0)</f>
        <v/>
      </c>
      <c r="V338" s="35">
        <f>F338-R338</f>
        <v/>
      </c>
      <c r="W338" s="39">
        <f>IFERROR(V338/F338,0)</f>
        <v/>
      </c>
      <c r="X338" s="29" t="n">
        <v>2.608536</v>
      </c>
      <c r="Y338" s="31" t="n">
        <v>40.67</v>
      </c>
      <c r="Z338" s="39">
        <f>IFERROR(Y338/G338,0)</f>
        <v/>
      </c>
      <c r="AA338" s="35">
        <f>Y338-K338/1.06</f>
        <v/>
      </c>
      <c r="AB338" s="39">
        <f>IFERROR(AA338/G338,0)</f>
        <v/>
      </c>
      <c r="AC338" s="31" t="n">
        <v>30.262258</v>
      </c>
      <c r="AD338" s="39">
        <f>IFERROR(AC338/G338,0)</f>
        <v/>
      </c>
    </row>
    <row r="339">
      <c r="A339" s="27" t="inlineStr">
        <is>
          <t>7.27-8.2</t>
        </is>
      </c>
      <c r="B339" s="27" t="inlineStr">
        <is>
          <t>7.27-8.2</t>
        </is>
      </c>
      <c r="C339" s="34" t="n">
        <v>1028450344901</v>
      </c>
      <c r="D339" s="27" t="inlineStr">
        <is>
          <t>韩式火鸡</t>
        </is>
      </c>
      <c r="E339" s="27" t="inlineStr">
        <is>
          <t>营多韩式火鸡面袋装拌面干拌面泡面方便面速食面宿舍宵夜旅行</t>
        </is>
      </c>
      <c r="F339" s="31" t="n">
        <v>101.81</v>
      </c>
      <c r="G339" s="35">
        <f>IFERROR(F339/1.13,0)</f>
        <v/>
      </c>
      <c r="H339" s="36" t="n">
        <v>5</v>
      </c>
      <c r="I339" s="37" t="n">
        <v>0.001226391954868776</v>
      </c>
      <c r="J339" s="38">
        <f>IFERROR(F339/H339,0)</f>
        <v/>
      </c>
      <c r="K339" s="31" t="n">
        <v>6.83454389406572</v>
      </c>
      <c r="L339" s="31" t="n">
        <v>76.8732540461011</v>
      </c>
      <c r="M339" s="38">
        <f>IFERROR(L339/K339,0)</f>
        <v/>
      </c>
      <c r="N339" s="31" t="n">
        <v>2.51912702305051</v>
      </c>
      <c r="O339" s="31" t="n">
        <v>5.41874693477195</v>
      </c>
      <c r="P339" s="38">
        <f>IFERROR(O339/N339,0)</f>
        <v/>
      </c>
      <c r="Q339" s="31" t="n">
        <v>9.353671</v>
      </c>
      <c r="R339" s="31" t="n">
        <v>82.292001</v>
      </c>
      <c r="S339" s="38">
        <f>IFERROR(R339/Q339,0)</f>
        <v/>
      </c>
      <c r="T339" s="39">
        <f>IFERROR(Q339/SUMIF($A:$A,A339,$Q:$Q),0)</f>
        <v/>
      </c>
      <c r="U339" s="39">
        <f>IFERROR(Q339/F339,0)</f>
        <v/>
      </c>
      <c r="V339" s="35">
        <f>F339-R339</f>
        <v/>
      </c>
      <c r="W339" s="39">
        <f>IFERROR(V339/F339,0)</f>
        <v/>
      </c>
      <c r="X339" s="29" t="n">
        <v>2.608536</v>
      </c>
      <c r="Y339" s="31" t="n">
        <v>12.243</v>
      </c>
      <c r="Z339" s="39">
        <f>IFERROR(Y339/G339,0)</f>
        <v/>
      </c>
      <c r="AA339" s="35">
        <f>Y339-K339/1.06</f>
        <v/>
      </c>
      <c r="AB339" s="39">
        <f>IFERROR(AA339/G339,0)</f>
        <v/>
      </c>
      <c r="AC339" s="31" t="n">
        <v>0.9578989999999999</v>
      </c>
      <c r="AD339" s="39">
        <f>IFERROR(AC339/G339,0)</f>
        <v/>
      </c>
    </row>
    <row r="340">
      <c r="A340" s="27" t="inlineStr">
        <is>
          <t>7.27-8.2</t>
        </is>
      </c>
      <c r="B340" s="27" t="inlineStr">
        <is>
          <t>7.27-8.2</t>
        </is>
      </c>
      <c r="C340" s="34" t="n">
        <v>898120785283</v>
      </c>
      <c r="D340" s="27" t="inlineStr">
        <is>
          <t>番茄</t>
        </is>
      </c>
      <c r="E340" s="27" t="inlineStr">
        <is>
          <t>进口意大利面风味奶香番茄牛肉味意式营多早餐儿童宝妈家庭餐拌面</t>
        </is>
      </c>
      <c r="F340" s="31" t="n">
        <v>90.95</v>
      </c>
      <c r="G340" s="35">
        <f>IFERROR(F340/1.13,0)</f>
        <v/>
      </c>
      <c r="H340" s="36" t="n">
        <v>4</v>
      </c>
      <c r="I340" s="37" t="n">
        <v>0.0009811135638950208</v>
      </c>
      <c r="J340" s="38">
        <f>IFERROR(F340/H340,0)</f>
        <v/>
      </c>
      <c r="K340" s="31" t="n">
        <v>2.11563511525257</v>
      </c>
      <c r="L340" s="31" t="n">
        <v>4.69060323688087</v>
      </c>
      <c r="M340" s="38">
        <f>IFERROR(L340/K340,0)</f>
        <v/>
      </c>
      <c r="N340" s="31" t="n">
        <v>2.01530161844041</v>
      </c>
      <c r="O340" s="31" t="n">
        <v>4.33499754781756</v>
      </c>
      <c r="P340" s="38">
        <f>IFERROR(O340/N340,0)</f>
        <v/>
      </c>
      <c r="Q340" s="31" t="n">
        <v>4.130937</v>
      </c>
      <c r="R340" s="31" t="n">
        <v>9.025601</v>
      </c>
      <c r="S340" s="38">
        <f>IFERROR(R340/Q340,0)</f>
        <v/>
      </c>
      <c r="T340" s="39">
        <f>IFERROR(Q340/SUMIF($A:$A,A340,$Q:$Q),0)</f>
        <v/>
      </c>
      <c r="U340" s="39">
        <f>IFERROR(Q340/F340,0)</f>
        <v/>
      </c>
      <c r="V340" s="35">
        <f>F340-R340</f>
        <v/>
      </c>
      <c r="W340" s="39">
        <f>IFERROR(V340/F340,0)</f>
        <v/>
      </c>
      <c r="X340" s="29" t="n">
        <v>2.086829</v>
      </c>
      <c r="Y340" s="31" t="n">
        <v>16.641</v>
      </c>
      <c r="Z340" s="39">
        <f>IFERROR(Y340/G340,0)</f>
        <v/>
      </c>
      <c r="AA340" s="35">
        <f>Y340-K340/1.06</f>
        <v/>
      </c>
      <c r="AB340" s="39">
        <f>IFERROR(AA340/G340,0)</f>
        <v/>
      </c>
      <c r="AC340" s="31" t="n">
        <v>10.775184</v>
      </c>
      <c r="AD340" s="39">
        <f>IFERROR(AC340/G340,0)</f>
        <v/>
      </c>
    </row>
    <row r="341">
      <c r="A341" s="27" t="inlineStr">
        <is>
          <t>7.27-8.2</t>
        </is>
      </c>
      <c r="B341" s="27" t="inlineStr">
        <is>
          <t>7.27-8.2</t>
        </is>
      </c>
      <c r="C341" s="34" t="n">
        <v>903183018417</v>
      </c>
      <c r="D341" s="27" t="inlineStr">
        <is>
          <t>七口味混搭</t>
        </is>
      </c>
      <c r="E341" s="27" t="inlineStr">
        <is>
          <t>进口营多捞面汤面拌面七口味混合方便面速拉面宿舍拌面泡面食食品</t>
        </is>
      </c>
      <c r="F341" s="31" t="n">
        <v>58.53</v>
      </c>
      <c r="G341" s="35">
        <f>IFERROR(F341/1.13,0)</f>
        <v/>
      </c>
      <c r="H341" s="36" t="n">
        <v>3</v>
      </c>
      <c r="I341" s="37" t="n">
        <v>0.0007358351729212656</v>
      </c>
      <c r="J341" s="38">
        <f>IFERROR(F341/H341,0)</f>
        <v/>
      </c>
      <c r="K341" s="31" t="n">
        <v>2.29672633643943</v>
      </c>
      <c r="L341" s="31" t="n">
        <v>22.9479524276607</v>
      </c>
      <c r="M341" s="38">
        <f>IFERROR(L341/K341,0)</f>
        <v/>
      </c>
      <c r="N341" s="31" t="n">
        <v>1.51147621383031</v>
      </c>
      <c r="O341" s="31" t="n">
        <v>3.25124816086317</v>
      </c>
      <c r="P341" s="38">
        <f>IFERROR(O341/N341,0)</f>
        <v/>
      </c>
      <c r="Q341" s="31" t="n">
        <v>3.808203</v>
      </c>
      <c r="R341" s="31" t="n">
        <v>26.199201</v>
      </c>
      <c r="S341" s="38">
        <f>IFERROR(R341/Q341,0)</f>
        <v/>
      </c>
      <c r="T341" s="39">
        <f>IFERROR(Q341/SUMIF($A:$A,A341,$Q:$Q),0)</f>
        <v/>
      </c>
      <c r="U341" s="39">
        <f>IFERROR(Q341/F341,0)</f>
        <v/>
      </c>
      <c r="V341" s="35">
        <f>F341-R341</f>
        <v/>
      </c>
      <c r="W341" s="39">
        <f>IFERROR(V341/F341,0)</f>
        <v/>
      </c>
      <c r="X341" s="29" t="n">
        <v>1.565121</v>
      </c>
      <c r="Y341" s="31" t="n">
        <v>5.511</v>
      </c>
      <c r="Z341" s="39">
        <f>IFERROR(Y341/G341,0)</f>
        <v/>
      </c>
      <c r="AA341" s="35">
        <f>Y341-K341/1.06</f>
        <v/>
      </c>
      <c r="AB341" s="39">
        <f>IFERROR(AA341/G341,0)</f>
        <v/>
      </c>
      <c r="AC341" s="31" t="n">
        <v>0.441826</v>
      </c>
      <c r="AD341" s="39">
        <f>IFERROR(AC341/G341,0)</f>
        <v/>
      </c>
    </row>
    <row r="342">
      <c r="A342" s="27" t="inlineStr">
        <is>
          <t>7.27-8.2</t>
        </is>
      </c>
      <c r="B342" s="27" t="inlineStr">
        <is>
          <t>7.27-8.2</t>
        </is>
      </c>
      <c r="C342" s="34" t="n">
        <v>649729851594</v>
      </c>
      <c r="D342" s="27" t="inlineStr">
        <is>
          <t>小规格</t>
        </is>
      </c>
      <c r="E342" s="27" t="inlineStr">
        <is>
          <t>营多捞面袋装8包装泡面宿舍速食面热干面干拌面方便面火鸡面食品</t>
        </is>
      </c>
      <c r="F342" s="31" t="n">
        <v>68.16</v>
      </c>
      <c r="G342" s="35">
        <f>IFERROR(F342/1.13,0)</f>
        <v/>
      </c>
      <c r="H342" s="36" t="n">
        <v>3</v>
      </c>
      <c r="I342" s="37" t="n">
        <v>0.0007358351729212656</v>
      </c>
      <c r="J342" s="38">
        <f>IFERROR(F342/H342,0)</f>
        <v/>
      </c>
      <c r="K342" s="31" t="n">
        <v>0.596726336439431</v>
      </c>
      <c r="L342" s="31" t="n">
        <v>3.51795242766066</v>
      </c>
      <c r="M342" s="38">
        <f>IFERROR(L342/K342,0)</f>
        <v/>
      </c>
      <c r="N342" s="31" t="n">
        <v>1.51147621383031</v>
      </c>
      <c r="O342" s="31" t="n">
        <v>3.25124816086317</v>
      </c>
      <c r="P342" s="38">
        <f>IFERROR(O342/N342,0)</f>
        <v/>
      </c>
      <c r="Q342" s="31" t="n">
        <v>2.108203</v>
      </c>
      <c r="R342" s="31" t="n">
        <v>6.769201</v>
      </c>
      <c r="S342" s="38">
        <f>IFERROR(R342/Q342,0)</f>
        <v/>
      </c>
      <c r="T342" s="39">
        <f>IFERROR(Q342/SUMIF($A:$A,A342,$Q:$Q),0)</f>
        <v/>
      </c>
      <c r="U342" s="39">
        <f>IFERROR(Q342/F342,0)</f>
        <v/>
      </c>
      <c r="V342" s="35">
        <f>F342-R342</f>
        <v/>
      </c>
      <c r="W342" s="39">
        <f>IFERROR(V342/F342,0)</f>
        <v/>
      </c>
      <c r="X342" s="29" t="n">
        <v>1.565121</v>
      </c>
      <c r="Y342" s="31" t="n">
        <v>11.567</v>
      </c>
      <c r="Z342" s="39">
        <f>IFERROR(Y342/G342,0)</f>
        <v/>
      </c>
      <c r="AA342" s="35">
        <f>Y342-K342/1.06</f>
        <v/>
      </c>
      <c r="AB342" s="39">
        <f>IFERROR(AA342/G342,0)</f>
        <v/>
      </c>
      <c r="AC342" s="31" t="n">
        <v>8.101599999999999</v>
      </c>
      <c r="AD342" s="39">
        <f>IFERROR(AC342/G342,0)</f>
        <v/>
      </c>
    </row>
    <row r="343">
      <c r="A343" s="27" t="inlineStr">
        <is>
          <t>7.27-8.2</t>
        </is>
      </c>
      <c r="B343" s="27" t="inlineStr">
        <is>
          <t>7.27-8.2</t>
        </is>
      </c>
      <c r="C343" s="34" t="n">
        <v>965545088099</v>
      </c>
      <c r="D343" s="27" t="inlineStr">
        <is>
          <t>十口味混搭</t>
        </is>
      </c>
      <c r="E343" s="27" t="inlineStr">
        <is>
          <t>营多捞面多口味袋装泡面拌面速食面干拌面方便面速食宵夜宿舍旅行</t>
        </is>
      </c>
      <c r="F343" s="31" t="n">
        <v>63.02</v>
      </c>
      <c r="G343" s="35">
        <f>IFERROR(F343/1.13,0)</f>
        <v/>
      </c>
      <c r="H343" s="36" t="n">
        <v>2</v>
      </c>
      <c r="I343" s="37" t="n">
        <v>0.0004905567819475104</v>
      </c>
      <c r="J343" s="38">
        <f>IFERROR(F343/H343,0)</f>
        <v/>
      </c>
      <c r="K343" s="31" t="n">
        <v>1.48781755762629</v>
      </c>
      <c r="L343" s="31" t="n">
        <v>2.34530161844044</v>
      </c>
      <c r="M343" s="38">
        <f>IFERROR(L343/K343,0)</f>
        <v/>
      </c>
      <c r="N343" s="31" t="n">
        <v>1.00765080922021</v>
      </c>
      <c r="O343" s="31" t="n">
        <v>2.16749877390878</v>
      </c>
      <c r="P343" s="38">
        <f>IFERROR(O343/N343,0)</f>
        <v/>
      </c>
      <c r="Q343" s="31" t="n">
        <v>2.495468</v>
      </c>
      <c r="R343" s="31" t="n">
        <v>4.5128</v>
      </c>
      <c r="S343" s="38">
        <f>IFERROR(R343/Q343,0)</f>
        <v/>
      </c>
      <c r="T343" s="39">
        <f>IFERROR(Q343/SUMIF($A:$A,A343,$Q:$Q),0)</f>
        <v/>
      </c>
      <c r="U343" s="39">
        <f>IFERROR(Q343/F343,0)</f>
        <v/>
      </c>
      <c r="V343" s="35">
        <f>F343-R343</f>
        <v/>
      </c>
      <c r="W343" s="39">
        <f>IFERROR(V343/F343,0)</f>
        <v/>
      </c>
      <c r="X343" s="29" t="n">
        <v>1.043414</v>
      </c>
      <c r="Y343" s="31" t="n">
        <v>13.428</v>
      </c>
      <c r="Z343" s="39">
        <f>IFERROR(Y343/G343,0)</f>
        <v/>
      </c>
      <c r="AA343" s="35">
        <f>Y343-K343/1.06</f>
        <v/>
      </c>
      <c r="AB343" s="39">
        <f>IFERROR(AA343/G343,0)</f>
        <v/>
      </c>
      <c r="AC343" s="31" t="n">
        <v>10.089431</v>
      </c>
      <c r="AD343" s="39">
        <f>IFERROR(AC343/G343,0)</f>
        <v/>
      </c>
    </row>
    <row r="344">
      <c r="A344" s="27" t="inlineStr">
        <is>
          <t>7.27-8.2</t>
        </is>
      </c>
      <c r="B344" s="27" t="inlineStr">
        <is>
          <t>7.27-8.2</t>
        </is>
      </c>
      <c r="C344" s="34" t="n">
        <v>916072786304</v>
      </c>
      <c r="D344" s="27" t="inlineStr">
        <is>
          <t>小规格</t>
        </is>
      </c>
      <c r="E344" s="27" t="inlineStr">
        <is>
          <t>营多印尼进口营多捞面方便面火鸡面干拌面10包宿舍速食泡面夜宵</t>
        </is>
      </c>
      <c r="F344" s="31" t="n">
        <v>26.99</v>
      </c>
      <c r="G344" s="35">
        <f>IFERROR(F344/1.13,0)</f>
        <v/>
      </c>
      <c r="H344" s="36" t="n">
        <v>2</v>
      </c>
      <c r="I344" s="37" t="n">
        <v>0.0004905567819475104</v>
      </c>
      <c r="J344" s="38">
        <f>IFERROR(F344/H344,0)</f>
        <v/>
      </c>
      <c r="K344" s="31" t="n">
        <v>0.617817557626287</v>
      </c>
      <c r="L344" s="31" t="n">
        <v>2.34530161844044</v>
      </c>
      <c r="M344" s="38">
        <f>IFERROR(L344/K344,0)</f>
        <v/>
      </c>
      <c r="N344" s="31" t="n">
        <v>1.00765080922021</v>
      </c>
      <c r="O344" s="31" t="n">
        <v>2.16749877390878</v>
      </c>
      <c r="P344" s="38">
        <f>IFERROR(O344/N344,0)</f>
        <v/>
      </c>
      <c r="Q344" s="31" t="n">
        <v>1.625468</v>
      </c>
      <c r="R344" s="31" t="n">
        <v>4.5128</v>
      </c>
      <c r="S344" s="38">
        <f>IFERROR(R344/Q344,0)</f>
        <v/>
      </c>
      <c r="T344" s="39">
        <f>IFERROR(Q344/SUMIF($A:$A,A344,$Q:$Q),0)</f>
        <v/>
      </c>
      <c r="U344" s="39">
        <f>IFERROR(Q344/F344,0)</f>
        <v/>
      </c>
      <c r="V344" s="35">
        <f>F344-R344</f>
        <v/>
      </c>
      <c r="W344" s="39">
        <f>IFERROR(V344/F344,0)</f>
        <v/>
      </c>
      <c r="X344" s="29" t="n">
        <v>1.043414</v>
      </c>
      <c r="Y344" s="31" t="n">
        <v>0.362</v>
      </c>
      <c r="Z344" s="39">
        <f>IFERROR(Y344/G344,0)</f>
        <v/>
      </c>
      <c r="AA344" s="35">
        <f>Y344-K344/1.06</f>
        <v/>
      </c>
      <c r="AB344" s="39">
        <f>IFERROR(AA344/G344,0)</f>
        <v/>
      </c>
      <c r="AC344" s="31" t="n">
        <v>-2.155814</v>
      </c>
      <c r="AD344" s="39">
        <f>IFERROR(AC344/G344,0)</f>
        <v/>
      </c>
    </row>
    <row r="345">
      <c r="A345" s="27" t="inlineStr">
        <is>
          <t>7.27-8.2</t>
        </is>
      </c>
      <c r="B345" s="27" t="inlineStr">
        <is>
          <t>7.27-8.2</t>
        </is>
      </c>
      <c r="C345" s="34" t="n">
        <v>932687928859</v>
      </c>
      <c r="D345" s="27" t="inlineStr">
        <is>
          <t>杯面混搭</t>
        </is>
      </c>
      <c r="E345" s="27" t="inlineStr">
        <is>
          <t>营多捞面韩式甜辣炸鸡辣蘑菇杯面方便面拌面泡面宿舍速食面</t>
        </is>
      </c>
      <c r="F345" s="31" t="n">
        <v>61.08</v>
      </c>
      <c r="G345" s="35">
        <f>IFERROR(F345/1.13,0)</f>
        <v/>
      </c>
      <c r="H345" s="36" t="n">
        <v>2</v>
      </c>
      <c r="I345" s="37" t="n">
        <v>0.0004905567819475104</v>
      </c>
      <c r="J345" s="38">
        <f>IFERROR(F345/H345,0)</f>
        <v/>
      </c>
      <c r="K345" s="31" t="n">
        <v>3.09781755762629</v>
      </c>
      <c r="L345" s="31" t="n">
        <v>32.5253016184404</v>
      </c>
      <c r="M345" s="38">
        <f>IFERROR(L345/K345,0)</f>
        <v/>
      </c>
      <c r="N345" s="31" t="n">
        <v>1.00765080922021</v>
      </c>
      <c r="O345" s="31" t="n">
        <v>2.16749877390878</v>
      </c>
      <c r="P345" s="38">
        <f>IFERROR(O345/N345,0)</f>
        <v/>
      </c>
      <c r="Q345" s="31" t="n">
        <v>4.105468</v>
      </c>
      <c r="R345" s="31" t="n">
        <v>34.6928</v>
      </c>
      <c r="S345" s="38">
        <f>IFERROR(R345/Q345,0)</f>
        <v/>
      </c>
      <c r="T345" s="39">
        <f>IFERROR(Q345/SUMIF($A:$A,A345,$Q:$Q),0)</f>
        <v/>
      </c>
      <c r="U345" s="39">
        <f>IFERROR(Q345/F345,0)</f>
        <v/>
      </c>
      <c r="V345" s="35">
        <f>F345-R345</f>
        <v/>
      </c>
      <c r="W345" s="39">
        <f>IFERROR(V345/F345,0)</f>
        <v/>
      </c>
      <c r="X345" s="29" t="n">
        <v>1.043414</v>
      </c>
      <c r="Y345" s="31" t="n">
        <v>11.839</v>
      </c>
      <c r="Z345" s="39">
        <f>IFERROR(Y345/G345,0)</f>
        <v/>
      </c>
      <c r="AA345" s="35">
        <f>Y345-K345/1.06</f>
        <v/>
      </c>
      <c r="AB345" s="39">
        <f>IFERROR(AA345/G345,0)</f>
        <v/>
      </c>
      <c r="AC345" s="31" t="n">
        <v>6.981564</v>
      </c>
      <c r="AD345" s="39">
        <f>IFERROR(AC345/G345,0)</f>
        <v/>
      </c>
    </row>
    <row r="346">
      <c r="A346" s="27" t="inlineStr">
        <is>
          <t>7.27-8.2</t>
        </is>
      </c>
      <c r="B346" s="27" t="inlineStr">
        <is>
          <t>7.27-8.2</t>
        </is>
      </c>
      <c r="C346" s="34" t="n">
        <v>947413291596</v>
      </c>
      <c r="D346" s="27" t="inlineStr">
        <is>
          <t>杯面混搭</t>
        </is>
      </c>
      <c r="E346" s="27" t="inlineStr">
        <is>
          <t>印尼进口营多捞面杯面原味甜辣蘑菇味整箱速食拌面拉面泡面方便面</t>
        </is>
      </c>
      <c r="F346" s="31" t="n">
        <v>55.15</v>
      </c>
      <c r="G346" s="35">
        <f>IFERROR(F346/1.13,0)</f>
        <v/>
      </c>
      <c r="H346" s="36" t="n">
        <v>2</v>
      </c>
      <c r="I346" s="37" t="n">
        <v>0.0004905567819475104</v>
      </c>
      <c r="J346" s="38">
        <f>IFERROR(F346/H346,0)</f>
        <v/>
      </c>
      <c r="K346" s="31" t="n">
        <v>5.54781755762629</v>
      </c>
      <c r="L346" s="31" t="n">
        <v>2.34530161844044</v>
      </c>
      <c r="M346" s="38">
        <f>IFERROR(L346/K346,0)</f>
        <v/>
      </c>
      <c r="N346" s="31" t="n">
        <v>1.00765080922021</v>
      </c>
      <c r="O346" s="31" t="n">
        <v>2.16749877390878</v>
      </c>
      <c r="P346" s="38">
        <f>IFERROR(O346/N346,0)</f>
        <v/>
      </c>
      <c r="Q346" s="31" t="n">
        <v>6.555468</v>
      </c>
      <c r="R346" s="31" t="n">
        <v>4.5128</v>
      </c>
      <c r="S346" s="38">
        <f>IFERROR(R346/Q346,0)</f>
        <v/>
      </c>
      <c r="T346" s="39">
        <f>IFERROR(Q346/SUMIF($A:$A,A346,$Q:$Q),0)</f>
        <v/>
      </c>
      <c r="U346" s="39">
        <f>IFERROR(Q346/F346,0)</f>
        <v/>
      </c>
      <c r="V346" s="35">
        <f>F346-R346</f>
        <v/>
      </c>
      <c r="W346" s="39">
        <f>IFERROR(V346/F346,0)</f>
        <v/>
      </c>
      <c r="X346" s="29" t="n">
        <v>1.043414</v>
      </c>
      <c r="Y346" s="31" t="n">
        <v>6.768</v>
      </c>
      <c r="Z346" s="39">
        <f>IFERROR(Y346/G346,0)</f>
        <v/>
      </c>
      <c r="AA346" s="35">
        <f>Y346-K346/1.06</f>
        <v/>
      </c>
      <c r="AB346" s="39">
        <f>IFERROR(AA346/G346,0)</f>
        <v/>
      </c>
      <c r="AC346" s="31" t="n">
        <v>-0.400757</v>
      </c>
      <c r="AD346" s="39">
        <f>IFERROR(AC346/G346,0)</f>
        <v/>
      </c>
    </row>
  </sheetData>
  <autoFilter ref="A2:AD346"/>
  <mergeCells count="1">
    <mergeCell ref="A1:H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4" customWidth="1" min="1" max="1"/>
    <col width="14" customWidth="1" min="2" max="2"/>
    <col width="50" customWidth="1" min="3" max="3"/>
  </cols>
  <sheetData>
    <row r="1">
      <c r="A1" s="40" t="inlineStr">
        <is>
          <t>周次</t>
        </is>
      </c>
      <c r="B1" s="40" t="inlineStr">
        <is>
          <t>周报其他费用</t>
        </is>
      </c>
      <c r="C1" s="40" t="inlineStr">
        <is>
          <t>说明</t>
        </is>
      </c>
    </row>
    <row r="2">
      <c r="A2" s="27" t="inlineStr">
        <is>
          <t>5.11-5.17</t>
        </is>
      </c>
      <c r="B2" s="29" t="n">
        <v>1911</v>
      </c>
      <c r="C2" s="36" t="inlineStr">
        <is>
          <t>数据源1「其他费用」= 本表费用 × 当周件数占比（已写入数值，避免打开为0）</t>
        </is>
      </c>
    </row>
    <row r="3">
      <c r="A3" s="27" t="inlineStr">
        <is>
          <t>5.25-5.31</t>
        </is>
      </c>
      <c r="B3" s="29" t="n">
        <v>1911</v>
      </c>
      <c r="C3" s="36" t="n"/>
    </row>
    <row r="4">
      <c r="A4" s="27" t="inlineStr">
        <is>
          <t>6.15-6.21</t>
        </is>
      </c>
      <c r="B4" s="29" t="n">
        <v>3605</v>
      </c>
      <c r="C4" s="36" t="n"/>
    </row>
    <row r="5">
      <c r="A5" s="27" t="inlineStr">
        <is>
          <t>6.22-6.28</t>
        </is>
      </c>
      <c r="B5" s="29" t="n">
        <v>3605</v>
      </c>
      <c r="C5" s="36" t="n"/>
    </row>
    <row r="6">
      <c r="A6" s="27" t="inlineStr">
        <is>
          <t>6.29-7.5</t>
        </is>
      </c>
      <c r="B6" s="29" t="n">
        <v>1951</v>
      </c>
      <c r="C6" s="36" t="n"/>
    </row>
    <row r="7">
      <c r="A7" s="27" t="inlineStr">
        <is>
          <t>7.6-7.12</t>
        </is>
      </c>
      <c r="B7" s="29" t="n">
        <v>2054</v>
      </c>
      <c r="C7" s="36" t="n"/>
    </row>
    <row r="8">
      <c r="A8" s="27" t="inlineStr">
        <is>
          <t>7.13-7.19</t>
        </is>
      </c>
      <c r="B8" s="29" t="n">
        <v>2405</v>
      </c>
      <c r="C8" s="36" t="n"/>
    </row>
    <row r="9">
      <c r="A9" s="27" t="inlineStr">
        <is>
          <t>7.20-7.26</t>
        </is>
      </c>
      <c r="B9" s="29" t="n">
        <v>2097</v>
      </c>
      <c r="C9" s="36" t="n"/>
    </row>
    <row r="10">
      <c r="A10" s="27" t="inlineStr">
        <is>
          <t>7.27-8.2</t>
        </is>
      </c>
      <c r="B10" s="29" t="n">
        <v>2127</v>
      </c>
      <c r="C10" s="3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2026-08-13T00:38:09Z</dcterms:created>
  <dcterms:modified xsi:type="dcterms:W3CDTF">2026-08-13T01:04:00Z</dcterms:modified>
</cp:coreProperties>
</file>