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worksheets/sheet3.xml" ContentType="application/vnd.openxmlformats-officedocument.spreadsheetml.worksheet+xml"/>
  <Override PartName="/xl/drawings/drawing2.xml" ContentType="application/vnd.openxmlformats-officedocument.drawing+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windowWidth="28800" windowHeight="12255" tabRatio="600" firstSheet="1" activeTab="4" autoFilterDateGrouping="1"/>
  </bookViews>
  <sheets>
    <sheet name="01-汇报摘要" sheetId="1" state="visible" r:id="rId1"/>
    <sheet name="02-整体周趋势" sheetId="2" state="visible" r:id="rId2"/>
    <sheet name="03-近周回落归因" sheetId="3" state="hidden" r:id="rId3"/>
    <sheet name="04-各周亏损TOP5" sheetId="4" state="visible" r:id="rId4"/>
    <sheet name="05-原味大大" sheetId="5" state="visible" r:id="rId5"/>
    <sheet name="06-全量ID每周净利润" sheetId="6" state="visible" r:id="rId6"/>
    <sheet name="数据源" sheetId="7" state="visible" r:id="rId7"/>
    <sheet name="周报其他费用" sheetId="8" state="visible" r:id="rId8"/>
    <sheet name="07-修订与核对" sheetId="9" state="visible" r:id="rId9"/>
  </sheets>
  <externalReferences>
    <externalReference r:id="rId10"/>
    <externalReference r:id="rId11"/>
  </externalReferences>
  <definedNames>
    <definedName name="_xlnm.Print_Titles" localSheetId="0">'01-汇报摘要'!$1:$1</definedName>
    <definedName name="_xlnm._FilterDatabase" localSheetId="3" hidden="1">'04-各周亏损TOP5'!$A$3:$H$48</definedName>
    <definedName name="_xlnm._FilterDatabase" localSheetId="5" hidden="1">'06-全量ID每周净利润'!$A$4:$N$56</definedName>
    <definedName name="_xlnm._FilterDatabase" localSheetId="6" hidden="1">'数据源'!$A$2:$AC$346</definedName>
  </definedNames>
  <calcPr calcId="191029" fullCalcOnLoad="1"/>
</workbook>
</file>

<file path=xl/styles.xml><?xml version="1.0" encoding="utf-8"?>
<styleSheet xmlns="http://schemas.openxmlformats.org/spreadsheetml/2006/main">
  <numFmts count="5">
    <numFmt numFmtId="164" formatCode="0_);[Red]\(0\)"/>
    <numFmt numFmtId="165" formatCode="#,##0_ "/>
    <numFmt numFmtId="166" formatCode="0.0%"/>
    <numFmt numFmtId="167" formatCode="#,##0.0"/>
    <numFmt numFmtId="168" formatCode="+#,##0.0;-#,##0.0;0"/>
  </numFmts>
  <fonts count="48">
    <font>
      <name val="宋体"/>
      <charset val="134"/>
      <color theme="1"/>
      <sz val="11"/>
      <scheme val="minor"/>
    </font>
    <font>
      <name val="微软雅黑"/>
      <charset val="134"/>
      <b val="1"/>
      <color rgb="FF1F4E79"/>
      <sz val="14"/>
    </font>
    <font>
      <name val="微软雅黑"/>
      <charset val="134"/>
      <b val="1"/>
      <color rgb="FFFFFFFF"/>
      <sz val="10"/>
    </font>
    <font>
      <name val="微软雅黑"/>
      <charset val="134"/>
      <sz val="9"/>
    </font>
    <font>
      <name val="Consolas"/>
      <charset val="134"/>
      <sz val="9"/>
    </font>
    <font>
      <name val="微软雅黑"/>
      <charset val="134"/>
      <b val="1"/>
      <color rgb="FFFFFFFF"/>
      <sz val="11"/>
    </font>
    <font>
      <name val="微软雅黑"/>
      <charset val="134"/>
      <sz val="10"/>
    </font>
    <font>
      <name val="微软雅黑"/>
      <charset val="134"/>
      <color theme="1"/>
      <sz val="10"/>
    </font>
    <font>
      <name val="微软雅黑"/>
      <charset val="134"/>
      <b val="1"/>
      <color rgb="FF1F4E79"/>
      <sz val="16"/>
    </font>
    <font>
      <name val="微软雅黑"/>
      <charset val="134"/>
      <b val="1"/>
      <color rgb="FF548235"/>
      <sz val="12"/>
    </font>
    <font>
      <name val="微软雅黑"/>
      <charset val="134"/>
      <b val="1"/>
      <color rgb="FF1F4E79"/>
      <sz val="12"/>
    </font>
    <font>
      <name val="微软雅黑"/>
      <charset val="134"/>
      <b val="1"/>
      <color rgb="FFC65911"/>
      <sz val="12"/>
    </font>
    <font>
      <name val="微软雅黑"/>
      <charset val="134"/>
      <color rgb="FFC00000"/>
      <sz val="10"/>
    </font>
    <font>
      <name val="微软雅黑"/>
      <charset val="134"/>
      <color rgb="FF548235"/>
      <sz val="10"/>
    </font>
    <font>
      <name val="微软雅黑"/>
      <charset val="134"/>
      <b val="1"/>
      <color rgb="FF1F4E79"/>
      <sz val="18"/>
    </font>
    <font>
      <name val="微软雅黑"/>
      <charset val="134"/>
      <b val="1"/>
      <sz val="10"/>
    </font>
    <font>
      <name val="宋体"/>
      <charset val="0"/>
      <color rgb="FF0000FF"/>
      <sz val="11"/>
      <u val="single"/>
      <scheme val="minor"/>
    </font>
    <font>
      <name val="宋体"/>
      <charset val="0"/>
      <color rgb="FF800080"/>
      <sz val="11"/>
      <u val="single"/>
      <scheme val="minor"/>
    </font>
    <font>
      <name val="宋体"/>
      <charset val="0"/>
      <color rgb="FFFF0000"/>
      <sz val="11"/>
      <scheme val="minor"/>
    </font>
    <font>
      <name val="宋体"/>
      <charset val="134"/>
      <b val="1"/>
      <color theme="3"/>
      <sz val="18"/>
      <scheme val="minor"/>
    </font>
    <font>
      <name val="宋体"/>
      <charset val="0"/>
      <i val="1"/>
      <color rgb="FF7F7F7F"/>
      <sz val="11"/>
      <scheme val="minor"/>
    </font>
    <font>
      <name val="宋体"/>
      <charset val="134"/>
      <b val="1"/>
      <color theme="3"/>
      <sz val="15"/>
      <scheme val="minor"/>
    </font>
    <font>
      <name val="宋体"/>
      <charset val="134"/>
      <b val="1"/>
      <color theme="3"/>
      <sz val="13"/>
      <scheme val="minor"/>
    </font>
    <font>
      <name val="宋体"/>
      <charset val="134"/>
      <b val="1"/>
      <color theme="3"/>
      <sz val="11"/>
      <scheme val="minor"/>
    </font>
    <font>
      <name val="宋体"/>
      <charset val="0"/>
      <color rgb="FF3F3F76"/>
      <sz val="11"/>
      <scheme val="minor"/>
    </font>
    <font>
      <name val="宋体"/>
      <charset val="0"/>
      <b val="1"/>
      <color rgb="FF3F3F3F"/>
      <sz val="11"/>
      <scheme val="minor"/>
    </font>
    <font>
      <name val="宋体"/>
      <charset val="0"/>
      <b val="1"/>
      <color rgb="FFFA7D00"/>
      <sz val="11"/>
      <scheme val="minor"/>
    </font>
    <font>
      <name val="宋体"/>
      <charset val="0"/>
      <b val="1"/>
      <color rgb="FFFFFFFF"/>
      <sz val="11"/>
      <scheme val="minor"/>
    </font>
    <font>
      <name val="宋体"/>
      <charset val="0"/>
      <color rgb="FFFA7D00"/>
      <sz val="11"/>
      <scheme val="minor"/>
    </font>
    <font>
      <name val="宋体"/>
      <charset val="0"/>
      <b val="1"/>
      <color theme="1"/>
      <sz val="11"/>
      <scheme val="minor"/>
    </font>
    <font>
      <name val="宋体"/>
      <charset val="0"/>
      <color rgb="FF006100"/>
      <sz val="11"/>
      <scheme val="minor"/>
    </font>
    <font>
      <name val="宋体"/>
      <charset val="0"/>
      <color rgb="FF9C0006"/>
      <sz val="11"/>
      <scheme val="minor"/>
    </font>
    <font>
      <name val="宋体"/>
      <charset val="0"/>
      <color rgb="FF9C6500"/>
      <sz val="11"/>
      <scheme val="minor"/>
    </font>
    <font>
      <name val="宋体"/>
      <charset val="0"/>
      <color theme="0"/>
      <sz val="11"/>
      <scheme val="minor"/>
    </font>
    <font>
      <name val="宋体"/>
      <charset val="0"/>
      <color theme="1"/>
      <sz val="11"/>
      <scheme val="minor"/>
    </font>
    <font>
      <name val="宋体"/>
      <charset val="134"/>
      <sz val="9"/>
    </font>
    <font>
      <b val="1"/>
      <sz val="14"/>
    </font>
    <font>
      <name val="微软雅黑"/>
      <b val="1"/>
      <color rgb="00FFFFFF"/>
      <sz val="16"/>
    </font>
    <font>
      <name val="微软雅黑"/>
      <color rgb="005F6F72"/>
      <sz val="10"/>
    </font>
    <font>
      <name val="微软雅黑"/>
      <b val="1"/>
      <color rgb="000F3D3E"/>
      <sz val="12"/>
    </font>
    <font>
      <name val="微软雅黑"/>
      <b val="1"/>
      <color rgb="00243033"/>
      <sz val="10"/>
    </font>
    <font>
      <name val="微软雅黑"/>
      <b val="1"/>
      <color rgb="00FFFFFF"/>
      <sz val="10"/>
    </font>
    <font>
      <name val="微软雅黑"/>
      <color rgb="00243033"/>
      <sz val="10"/>
    </font>
    <font>
      <name val="微软雅黑"/>
      <b val="1"/>
      <color rgb="00C62828"/>
      <sz val="10"/>
    </font>
    <font>
      <name val="微软雅黑"/>
      <b val="1"/>
      <color rgb="002E7D32"/>
      <sz val="10"/>
    </font>
    <font>
      <name val="微软雅黑"/>
      <b val="1"/>
      <color rgb="00C62828"/>
      <sz val="12"/>
    </font>
    <font>
      <name val="微软雅黑"/>
      <color rgb="00243033"/>
      <sz val="9"/>
    </font>
    <font>
      <name val="微软雅黑"/>
      <color rgb="005F6F72"/>
      <sz val="9"/>
    </font>
  </fonts>
  <fills count="51">
    <fill>
      <patternFill/>
    </fill>
    <fill>
      <patternFill patternType="gray125"/>
    </fill>
    <fill>
      <patternFill patternType="solid">
        <fgColor rgb="FF1F4E79"/>
        <bgColor indexed="64"/>
      </patternFill>
    </fill>
    <fill>
      <patternFill patternType="solid">
        <fgColor theme="5" tint="0.8"/>
        <bgColor indexed="64"/>
      </patternFill>
    </fill>
    <fill>
      <patternFill patternType="solid">
        <fgColor rgb="FFF2F2F2"/>
        <bgColor indexed="64"/>
      </patternFill>
    </fill>
    <fill>
      <patternFill patternType="solid">
        <fgColor rgb="FF548235"/>
        <bgColor indexed="64"/>
      </patternFill>
    </fill>
    <fill>
      <patternFill patternType="solid">
        <fgColor theme="4" tint="0.8"/>
        <bgColor indexed="64"/>
      </patternFill>
    </fill>
    <fill>
      <patternFill patternType="solid">
        <fgColor rgb="FFC65911"/>
        <bgColor indexed="64"/>
      </patternFill>
    </fill>
    <fill>
      <patternFill patternType="solid">
        <fgColor rgb="FFFFF2CC"/>
        <bgColor indexed="64"/>
      </patternFill>
    </fill>
    <fill>
      <patternFill patternType="solid">
        <fgColor rgb="FFFFFFCC"/>
        <bgColor indexed="64"/>
      </patternFill>
    </fill>
    <fill>
      <patternFill patternType="solid">
        <fgColor rgb="FFFFCC99"/>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
      <patternFill patternType="solid">
        <fgColor rgb="000F3D3E"/>
      </patternFill>
    </fill>
    <fill>
      <patternFill patternType="solid">
        <fgColor rgb="00E8F1F2"/>
      </patternFill>
    </fill>
    <fill>
      <patternFill patternType="solid">
        <fgColor rgb="00F7FBFC"/>
      </patternFill>
    </fill>
    <fill>
      <patternFill patternType="solid">
        <fgColor rgb="001F4E5F"/>
      </patternFill>
    </fill>
    <fill>
      <patternFill patternType="solid">
        <fgColor rgb="00F4F8F8"/>
      </patternFill>
    </fill>
    <fill>
      <patternFill patternType="solid">
        <fgColor rgb="00E8F5E9"/>
      </patternFill>
    </fill>
    <fill>
      <patternFill patternType="solid">
        <fgColor rgb="00FFFFFF"/>
      </patternFill>
    </fill>
    <fill>
      <patternFill patternType="solid">
        <fgColor rgb="00E3F2E8"/>
      </patternFill>
    </fill>
    <fill>
      <patternFill patternType="solid">
        <fgColor rgb="00FDECEA"/>
      </patternFill>
    </fill>
    <fill>
      <patternFill patternType="solid">
        <fgColor rgb="00FFF4E5"/>
      </patternFill>
    </fill>
    <fill>
      <patternFill patternType="solid">
        <fgColor rgb="000B2E2F"/>
      </patternFill>
    </fill>
    <fill>
      <patternFill patternType="solid">
        <fgColor rgb="00DFF3E6"/>
      </patternFill>
    </fill>
  </fills>
  <borders count="33">
    <border>
      <left/>
      <right/>
      <top/>
      <bottom/>
      <diagonal/>
    </border>
    <border>
      <left style="thin">
        <color rgb="FFD0D5DD"/>
      </left>
      <right style="thin">
        <color rgb="FFD0D5DD"/>
      </right>
      <top style="thin">
        <color rgb="FFD0D5DD"/>
      </top>
      <bottom style="thin">
        <color rgb="FFD0D5DD"/>
      </bottom>
      <diagonal/>
    </border>
    <border>
      <left style="thin">
        <color rgb="FFB0B0B0"/>
      </left>
      <right style="thin">
        <color rgb="FFB0B0B0"/>
      </right>
      <top style="thin">
        <color rgb="FFB0B0B0"/>
      </top>
      <bottom style="thin">
        <color rgb="FFB0B0B0"/>
      </bottom>
      <diagonal/>
    </border>
    <border>
      <left style="thin">
        <color rgb="FFB0B0B0"/>
      </left>
      <right style="thin">
        <color rgb="FFB0B0B0"/>
      </right>
      <top style="thin">
        <color rgb="FFB0B0B0"/>
      </top>
      <bottom/>
      <diagonal/>
    </border>
    <border>
      <left style="medium">
        <color auto="1"/>
      </left>
      <right style="thin">
        <color rgb="FFB0B0B0"/>
      </right>
      <top style="medium">
        <color auto="1"/>
      </top>
      <bottom/>
      <diagonal/>
    </border>
    <border>
      <left style="thin">
        <color rgb="FFB0B0B0"/>
      </left>
      <right style="thin">
        <color rgb="FFB0B0B0"/>
      </right>
      <top style="medium">
        <color auto="1"/>
      </top>
      <bottom style="thin">
        <color rgb="FFB0B0B0"/>
      </bottom>
      <diagonal/>
    </border>
    <border>
      <left style="thin">
        <color rgb="FFB0B0B0"/>
      </left>
      <right style="medium">
        <color auto="1"/>
      </right>
      <top style="medium">
        <color auto="1"/>
      </top>
      <bottom style="thin">
        <color rgb="FFB0B0B0"/>
      </bottom>
      <diagonal/>
    </border>
    <border>
      <left style="medium">
        <color auto="1"/>
      </left>
      <right style="thin">
        <color rgb="FFB0B0B0"/>
      </right>
      <top/>
      <bottom/>
      <diagonal/>
    </border>
    <border>
      <left style="thin">
        <color rgb="FFB0B0B0"/>
      </left>
      <right style="medium">
        <color auto="1"/>
      </right>
      <top style="thin">
        <color rgb="FFB0B0B0"/>
      </top>
      <bottom style="thin">
        <color rgb="FFB0B0B0"/>
      </bottom>
      <diagonal/>
    </border>
    <border>
      <left style="medium">
        <color auto="1"/>
      </left>
      <right style="thin">
        <color rgb="FFB0B0B0"/>
      </right>
      <top/>
      <bottom style="medium">
        <color auto="1"/>
      </bottom>
      <diagonal/>
    </border>
    <border>
      <left style="thin">
        <color rgb="FFB0B0B0"/>
      </left>
      <right style="thin">
        <color rgb="FFB0B0B0"/>
      </right>
      <top style="thin">
        <color rgb="FFB0B0B0"/>
      </top>
      <bottom style="medium">
        <color auto="1"/>
      </bottom>
      <diagonal/>
    </border>
    <border>
      <left style="thin">
        <color rgb="FFB0B0B0"/>
      </left>
      <right style="medium">
        <color auto="1"/>
      </right>
      <top style="thin">
        <color rgb="FFB0B0B0"/>
      </top>
      <bottom style="medium">
        <color auto="1"/>
      </bottom>
      <diagonal/>
    </border>
    <border>
      <left style="thin">
        <color rgb="FFB0B0B0"/>
      </left>
      <right style="thin">
        <color rgb="FFB0B0B0"/>
      </right>
      <top/>
      <bottom style="thin">
        <color rgb="FFB0B0B0"/>
      </bottom>
      <diagonal/>
    </border>
    <border>
      <left style="thin">
        <color rgb="FFB0B0B0"/>
      </left>
      <right style="medium">
        <color auto="1"/>
      </right>
      <top/>
      <bottom style="thin">
        <color rgb="FFB0B0B0"/>
      </bottom>
      <diagonal/>
    </border>
    <border>
      <left/>
      <right/>
      <top style="thin">
        <color rgb="FFD0D5DD"/>
      </top>
      <bottom style="thin">
        <color rgb="FFD0D5DD"/>
      </bottom>
      <diagonal/>
    </border>
    <border>
      <left/>
      <right style="thin">
        <color rgb="FFD0D5DD"/>
      </right>
      <top style="thin">
        <color rgb="FFD0D5DD"/>
      </top>
      <bottom style="thin">
        <color rgb="FFD0D5DD"/>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
      <left/>
      <right/>
      <top style="thin">
        <color rgb="FFD0D5DD"/>
      </top>
      <bottom/>
      <diagonal/>
    </border>
    <border>
      <left/>
      <right style="thin">
        <color rgb="FFD0D5DD"/>
      </right>
      <top style="thin">
        <color rgb="FFD0D5DD"/>
      </top>
      <bottom/>
      <diagonal/>
    </border>
    <border>
      <left style="medium">
        <color auto="1"/>
      </left>
      <right style="thin">
        <color rgb="FFB0B0B0"/>
      </right>
      <top style="medium">
        <color auto="1"/>
      </top>
      <bottom style="medium">
        <color auto="1"/>
      </bottom>
      <diagonal/>
    </border>
    <border>
      <left style="medium">
        <color auto="1"/>
      </left>
      <right/>
      <top/>
      <bottom/>
      <diagonal/>
    </border>
    <border>
      <left style="thin">
        <color rgb="00C5D5D8"/>
      </left>
      <right style="thin">
        <color rgb="00C5D5D8"/>
      </right>
      <top style="thin">
        <color rgb="00C5D5D8"/>
      </top>
      <bottom style="thin">
        <color rgb="00C5D5D8"/>
      </bottom>
    </border>
    <border>
      <left/>
      <right/>
      <top style="thin">
        <color rgb="00C5D5D8"/>
      </top>
      <bottom/>
      <diagonal/>
    </border>
    <border>
      <left/>
      <right style="thin">
        <color rgb="00C5D5D8"/>
      </right>
      <top style="thin">
        <color rgb="00C5D5D8"/>
      </top>
      <bottom/>
      <diagonal/>
    </border>
    <border>
      <left/>
      <right/>
      <top style="thin">
        <color rgb="00C5D5D8"/>
      </top>
      <bottom style="thin">
        <color rgb="00C5D5D8"/>
      </bottom>
      <diagonal/>
    </border>
    <border>
      <left/>
      <right style="thin">
        <color rgb="00C5D5D8"/>
      </right>
      <top style="thin">
        <color rgb="00C5D5D8"/>
      </top>
      <bottom style="thin">
        <color rgb="00C5D5D8"/>
      </bottom>
      <diagonal/>
    </border>
  </borders>
  <cellStyleXfs count="49">
    <xf numFmtId="0" fontId="0" fillId="0" borderId="0"/>
    <xf numFmtId="43" fontId="0" fillId="0" borderId="0" applyAlignment="1">
      <alignment vertical="center"/>
    </xf>
    <xf numFmtId="44" fontId="0" fillId="0" borderId="0" applyAlignment="1">
      <alignment vertical="center"/>
    </xf>
    <xf numFmtId="9" fontId="0" fillId="0" borderId="0" applyAlignment="1">
      <alignment vertical="center"/>
    </xf>
    <xf numFmtId="41" fontId="0" fillId="0" borderId="0" applyAlignment="1">
      <alignment vertical="center"/>
    </xf>
    <xf numFmtId="42" fontId="0" fillId="0" borderId="0" applyAlignment="1">
      <alignment vertical="center"/>
    </xf>
    <xf numFmtId="0" fontId="16" fillId="0" borderId="0" applyAlignment="1">
      <alignment vertical="center"/>
    </xf>
    <xf numFmtId="0" fontId="17" fillId="0" borderId="0" applyAlignment="1">
      <alignment vertical="center"/>
    </xf>
    <xf numFmtId="0" fontId="0" fillId="9" borderId="16" applyAlignment="1">
      <alignment vertical="center"/>
    </xf>
    <xf numFmtId="0" fontId="18" fillId="0" borderId="0" applyAlignment="1">
      <alignment vertical="center"/>
    </xf>
    <xf numFmtId="0" fontId="19" fillId="0" borderId="0" applyAlignment="1">
      <alignment vertical="center"/>
    </xf>
    <xf numFmtId="0" fontId="20" fillId="0" borderId="0" applyAlignment="1">
      <alignment vertical="center"/>
    </xf>
    <xf numFmtId="0" fontId="21" fillId="0" borderId="17" applyAlignment="1">
      <alignment vertical="center"/>
    </xf>
    <xf numFmtId="0" fontId="22" fillId="0" borderId="17" applyAlignment="1">
      <alignment vertical="center"/>
    </xf>
    <xf numFmtId="0" fontId="23" fillId="0" borderId="18" applyAlignment="1">
      <alignment vertical="center"/>
    </xf>
    <xf numFmtId="0" fontId="23" fillId="0" borderId="0" applyAlignment="1">
      <alignment vertical="center"/>
    </xf>
    <xf numFmtId="0" fontId="24" fillId="10" borderId="19" applyAlignment="1">
      <alignment vertical="center"/>
    </xf>
    <xf numFmtId="0" fontId="25" fillId="4" borderId="20" applyAlignment="1">
      <alignment vertical="center"/>
    </xf>
    <xf numFmtId="0" fontId="26" fillId="4" borderId="19" applyAlignment="1">
      <alignment vertical="center"/>
    </xf>
    <xf numFmtId="0" fontId="27" fillId="11" borderId="21" applyAlignment="1">
      <alignment vertical="center"/>
    </xf>
    <xf numFmtId="0" fontId="28" fillId="0" borderId="22" applyAlignment="1">
      <alignment vertical="center"/>
    </xf>
    <xf numFmtId="0" fontId="29" fillId="0" borderId="23" applyAlignment="1">
      <alignment vertical="center"/>
    </xf>
    <xf numFmtId="0" fontId="30" fillId="12" borderId="0" applyAlignment="1">
      <alignment vertical="center"/>
    </xf>
    <xf numFmtId="0" fontId="31" fillId="13" borderId="0" applyAlignment="1">
      <alignment vertical="center"/>
    </xf>
    <xf numFmtId="0" fontId="32" fillId="14" borderId="0" applyAlignment="1">
      <alignment vertical="center"/>
    </xf>
    <xf numFmtId="0" fontId="33" fillId="15" borderId="0" applyAlignment="1">
      <alignment vertical="center"/>
    </xf>
    <xf numFmtId="0" fontId="34" fillId="16" borderId="0" applyAlignment="1">
      <alignment vertical="center"/>
    </xf>
    <xf numFmtId="0" fontId="34" fillId="17" borderId="0" applyAlignment="1">
      <alignment vertical="center"/>
    </xf>
    <xf numFmtId="0" fontId="33" fillId="18" borderId="0" applyAlignment="1">
      <alignment vertical="center"/>
    </xf>
    <xf numFmtId="0" fontId="33" fillId="19" borderId="0" applyAlignment="1">
      <alignment vertical="center"/>
    </xf>
    <xf numFmtId="0" fontId="34" fillId="20" borderId="0" applyAlignment="1">
      <alignment vertical="center"/>
    </xf>
    <xf numFmtId="0" fontId="34" fillId="21" borderId="0" applyAlignment="1">
      <alignment vertical="center"/>
    </xf>
    <xf numFmtId="0" fontId="33" fillId="22" borderId="0" applyAlignment="1">
      <alignment vertical="center"/>
    </xf>
    <xf numFmtId="0" fontId="33" fillId="23" borderId="0" applyAlignment="1">
      <alignment vertical="center"/>
    </xf>
    <xf numFmtId="0" fontId="34" fillId="24" borderId="0" applyAlignment="1">
      <alignment vertical="center"/>
    </xf>
    <xf numFmtId="0" fontId="34" fillId="25" borderId="0" applyAlignment="1">
      <alignment vertical="center"/>
    </xf>
    <xf numFmtId="0" fontId="33" fillId="26" borderId="0" applyAlignment="1">
      <alignment vertical="center"/>
    </xf>
    <xf numFmtId="0" fontId="33" fillId="27" borderId="0" applyAlignment="1">
      <alignment vertical="center"/>
    </xf>
    <xf numFmtId="0" fontId="34" fillId="28" borderId="0" applyAlignment="1">
      <alignment vertical="center"/>
    </xf>
    <xf numFmtId="0" fontId="34" fillId="29" borderId="0" applyAlignment="1">
      <alignment vertical="center"/>
    </xf>
    <xf numFmtId="0" fontId="33" fillId="30" borderId="0" applyAlignment="1">
      <alignment vertical="center"/>
    </xf>
    <xf numFmtId="0" fontId="33" fillId="31" borderId="0" applyAlignment="1">
      <alignment vertical="center"/>
    </xf>
    <xf numFmtId="0" fontId="34" fillId="32" borderId="0" applyAlignment="1">
      <alignment vertical="center"/>
    </xf>
    <xf numFmtId="0" fontId="34" fillId="33" borderId="0" applyAlignment="1">
      <alignment vertical="center"/>
    </xf>
    <xf numFmtId="0" fontId="33" fillId="34" borderId="0" applyAlignment="1">
      <alignment vertical="center"/>
    </xf>
    <xf numFmtId="0" fontId="33" fillId="35" borderId="0" applyAlignment="1">
      <alignment vertical="center"/>
    </xf>
    <xf numFmtId="0" fontId="34" fillId="36" borderId="0" applyAlignment="1">
      <alignment vertical="center"/>
    </xf>
    <xf numFmtId="0" fontId="34" fillId="37" borderId="0" applyAlignment="1">
      <alignment vertical="center"/>
    </xf>
    <xf numFmtId="0" fontId="33" fillId="38" borderId="0" applyAlignment="1">
      <alignment vertical="center"/>
    </xf>
  </cellStyleXfs>
  <cellXfs count="159">
    <xf numFmtId="0" fontId="0" fillId="0" borderId="0" pivotButton="0" quotePrefix="0" xfId="0"/>
    <xf numFmtId="0" fontId="1" fillId="0" borderId="0" applyAlignment="1" pivotButton="0" quotePrefix="0" xfId="0">
      <alignment horizontal="center" vertical="center"/>
    </xf>
    <xf numFmtId="164" fontId="1" fillId="0" borderId="0" applyAlignment="1" pivotButton="0" quotePrefix="0" xfId="0">
      <alignment horizontal="center" vertical="center"/>
    </xf>
    <xf numFmtId="0" fontId="2" fillId="2" borderId="1" applyAlignment="1" pivotButton="0" quotePrefix="0" xfId="0">
      <alignment horizontal="center" vertical="center" wrapText="1"/>
    </xf>
    <xf numFmtId="164" fontId="2" fillId="2" borderId="1" applyAlignment="1" pivotButton="0" quotePrefix="0" xfId="0">
      <alignment horizontal="center" vertical="center" wrapText="1"/>
    </xf>
    <xf numFmtId="0" fontId="3" fillId="0" borderId="1" pivotButton="0" quotePrefix="0" xfId="0"/>
    <xf numFmtId="164" fontId="3" fillId="0" borderId="1" applyAlignment="1" pivotButton="0" quotePrefix="0" xfId="0">
      <alignment horizontal="center"/>
    </xf>
    <xf numFmtId="4" fontId="4" fillId="0" borderId="1" pivotButton="0" quotePrefix="0" xfId="0"/>
    <xf numFmtId="10" fontId="4" fillId="0" borderId="1" pivotButton="0" quotePrefix="0" xfId="0"/>
    <xf numFmtId="2" fontId="4" fillId="0" borderId="1" pivotButton="0" quotePrefix="0" xfId="0"/>
    <xf numFmtId="10" fontId="4" fillId="3" borderId="1" pivotButton="0" quotePrefix="0" xfId="0"/>
    <xf numFmtId="0" fontId="0" fillId="0" borderId="0" pivotButton="0" quotePrefix="0" xfId="0"/>
    <xf numFmtId="164" fontId="0" fillId="0" borderId="0" pivotButton="0" quotePrefix="0" xfId="0"/>
    <xf numFmtId="0" fontId="1" fillId="0" borderId="0" applyAlignment="1" pivotButton="0" quotePrefix="0" xfId="0">
      <alignment horizontal="center"/>
    </xf>
    <xf numFmtId="0" fontId="5" fillId="2" borderId="1" applyAlignment="1" pivotButton="0" quotePrefix="0" xfId="0">
      <alignment horizontal="center" vertical="center" wrapText="1"/>
    </xf>
    <xf numFmtId="164" fontId="6" fillId="4" borderId="2" applyAlignment="1" pivotButton="0" quotePrefix="0" xfId="0">
      <alignment horizontal="center" vertical="center" wrapText="1"/>
    </xf>
    <xf numFmtId="0" fontId="6" fillId="4" borderId="2" applyAlignment="1" pivotButton="0" quotePrefix="0" xfId="0">
      <alignment horizontal="left" vertical="center" wrapText="1"/>
    </xf>
    <xf numFmtId="165" fontId="7" fillId="4" borderId="2" applyAlignment="1" pivotButton="0" quotePrefix="0" xfId="0">
      <alignment horizontal="center" vertical="center" wrapText="1"/>
    </xf>
    <xf numFmtId="164" fontId="6" fillId="0" borderId="2" applyAlignment="1" pivotButton="0" quotePrefix="0" xfId="0">
      <alignment horizontal="center" vertical="center" wrapText="1"/>
    </xf>
    <xf numFmtId="0" fontId="6" fillId="0" borderId="2" applyAlignment="1" pivotButton="0" quotePrefix="0" xfId="0">
      <alignment horizontal="left" vertical="center" wrapText="1"/>
    </xf>
    <xf numFmtId="165" fontId="7" fillId="0" borderId="2" applyAlignment="1" pivotButton="0" quotePrefix="0" xfId="0">
      <alignment horizontal="center" vertical="center" wrapText="1"/>
    </xf>
    <xf numFmtId="165" fontId="6" fillId="0" borderId="2" applyAlignment="1" pivotButton="0" quotePrefix="0" xfId="0">
      <alignment horizontal="center" vertical="center" wrapText="1"/>
    </xf>
    <xf numFmtId="165" fontId="6" fillId="4" borderId="2" applyAlignment="1" pivotButton="0" quotePrefix="0" xfId="0">
      <alignment horizontal="center" vertical="center" wrapText="1"/>
    </xf>
    <xf numFmtId="165" fontId="6" fillId="0" borderId="2" applyAlignment="1" pivotButton="0" quotePrefix="0" xfId="3">
      <alignment horizontal="center" vertical="center" wrapText="1"/>
    </xf>
    <xf numFmtId="0" fontId="8" fillId="0" borderId="0" applyAlignment="1" pivotButton="0" quotePrefix="0" xfId="0">
      <alignment horizontal="left" vertical="center"/>
    </xf>
    <xf numFmtId="0" fontId="9" fillId="0" borderId="0" pivotButton="0" quotePrefix="0" xfId="0"/>
    <xf numFmtId="0" fontId="5" fillId="5" borderId="2" applyAlignment="1" pivotButton="0" quotePrefix="0" xfId="0">
      <alignment horizontal="center" vertical="center" wrapText="1"/>
    </xf>
    <xf numFmtId="0" fontId="6" fillId="0" borderId="2" applyAlignment="1" pivotButton="0" quotePrefix="0" xfId="0">
      <alignment horizontal="center" vertical="center" wrapText="1"/>
    </xf>
    <xf numFmtId="3" fontId="7" fillId="0" borderId="2" applyAlignment="1" pivotButton="0" quotePrefix="0" xfId="0">
      <alignment horizontal="center" vertical="center" wrapText="1"/>
    </xf>
    <xf numFmtId="0" fontId="6" fillId="4" borderId="2" applyAlignment="1" pivotButton="0" quotePrefix="0" xfId="0">
      <alignment horizontal="center" vertical="center" wrapText="1"/>
    </xf>
    <xf numFmtId="3" fontId="7" fillId="4" borderId="2" applyAlignment="1" pivotButton="0" quotePrefix="0" xfId="0">
      <alignment horizontal="center" vertical="center" wrapText="1"/>
    </xf>
    <xf numFmtId="0" fontId="10" fillId="0" borderId="0" pivotButton="0" quotePrefix="0" xfId="0"/>
    <xf numFmtId="0" fontId="5" fillId="2" borderId="2" applyAlignment="1" pivotButton="0" quotePrefix="0" xfId="0">
      <alignment horizontal="center" vertical="center" wrapText="1"/>
    </xf>
    <xf numFmtId="0" fontId="8" fillId="0" borderId="0" applyAlignment="1" pivotButton="0" quotePrefix="0" xfId="0">
      <alignment horizontal="center" vertical="center"/>
    </xf>
    <xf numFmtId="0" fontId="0" fillId="0" borderId="0" applyAlignment="1" pivotButton="0" quotePrefix="0" xfId="0">
      <alignment horizontal="center"/>
    </xf>
    <xf numFmtId="0" fontId="5" fillId="2" borderId="3" applyAlignment="1" pivotButton="0" quotePrefix="0" xfId="0">
      <alignment horizontal="center" vertical="center" wrapText="1"/>
    </xf>
    <xf numFmtId="0" fontId="6" fillId="6" borderId="4" applyAlignment="1" pivotButton="0" quotePrefix="0" xfId="0">
      <alignment horizontal="center" vertical="center"/>
    </xf>
    <xf numFmtId="0" fontId="6" fillId="0" borderId="5" applyAlignment="1" pivotButton="0" quotePrefix="0" xfId="0">
      <alignment horizontal="left" vertical="center" wrapText="1"/>
    </xf>
    <xf numFmtId="3" fontId="7" fillId="0" borderId="5" applyAlignment="1" pivotButton="0" quotePrefix="0" xfId="0">
      <alignment horizontal="center" vertical="center" wrapText="1"/>
    </xf>
    <xf numFmtId="9" fontId="6" fillId="0" borderId="6" applyAlignment="1" pivotButton="0" quotePrefix="0" xfId="3">
      <alignment horizontal="center" vertical="center" wrapText="1"/>
    </xf>
    <xf numFmtId="166" fontId="0" fillId="0" borderId="0" pivotButton="0" quotePrefix="0" xfId="3"/>
    <xf numFmtId="0" fontId="6" fillId="6" borderId="7" applyAlignment="1" pivotButton="0" quotePrefix="0" xfId="0">
      <alignment horizontal="center" vertical="center"/>
    </xf>
    <xf numFmtId="0" fontId="6" fillId="0" borderId="2" applyAlignment="1" pivotButton="0" quotePrefix="0" xfId="0">
      <alignment horizontal="left" vertical="center" wrapText="1"/>
    </xf>
    <xf numFmtId="3" fontId="7" fillId="0" borderId="2" applyAlignment="1" pivotButton="0" quotePrefix="0" xfId="0">
      <alignment horizontal="center" vertical="center" wrapText="1"/>
    </xf>
    <xf numFmtId="9" fontId="6" fillId="0" borderId="8" applyAlignment="1" pivotButton="0" quotePrefix="0" xfId="3">
      <alignment horizontal="center" vertical="center" wrapText="1"/>
    </xf>
    <xf numFmtId="0" fontId="6" fillId="6" borderId="9" applyAlignment="1" pivotButton="0" quotePrefix="0" xfId="0">
      <alignment horizontal="center" vertical="center"/>
    </xf>
    <xf numFmtId="0" fontId="6" fillId="0" borderId="10" applyAlignment="1" pivotButton="0" quotePrefix="0" xfId="0">
      <alignment horizontal="left" vertical="center" wrapText="1"/>
    </xf>
    <xf numFmtId="3" fontId="7" fillId="0" borderId="10" applyAlignment="1" pivotButton="0" quotePrefix="0" xfId="0">
      <alignment horizontal="center" vertical="center" wrapText="1"/>
    </xf>
    <xf numFmtId="9" fontId="6" fillId="0" borderId="11" applyAlignment="1" pivotButton="0" quotePrefix="0" xfId="3">
      <alignment horizontal="center" vertical="center" wrapText="1"/>
    </xf>
    <xf numFmtId="0" fontId="6" fillId="6" borderId="4" applyAlignment="1" pivotButton="0" quotePrefix="0" xfId="0">
      <alignment horizontal="center" vertical="center" wrapText="1"/>
    </xf>
    <xf numFmtId="0" fontId="6" fillId="6" borderId="7" applyAlignment="1" pivotButton="0" quotePrefix="0" xfId="0">
      <alignment horizontal="center" vertical="center" wrapText="1"/>
    </xf>
    <xf numFmtId="0" fontId="6" fillId="6" borderId="9" applyAlignment="1" pivotButton="0" quotePrefix="0" xfId="0">
      <alignment horizontal="center" vertical="center" wrapText="1"/>
    </xf>
    <xf numFmtId="0" fontId="6" fillId="0" borderId="12" applyAlignment="1" pivotButton="0" quotePrefix="0" xfId="0">
      <alignment horizontal="left" vertical="center" wrapText="1"/>
    </xf>
    <xf numFmtId="3" fontId="7" fillId="0" borderId="12" applyAlignment="1" pivotButton="0" quotePrefix="0" xfId="0">
      <alignment horizontal="center" vertical="center" wrapText="1"/>
    </xf>
    <xf numFmtId="9" fontId="6" fillId="0" borderId="13" applyAlignment="1" pivotButton="0" quotePrefix="0" xfId="3">
      <alignment horizontal="center" vertical="center" wrapText="1"/>
    </xf>
    <xf numFmtId="0" fontId="11" fillId="0" borderId="0" pivotButton="0" quotePrefix="0" xfId="0"/>
    <xf numFmtId="0" fontId="5" fillId="7" borderId="2" applyAlignment="1" pivotButton="0" quotePrefix="0" xfId="0">
      <alignment horizontal="center" vertical="center" wrapText="1"/>
    </xf>
    <xf numFmtId="3" fontId="12" fillId="0" borderId="2" applyAlignment="1" pivotButton="0" quotePrefix="0" xfId="0">
      <alignment horizontal="center" vertical="center" wrapText="1"/>
    </xf>
    <xf numFmtId="3" fontId="13" fillId="4" borderId="2" applyAlignment="1" pivotButton="0" quotePrefix="0" xfId="0">
      <alignment horizontal="center" vertical="center" wrapText="1"/>
    </xf>
    <xf numFmtId="3" fontId="12" fillId="4" borderId="2" applyAlignment="1" pivotButton="0" quotePrefix="0" xfId="0">
      <alignment horizontal="center" vertical="center" wrapText="1"/>
    </xf>
    <xf numFmtId="3" fontId="13" fillId="0" borderId="2" applyAlignment="1" pivotButton="0" quotePrefix="0" xfId="0">
      <alignment horizontal="center" vertical="center" wrapText="1"/>
    </xf>
    <xf numFmtId="3" fontId="6" fillId="4" borderId="2" applyAlignment="1" pivotButton="0" quotePrefix="0" xfId="0">
      <alignment horizontal="center" vertical="center" wrapText="1"/>
    </xf>
    <xf numFmtId="0" fontId="6" fillId="0" borderId="2" applyAlignment="1" pivotButton="0" quotePrefix="0" xfId="0">
      <alignment horizontal="center" vertical="center" wrapText="1"/>
    </xf>
    <xf numFmtId="3" fontId="6" fillId="0" borderId="2" applyAlignment="1" pivotButton="0" quotePrefix="0" xfId="0">
      <alignment horizontal="center" vertical="center" wrapText="1"/>
    </xf>
    <xf numFmtId="3" fontId="12" fillId="0" borderId="2" applyAlignment="1" pivotButton="0" quotePrefix="0" xfId="0">
      <alignment horizontal="center" vertical="center" wrapText="1"/>
    </xf>
    <xf numFmtId="0" fontId="0" fillId="0" borderId="0" pivotButton="0" quotePrefix="0" xfId="0"/>
    <xf numFmtId="0" fontId="14" fillId="0" borderId="0" applyAlignment="1" pivotButton="0" quotePrefix="0" xfId="0">
      <alignment horizontal="center" vertical="center"/>
    </xf>
    <xf numFmtId="0" fontId="15" fillId="8" borderId="0" applyAlignment="1" pivotButton="0" quotePrefix="0" xfId="0">
      <alignment vertical="center" wrapText="1"/>
    </xf>
    <xf numFmtId="0" fontId="10" fillId="0" borderId="0" pivotButton="0" quotePrefix="0" xfId="0"/>
    <xf numFmtId="0" fontId="15" fillId="0" borderId="1" applyAlignment="1" pivotButton="0" quotePrefix="0" xfId="0">
      <alignment vertical="center"/>
    </xf>
    <xf numFmtId="0" fontId="6" fillId="0" borderId="1" applyAlignment="1" pivotButton="0" quotePrefix="0" xfId="0">
      <alignment vertical="center" wrapText="1"/>
    </xf>
    <xf numFmtId="0" fontId="0" fillId="0" borderId="14" pivotButton="0" quotePrefix="0" xfId="0"/>
    <xf numFmtId="0" fontId="0" fillId="0" borderId="15" pivotButton="0" quotePrefix="0" xfId="0"/>
    <xf numFmtId="0" fontId="6" fillId="6" borderId="26" applyAlignment="1" pivotButton="0" quotePrefix="0" xfId="0">
      <alignment horizontal="center" vertical="center"/>
    </xf>
    <xf numFmtId="166" fontId="0" fillId="0" borderId="0" pivotButton="0" quotePrefix="0" xfId="3"/>
    <xf numFmtId="0" fontId="0" fillId="0" borderId="7" pivotButton="0" quotePrefix="0" xfId="0"/>
    <xf numFmtId="0" fontId="0" fillId="0" borderId="9" pivotButton="0" quotePrefix="0" xfId="0"/>
    <xf numFmtId="0" fontId="6" fillId="6" borderId="26" applyAlignment="1" pivotButton="0" quotePrefix="0" xfId="0">
      <alignment horizontal="center" vertical="center" wrapText="1"/>
    </xf>
    <xf numFmtId="164" fontId="0" fillId="0" borderId="0" pivotButton="0" quotePrefix="0" xfId="0"/>
    <xf numFmtId="164" fontId="2" fillId="2" borderId="1" applyAlignment="1" pivotButton="0" quotePrefix="0" xfId="0">
      <alignment horizontal="center" vertical="center" wrapText="1"/>
    </xf>
    <xf numFmtId="164" fontId="3" fillId="0" borderId="1" applyAlignment="1" pivotButton="0" quotePrefix="0" xfId="0">
      <alignment horizontal="center"/>
    </xf>
    <xf numFmtId="0" fontId="36" fillId="0" borderId="0" pivotButton="0" quotePrefix="0" xfId="0"/>
    <xf numFmtId="0" fontId="37" fillId="39" borderId="0" applyAlignment="1" pivotButton="0" quotePrefix="0" xfId="0">
      <alignment horizontal="left" vertical="center" indent="1"/>
    </xf>
    <xf numFmtId="0" fontId="38" fillId="40" borderId="0" applyAlignment="1" pivotButton="0" quotePrefix="0" xfId="0">
      <alignment horizontal="left" vertical="center" wrapText="1"/>
    </xf>
    <xf numFmtId="0" fontId="39" fillId="40" borderId="0" applyAlignment="1" pivotButton="0" quotePrefix="0" xfId="0">
      <alignment horizontal="left" vertical="center" wrapText="1"/>
    </xf>
    <xf numFmtId="0" fontId="40" fillId="41" borderId="28" applyAlignment="1" pivotButton="0" quotePrefix="0" xfId="0">
      <alignment horizontal="left" vertical="center" wrapText="1"/>
    </xf>
    <xf numFmtId="0" fontId="0" fillId="41" borderId="28" pivotButton="0" quotePrefix="0" xfId="0"/>
    <xf numFmtId="0" fontId="41" fillId="42" borderId="28" applyAlignment="1" pivotButton="0" quotePrefix="0" xfId="0">
      <alignment horizontal="center" vertical="center" wrapText="1"/>
    </xf>
    <xf numFmtId="0" fontId="0" fillId="0" borderId="31" pivotButton="0" quotePrefix="0" xfId="0"/>
    <xf numFmtId="0" fontId="0" fillId="0" borderId="32" pivotButton="0" quotePrefix="0" xfId="0"/>
    <xf numFmtId="0" fontId="40" fillId="40" borderId="28" applyAlignment="1" pivotButton="0" quotePrefix="0" xfId="0">
      <alignment horizontal="center" vertical="center" wrapText="1"/>
    </xf>
    <xf numFmtId="0" fontId="42" fillId="0" borderId="28" applyAlignment="1" pivotButton="0" quotePrefix="0" xfId="0">
      <alignment horizontal="left" vertical="center" wrapText="1"/>
    </xf>
    <xf numFmtId="0" fontId="0" fillId="0" borderId="28" pivotButton="0" quotePrefix="0" xfId="0"/>
    <xf numFmtId="0" fontId="42" fillId="43" borderId="28" applyAlignment="1" pivotButton="0" quotePrefix="0" xfId="0">
      <alignment horizontal="left" vertical="center" wrapText="1"/>
    </xf>
    <xf numFmtId="0" fontId="0" fillId="43" borderId="28" pivotButton="0" quotePrefix="0" xfId="0"/>
    <xf numFmtId="0" fontId="42" fillId="44" borderId="28" applyAlignment="1" pivotButton="0" quotePrefix="0" xfId="0">
      <alignment horizontal="left" vertical="center" wrapText="1"/>
    </xf>
    <xf numFmtId="0" fontId="0" fillId="44" borderId="28" pivotButton="0" quotePrefix="0" xfId="0"/>
    <xf numFmtId="0" fontId="42" fillId="45" borderId="28" applyAlignment="1" pivotButton="0" quotePrefix="0" xfId="0">
      <alignment horizontal="left" vertical="center" wrapText="1"/>
    </xf>
    <xf numFmtId="0" fontId="0" fillId="45" borderId="28" pivotButton="0" quotePrefix="0" xfId="0"/>
    <xf numFmtId="0" fontId="42" fillId="0" borderId="28" applyAlignment="1" pivotButton="0" quotePrefix="0" xfId="0">
      <alignment horizontal="center" vertical="center" wrapText="1"/>
    </xf>
    <xf numFmtId="167" fontId="42" fillId="0" borderId="28" applyAlignment="1" pivotButton="0" quotePrefix="0" xfId="0">
      <alignment horizontal="center" vertical="center" wrapText="1"/>
    </xf>
    <xf numFmtId="0" fontId="42" fillId="43" borderId="28" applyAlignment="1" pivotButton="0" quotePrefix="0" xfId="0">
      <alignment horizontal="center" vertical="center" wrapText="1"/>
    </xf>
    <xf numFmtId="167" fontId="42" fillId="43" borderId="28" applyAlignment="1" pivotButton="0" quotePrefix="0" xfId="0">
      <alignment horizontal="center" vertical="center" wrapText="1"/>
    </xf>
    <xf numFmtId="0" fontId="42" fillId="46" borderId="28" applyAlignment="1" pivotButton="0" quotePrefix="0" xfId="0">
      <alignment horizontal="center" vertical="center" wrapText="1"/>
    </xf>
    <xf numFmtId="167" fontId="42" fillId="46" borderId="28" applyAlignment="1" pivotButton="0" quotePrefix="0" xfId="0">
      <alignment horizontal="center" vertical="center" wrapText="1"/>
    </xf>
    <xf numFmtId="168" fontId="42" fillId="43" borderId="28" applyAlignment="1" pivotButton="0" quotePrefix="0" xfId="0">
      <alignment horizontal="center" vertical="center" wrapText="1"/>
    </xf>
    <xf numFmtId="168" fontId="42" fillId="0" borderId="28" applyAlignment="1" pivotButton="0" quotePrefix="0" xfId="0">
      <alignment horizontal="center" vertical="center" wrapText="1"/>
    </xf>
    <xf numFmtId="168" fontId="42" fillId="46" borderId="28" applyAlignment="1" pivotButton="0" quotePrefix="0" xfId="0">
      <alignment horizontal="center" vertical="center" wrapText="1"/>
    </xf>
    <xf numFmtId="0" fontId="43" fillId="47" borderId="28" applyAlignment="1" pivotButton="0" quotePrefix="0" xfId="0">
      <alignment horizontal="center" vertical="center" wrapText="1"/>
    </xf>
    <xf numFmtId="0" fontId="42" fillId="47" borderId="28" applyAlignment="1" pivotButton="0" quotePrefix="0" xfId="0">
      <alignment horizontal="center" vertical="center" wrapText="1"/>
    </xf>
    <xf numFmtId="0" fontId="42" fillId="47" borderId="28" applyAlignment="1" pivotButton="0" quotePrefix="0" xfId="0">
      <alignment horizontal="left" vertical="center" wrapText="1"/>
    </xf>
    <xf numFmtId="167" fontId="42" fillId="47" borderId="28" applyAlignment="1" pivotButton="0" quotePrefix="0" xfId="0">
      <alignment horizontal="center" vertical="center" wrapText="1"/>
    </xf>
    <xf numFmtId="0" fontId="40" fillId="43" borderId="28" applyAlignment="1" pivotButton="0" quotePrefix="0" xfId="0">
      <alignment horizontal="center" vertical="center" wrapText="1"/>
    </xf>
    <xf numFmtId="0" fontId="40" fillId="0" borderId="28" applyAlignment="1" pivotButton="0" quotePrefix="0" xfId="0">
      <alignment horizontal="center" vertical="center" wrapText="1"/>
    </xf>
    <xf numFmtId="0" fontId="44" fillId="44" borderId="28" applyAlignment="1" pivotButton="0" quotePrefix="0" xfId="0">
      <alignment horizontal="center" vertical="center" wrapText="1"/>
    </xf>
    <xf numFmtId="0" fontId="42" fillId="44" borderId="28" applyAlignment="1" pivotButton="0" quotePrefix="0" xfId="0">
      <alignment horizontal="center" vertical="center" wrapText="1"/>
    </xf>
    <xf numFmtId="167" fontId="42" fillId="44" borderId="28" applyAlignment="1" pivotButton="0" quotePrefix="0" xfId="0">
      <alignment horizontal="center" vertical="center" wrapText="1"/>
    </xf>
    <xf numFmtId="0" fontId="39" fillId="40" borderId="28" applyAlignment="1" pivotButton="0" quotePrefix="0" xfId="0">
      <alignment horizontal="left" vertical="center" wrapText="1"/>
    </xf>
    <xf numFmtId="167" fontId="45" fillId="47" borderId="28" pivotButton="0" quotePrefix="0" xfId="0"/>
    <xf numFmtId="0" fontId="0" fillId="40" borderId="28" pivotButton="0" quotePrefix="0" xfId="0"/>
    <xf numFmtId="0" fontId="42" fillId="40" borderId="28" applyAlignment="1" pivotButton="0" quotePrefix="0" xfId="0">
      <alignment horizontal="center" vertical="center" wrapText="1"/>
    </xf>
    <xf numFmtId="0" fontId="43" fillId="40" borderId="28" applyAlignment="1" pivotButton="0" quotePrefix="0" xfId="0">
      <alignment horizontal="center" vertical="center" wrapText="1"/>
    </xf>
    <xf numFmtId="0" fontId="42" fillId="40" borderId="28" applyAlignment="1" pivotButton="0" quotePrefix="0" xfId="0">
      <alignment horizontal="left" vertical="center" wrapText="1"/>
    </xf>
    <xf numFmtId="167" fontId="42" fillId="40" borderId="28" applyAlignment="1" pivotButton="0" quotePrefix="0" xfId="0">
      <alignment horizontal="center" vertical="center" wrapText="1"/>
    </xf>
    <xf numFmtId="166" fontId="42" fillId="40" borderId="28" applyAlignment="1" pivotButton="0" quotePrefix="0" xfId="0">
      <alignment horizontal="center" vertical="center" wrapText="1"/>
    </xf>
    <xf numFmtId="0" fontId="43" fillId="43" borderId="28" applyAlignment="1" pivotButton="0" quotePrefix="0" xfId="0">
      <alignment horizontal="center" vertical="center" wrapText="1"/>
    </xf>
    <xf numFmtId="166" fontId="42" fillId="43" borderId="28" applyAlignment="1" pivotButton="0" quotePrefix="0" xfId="0">
      <alignment horizontal="center" vertical="center" wrapText="1"/>
    </xf>
    <xf numFmtId="0" fontId="43" fillId="46" borderId="28" applyAlignment="1" pivotButton="0" quotePrefix="0" xfId="0">
      <alignment horizontal="center" vertical="center" wrapText="1"/>
    </xf>
    <xf numFmtId="0" fontId="42" fillId="46" borderId="28" applyAlignment="1" pivotButton="0" quotePrefix="0" xfId="0">
      <alignment horizontal="left" vertical="center" wrapText="1"/>
    </xf>
    <xf numFmtId="166" fontId="42" fillId="46" borderId="28" applyAlignment="1" pivotButton="0" quotePrefix="0" xfId="0">
      <alignment horizontal="center" vertical="center" wrapText="1"/>
    </xf>
    <xf numFmtId="0" fontId="42" fillId="48" borderId="28" applyAlignment="1" pivotButton="0" quotePrefix="0" xfId="0">
      <alignment horizontal="center" vertical="center" wrapText="1"/>
    </xf>
    <xf numFmtId="0" fontId="43" fillId="48" borderId="28" applyAlignment="1" pivotButton="0" quotePrefix="0" xfId="0">
      <alignment horizontal="center" vertical="center" wrapText="1"/>
    </xf>
    <xf numFmtId="0" fontId="42" fillId="48" borderId="28" applyAlignment="1" pivotButton="0" quotePrefix="0" xfId="0">
      <alignment horizontal="left" vertical="center" wrapText="1"/>
    </xf>
    <xf numFmtId="167" fontId="42" fillId="48" borderId="28" applyAlignment="1" pivotButton="0" quotePrefix="0" xfId="0">
      <alignment horizontal="center" vertical="center" wrapText="1"/>
    </xf>
    <xf numFmtId="166" fontId="42" fillId="48" borderId="28" applyAlignment="1" pivotButton="0" quotePrefix="0" xfId="0">
      <alignment horizontal="center" vertical="center" wrapText="1"/>
    </xf>
    <xf numFmtId="0" fontId="43" fillId="0" borderId="28" applyAlignment="1" pivotButton="0" quotePrefix="0" xfId="0">
      <alignment horizontal="center" vertical="center" wrapText="1"/>
    </xf>
    <xf numFmtId="0" fontId="43" fillId="0" borderId="28" applyAlignment="1" pivotButton="0" quotePrefix="0" xfId="0">
      <alignment horizontal="left" vertical="center" wrapText="1"/>
    </xf>
    <xf numFmtId="0" fontId="43" fillId="43" borderId="28" applyAlignment="1" pivotButton="0" quotePrefix="0" xfId="0">
      <alignment horizontal="left" vertical="center" wrapText="1"/>
    </xf>
    <xf numFmtId="164" fontId="41" fillId="42" borderId="28" applyAlignment="1" pivotButton="0" quotePrefix="0" xfId="0">
      <alignment horizontal="center" vertical="center" wrapText="1"/>
    </xf>
    <xf numFmtId="0" fontId="41" fillId="49" borderId="28" applyAlignment="1" pivotButton="0" quotePrefix="0" xfId="0">
      <alignment horizontal="center" vertical="center" wrapText="1"/>
    </xf>
    <xf numFmtId="0" fontId="46" fillId="43" borderId="28" pivotButton="0" quotePrefix="0" xfId="0"/>
    <xf numFmtId="164" fontId="46" fillId="43" borderId="28" applyAlignment="1" pivotButton="0" quotePrefix="0" xfId="0">
      <alignment horizontal="center"/>
    </xf>
    <xf numFmtId="167" fontId="46" fillId="43" borderId="28" pivotButton="0" quotePrefix="0" xfId="0"/>
    <xf numFmtId="3" fontId="46" fillId="43" borderId="28" pivotButton="0" quotePrefix="0" xfId="0"/>
    <xf numFmtId="166" fontId="46" fillId="43" borderId="28" pivotButton="0" quotePrefix="0" xfId="0"/>
    <xf numFmtId="2" fontId="46" fillId="43" borderId="28" pivotButton="0" quotePrefix="0" xfId="0"/>
    <xf numFmtId="0" fontId="46" fillId="0" borderId="28" pivotButton="0" quotePrefix="0" xfId="0"/>
    <xf numFmtId="164" fontId="46" fillId="0" borderId="28" applyAlignment="1" pivotButton="0" quotePrefix="0" xfId="0">
      <alignment horizontal="center"/>
    </xf>
    <xf numFmtId="167" fontId="46" fillId="0" borderId="28" pivotButton="0" quotePrefix="0" xfId="0"/>
    <xf numFmtId="3" fontId="46" fillId="0" borderId="28" pivotButton="0" quotePrefix="0" xfId="0"/>
    <xf numFmtId="166" fontId="46" fillId="0" borderId="28" pivotButton="0" quotePrefix="0" xfId="0"/>
    <xf numFmtId="2" fontId="46" fillId="0" borderId="28" pivotButton="0" quotePrefix="0" xfId="0"/>
    <xf numFmtId="166" fontId="46" fillId="3" borderId="28" pivotButton="0" quotePrefix="0" xfId="0"/>
    <xf numFmtId="3" fontId="40" fillId="50" borderId="28" applyAlignment="1" pivotButton="0" quotePrefix="0" xfId="0">
      <alignment horizontal="center" vertical="center" wrapText="1"/>
    </xf>
    <xf numFmtId="0" fontId="47" fillId="0" borderId="28" applyAlignment="1" pivotButton="0" quotePrefix="0" xfId="0">
      <alignment horizontal="center" vertical="center" wrapText="1"/>
    </xf>
    <xf numFmtId="0" fontId="0" fillId="42" borderId="28" pivotButton="0" quotePrefix="0" xfId="0"/>
    <xf numFmtId="0" fontId="0" fillId="48" borderId="28" pivotButton="0" quotePrefix="0" xfId="0"/>
    <xf numFmtId="0" fontId="47" fillId="40" borderId="0" pivotButton="0" quotePrefix="0" xfId="0"/>
    <xf numFmtId="0" fontId="0" fillId="40" borderId="0" pivotButton="0" quotePrefix="0" xfId="0"/>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6">
    <dxf>
      <font>
        <b val="1"/>
        <color rgb="FFF2F2F2"/>
        <sz val="11"/>
      </font>
      <fill>
        <patternFill patternType="solid">
          <bgColor rgb="FFFFFFFF"/>
        </patternFill>
      </fill>
      <border>
        <left/>
        <right style="thin">
          <color rgb="FFF2F2F2"/>
        </right>
        <top style="thin">
          <color rgb="FFF2F2F2" tint="0.6"/>
        </top>
        <bottom style="thin">
          <color rgb="FFF2F2F2"/>
        </bottom>
        <vertical/>
        <horizontal/>
      </border>
    </dxf>
    <dxf>
      <font>
        <b val="1"/>
        <color rgb="FFF2F2F2"/>
        <sz val="11"/>
      </font>
      <fill>
        <patternFill patternType="solid">
          <bgColor rgb="FFFFFFFF"/>
        </patternFill>
      </fill>
      <border>
        <left style="thin">
          <color rgb="FFF2F2F2"/>
        </left>
        <right/>
        <top style="thin">
          <color rgb="FFF2F2F2" tint="0.6"/>
        </top>
        <bottom style="thin">
          <color rgb="FFF2F2F2"/>
        </bottom>
        <vertical/>
        <horizontal/>
      </border>
    </dxf>
    <dxf>
      <font>
        <b val="1"/>
        <color rgb="FFF2F2F2"/>
        <sz val="11"/>
      </font>
      <fill>
        <patternFill patternType="solid">
          <bgColor rgb="FFFFFFFF"/>
        </patternFill>
      </fill>
      <border>
        <left style="thin">
          <color rgb="FFF2F2F2" tint="0.6"/>
        </left>
        <right style="thin">
          <color rgb="FFF2F2F2"/>
        </right>
        <top style="thin">
          <color rgb="FFF2F2F2"/>
        </top>
        <bottom style="thin">
          <color rgb="FFF2F2F2" tint="0.6"/>
        </bottom>
        <vertical/>
        <horizontal/>
      </border>
    </dxf>
    <dxf>
      <font>
        <b val="1"/>
        <color rgb="FFF2F2F2"/>
        <sz val="11"/>
      </font>
      <fill>
        <patternFill patternType="solid">
          <bgColor rgb="FFFFFFFF"/>
        </patternFill>
      </fill>
      <border>
        <left style="thin">
          <color rgb="FFF2F2F2"/>
        </left>
        <right style="thin">
          <color rgb="FFF2F2F2" tint="0.6"/>
        </right>
        <top style="thin">
          <color rgb="FFF2F2F2"/>
        </top>
        <bottom style="thin">
          <color rgb="FFF2F2F2" tint="0.6"/>
        </bottom>
        <vertical/>
        <horizontal/>
      </border>
    </dxf>
    <dxf>
      <border>
        <left style="thin">
          <color rgb="FFF2F2F2" tint="0.6"/>
        </left>
        <right style="thin">
          <color rgb="FFF2F2F2" tint="0.6"/>
        </right>
        <top style="thin">
          <color rgb="FFF2F2F2"/>
        </top>
        <bottom style="thin">
          <color rgb="FFF2F2F2"/>
        </bottom>
        <vertical/>
        <horizontal style="thin">
          <color rgb="FFF2F2F2" tint="0.6"/>
        </horizontal>
      </border>
    </dxf>
    <dxf>
      <fill>
        <patternFill patternType="solid">
          <bgColor rgb="FFF2F2F2" tint="0.9"/>
        </patternFill>
      </fill>
      <border>
        <left style="thin">
          <color rgb="FFF2F2F2"/>
        </left>
        <right style="thin">
          <color rgb="FFF2F2F2"/>
        </right>
        <top style="thin">
          <color rgb="FFF2F2F2"/>
        </top>
        <bottom style="thin">
          <color rgb="FFF2F2F2"/>
        </bottom>
        <vertical/>
        <horizontal style="thin">
          <color rgb="FFF2F2F2" tint="0.6"/>
        </horizontal>
      </border>
    </dxf>
    <dxf>
      <fill>
        <patternFill patternType="solid">
          <bgColor rgb="FFF2F2F2" tint="0.9"/>
        </patternFill>
      </fill>
    </dxf>
    <dxf>
      <font>
        <b val="1"/>
        <color rgb="FF08090C"/>
        <sz val="11"/>
      </font>
      <fill>
        <patternFill patternType="solid">
          <bgColor rgb="FFF2F2F2" tint="0.8"/>
        </patternFill>
      </fill>
      <border>
        <left style="thin">
          <color rgb="FFF2F2F2" tint="0.6"/>
        </left>
        <right style="thin">
          <color rgb="FFF2F2F2"/>
        </right>
        <top style="thin">
          <color rgb="FFF2F2F2"/>
        </top>
        <bottom style="thin">
          <color rgb="FFF2F2F2"/>
        </bottom>
        <vertical/>
        <horizontal style="thin">
          <color rgb="FFF2F2F2" tint="0.6"/>
        </horizontal>
      </border>
    </dxf>
    <dxf>
      <font>
        <b val="1"/>
        <color rgb="FF08090C"/>
        <sz val="11"/>
      </font>
      <fill>
        <patternFill patternType="solid">
          <bgColor rgb="FFF2F2F2" tint="0.8"/>
        </patternFill>
      </fill>
      <border>
        <left style="thin">
          <color rgb="FFF2F2F2"/>
        </left>
        <right style="thin">
          <color rgb="FFF2F2F2" tint="0.6"/>
        </right>
        <top style="thin">
          <color rgb="FFF2F2F2"/>
        </top>
        <bottom style="thin">
          <color rgb="FFF2F2F2"/>
        </bottom>
        <vertical/>
        <horizontal style="thin">
          <color rgb="FFF2F2F2" tint="0.6"/>
        </horizontal>
      </border>
    </dxf>
    <dxf>
      <font>
        <b val="1"/>
        <color rgb="FFF2F2F2"/>
        <sz val="11"/>
      </font>
      <fill>
        <patternFill patternType="solid">
          <bgColor rgb="FFFFFFFF"/>
        </patternFill>
      </fill>
      <border>
        <left style="thin">
          <color rgb="FFF2F2F2"/>
        </left>
        <right style="thin">
          <color rgb="FFF2F2F2"/>
        </right>
        <top style="thin">
          <color rgb="FFF2F2F2" tint="0.6"/>
        </top>
        <bottom style="thin">
          <color rgb="FFF2F2F2"/>
        </bottom>
        <vertical/>
        <horizontal/>
      </border>
    </dxf>
    <dxf>
      <font>
        <b val="1"/>
        <color rgb="FFF2F2F2"/>
        <sz val="11"/>
      </font>
      <fill>
        <patternFill patternType="solid">
          <bgColor rgb="FFFFFFFF"/>
        </patternFill>
      </fill>
      <border>
        <left style="thin">
          <color rgb="FFF2F2F2"/>
        </left>
        <right style="thin">
          <color rgb="FFF2F2F2"/>
        </right>
        <top style="thin">
          <color rgb="FFF2F2F2"/>
        </top>
        <bottom style="thin">
          <color rgb="FFF2F2F2" tint="0.6"/>
        </bottom>
        <vertical style="thin">
          <color rgb="FFF2F2F2" tint="0.6"/>
        </vertical>
        <horizontal/>
      </border>
    </dxf>
    <dxf>
      <font>
        <color rgb="FF000000"/>
        <sz val="11"/>
      </font>
      <fill>
        <patternFill patternType="solid">
          <bgColor rgb="FFFFFFFF"/>
        </patternFill>
      </fill>
      <border>
        <left style="thin">
          <color rgb="FFF2F2F2"/>
        </left>
        <right style="thin">
          <color rgb="FFF2F2F2"/>
        </right>
        <top style="thin">
          <color rgb="FFF2F2F2"/>
        </top>
        <bottom style="thin">
          <color rgb="FFF2F2F2"/>
        </bottom>
        <vertical style="thin">
          <color rgb="FFF2F2F2" tint="0.6"/>
        </vertical>
        <horizontal style="thin">
          <color rgb="FFF2F2F2" tint="0.6"/>
        </horizontal>
      </border>
    </dxf>
    <dxf>
      <font>
        <name val="微软雅黑"/>
        <color rgb="00C62828"/>
      </font>
    </dxf>
    <dxf>
      <font>
        <name val="微软雅黑"/>
        <color rgb="002E7D32"/>
      </font>
    </dxf>
    <dxf>
      <font>
        <name val="微软雅黑"/>
        <b val="1"/>
        <color rgb="00C62828"/>
      </font>
    </dxf>
    <dxf>
      <font>
        <name val="微软雅黑"/>
        <b val="1"/>
        <color rgb="002E7D32"/>
      </font>
    </dxf>
  </dxfs>
  <tableStyles count="1" defaultTableStyle="TableStyleMedium9" defaultPivotStyle="PivotStyleLight16">
    <tableStyle name="简约浅色系标题行表格样式_c27f53" count="12">
      <tableStyleElement type="wholeTable" dxfId="11"/>
      <tableStyleElement type="headerRow" dxfId="10"/>
      <tableStyleElement type="totalRow" dxfId="9"/>
      <tableStyleElement type="firstColumn" dxfId="8"/>
      <tableStyleElement type="lastColumn" dxfId="7"/>
      <tableStyleElement type="secondRowStripe" dxfId="6"/>
      <tableStyleElement type="firstColumnStripe" dxfId="5"/>
      <tableStyleElement type="secondColumnStripe" dxfId="4"/>
      <tableStyleElement type="firstHeaderCell" dxfId="3"/>
      <tableStyleElement type="lastHeaderCell" dxfId="2"/>
      <tableStyleElement type="firstTotalCell" dxfId="1"/>
      <tableStyleElement type="lastTotalCell" dxfId="0"/>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externalLink" Target="/xl/externalLinks/externalLink1.xml" Id="rId10" /><Relationship Type="http://schemas.openxmlformats.org/officeDocument/2006/relationships/externalLink" Target="/xl/externalLinks/externalLink2.xml" Id="rId11" /><Relationship Type="http://schemas.openxmlformats.org/officeDocument/2006/relationships/styles" Target="styles.xml" Id="rId12" /><Relationship Type="http://schemas.openxmlformats.org/officeDocument/2006/relationships/theme" Target="theme/theme1.xml" Id="rId13" /></Relationships>
</file>

<file path=xl/charts/chart1.xml><?xml version="1.0" encoding="utf-8"?>
<chartSpace xmlns:a="http://schemas.openxmlformats.org/drawingml/2006/main" xmlns="http://schemas.openxmlformats.org/drawingml/2006/chart">
  <chart>
    <title>
      <tx>
        <rich>
          <a:bodyPr rot="0" spcFirstLastPara="0" vertOverflow="ellipsis" vert="horz" wrap="square" anchor="ctr" anchorCtr="1"/>
          <a:lstStyle/>
          <a:p>
            <a:pPr>
              <a:defRPr lang="zh-CN" sz="1800" b="1" i="0" strike="noStrike" kern="1200" baseline="0">
                <a:solidFill>
                  <a:schemeClr val="tx1"/>
                </a:solidFill>
                <a:latin typeface="+mn-lt"/>
                <a:ea typeface="+mn-ea"/>
                <a:cs typeface="+mn-cs"/>
              </a:defRPr>
            </a:pPr>
            <a:r>
              <a:rPr lang="zh-CN" altLang="en-US"/>
              <a:t>推广后净利润周趋势</a:t>
            </a:r>
            <a:endParaRPr lang="zh-CN" altLang="en-US"/>
          </a:p>
        </rich>
      </tx>
      <layout>
        <manualLayout>
          <xMode val="edge"/>
          <yMode val="edge"/>
          <wMode val="factor"/>
          <hMode val="factor"/>
          <x val="0.360815457671524"/>
          <y val="0.177854274239816"/>
        </manualLayout>
      </layout>
      <overlay val="1"/>
    </title>
    <plotArea>
      <layout/>
      <lineChart>
        <grouping val="standard"/>
        <varyColors val="1"/>
        <ser>
          <idx val="0"/>
          <order val="0"/>
          <tx>
            <strRef>
              <f>'01-整体周趋势'!$F$3</f>
              <strCache>
                <ptCount val="1"/>
                <pt idx="0">
                  <v>推广后净利润</v>
                </pt>
              </strCache>
            </strRef>
          </tx>
          <spPr>
            <a:ln w="47625" cap="rnd" cmpd="sng" algn="ctr">
              <a:solidFill>
                <a:schemeClr val="accent1">
                  <a:shade val="95000"/>
                  <a:satMod val="105000"/>
                </a:schemeClr>
              </a:solidFill>
              <a:prstDash val="solid"/>
              <a:round/>
            </a:ln>
          </spPr>
          <marker>
            <symbol val="none"/>
            <spPr>
              <a:ln>
                <a:prstDash val="solid"/>
              </a:ln>
            </spPr>
          </marker>
          <dPt>
            <idx val="0"/>
            <marker>
              <symbol val="none"/>
              <spPr>
                <a:ln>
                  <a:prstDash val="solid"/>
                </a:ln>
              </spPr>
            </marker>
            <bubble3D val="0"/>
            <spPr>
              <a:ln w="47625" cap="rnd" cmpd="sng" algn="ctr">
                <a:solidFill>
                  <a:schemeClr val="accent1">
                    <a:shade val="95000"/>
                    <a:satMod val="105000"/>
                  </a:schemeClr>
                </a:solidFill>
                <a:prstDash val="solid"/>
                <a:round/>
              </a:ln>
            </spPr>
          </dPt>
          <dPt>
            <idx val="1"/>
            <marker>
              <symbol val="none"/>
              <spPr>
                <a:ln>
                  <a:prstDash val="solid"/>
                </a:ln>
              </spPr>
            </marker>
            <bubble3D val="0"/>
            <spPr>
              <a:ln w="47625" cap="rnd" cmpd="sng" algn="ctr">
                <a:solidFill>
                  <a:schemeClr val="accent2">
                    <a:shade val="95000"/>
                    <a:satMod val="105000"/>
                  </a:schemeClr>
                </a:solidFill>
                <a:prstDash val="solid"/>
                <a:round/>
              </a:ln>
            </spPr>
          </dPt>
          <dPt>
            <idx val="2"/>
            <marker>
              <symbol val="none"/>
              <spPr>
                <a:ln>
                  <a:prstDash val="solid"/>
                </a:ln>
              </spPr>
            </marker>
            <bubble3D val="0"/>
            <spPr>
              <a:ln w="47625" cap="rnd" cmpd="sng" algn="ctr">
                <a:solidFill>
                  <a:schemeClr val="accent3">
                    <a:shade val="95000"/>
                    <a:satMod val="105000"/>
                  </a:schemeClr>
                </a:solidFill>
                <a:prstDash val="solid"/>
                <a:round/>
              </a:ln>
            </spPr>
          </dPt>
          <dPt>
            <idx val="3"/>
            <marker>
              <symbol val="none"/>
              <spPr>
                <a:ln>
                  <a:prstDash val="solid"/>
                </a:ln>
              </spPr>
            </marker>
            <bubble3D val="0"/>
            <spPr>
              <a:ln w="47625" cap="rnd" cmpd="sng" algn="ctr">
                <a:solidFill>
                  <a:schemeClr val="accent4">
                    <a:shade val="95000"/>
                    <a:satMod val="105000"/>
                  </a:schemeClr>
                </a:solidFill>
                <a:prstDash val="solid"/>
                <a:round/>
              </a:ln>
            </spPr>
          </dPt>
          <dPt>
            <idx val="4"/>
            <marker>
              <symbol val="none"/>
              <spPr>
                <a:ln>
                  <a:prstDash val="solid"/>
                </a:ln>
              </spPr>
            </marker>
            <bubble3D val="0"/>
            <spPr>
              <a:ln w="47625" cap="rnd" cmpd="sng" algn="ctr">
                <a:solidFill>
                  <a:schemeClr val="accent5">
                    <a:shade val="95000"/>
                    <a:satMod val="105000"/>
                  </a:schemeClr>
                </a:solidFill>
                <a:prstDash val="solid"/>
                <a:round/>
              </a:ln>
            </spPr>
          </dPt>
          <dPt>
            <idx val="5"/>
            <marker>
              <symbol val="none"/>
              <spPr>
                <a:ln>
                  <a:prstDash val="solid"/>
                </a:ln>
              </spPr>
            </marker>
            <bubble3D val="0"/>
            <spPr>
              <a:ln w="47625" cap="rnd" cmpd="sng" algn="ctr">
                <a:solidFill>
                  <a:schemeClr val="accent6">
                    <a:shade val="95000"/>
                    <a:satMod val="105000"/>
                  </a:schemeClr>
                </a:solidFill>
                <a:prstDash val="solid"/>
                <a:round/>
              </a:ln>
            </spPr>
          </dPt>
          <dPt>
            <idx val="6"/>
            <marker>
              <symbol val="none"/>
              <spPr>
                <a:ln>
                  <a:prstDash val="solid"/>
                </a:ln>
              </spPr>
            </marker>
            <bubble3D val="0"/>
            <spPr>
              <a:ln w="47625" cap="rnd" cmpd="sng" algn="ctr">
                <a:solidFill>
                  <a:schemeClr val="accent1">
                    <a:shade val="95000"/>
                    <a:satMod val="105000"/>
                  </a:schemeClr>
                </a:solidFill>
                <a:prstDash val="solid"/>
                <a:round/>
              </a:ln>
            </spPr>
          </dPt>
          <dPt>
            <idx val="7"/>
            <marker>
              <symbol val="none"/>
              <spPr>
                <a:ln>
                  <a:prstDash val="solid"/>
                </a:ln>
              </spPr>
            </marker>
            <bubble3D val="0"/>
            <spPr>
              <a:ln w="47625" cap="rnd" cmpd="sng" algn="ctr">
                <a:solidFill>
                  <a:schemeClr val="accent2">
                    <a:shade val="95000"/>
                    <a:satMod val="105000"/>
                  </a:schemeClr>
                </a:solidFill>
                <a:prstDash val="solid"/>
                <a:round/>
              </a:ln>
            </spPr>
          </dPt>
          <dPt>
            <idx val="8"/>
            <marker>
              <symbol val="none"/>
              <spPr>
                <a:ln>
                  <a:prstDash val="solid"/>
                </a:ln>
              </spPr>
            </marker>
            <bubble3D val="0"/>
            <spPr>
              <a:ln w="47625" cap="rnd" cmpd="sng" algn="ctr">
                <a:solidFill>
                  <a:schemeClr val="accent3">
                    <a:shade val="95000"/>
                    <a:satMod val="105000"/>
                  </a:schemeClr>
                </a:solidFill>
                <a:prstDash val="solid"/>
                <a:round/>
              </a:ln>
            </spPr>
          </dPt>
          <dPt>
            <idx val="9"/>
            <marker>
              <symbol val="none"/>
              <spPr>
                <a:ln>
                  <a:prstDash val="solid"/>
                </a:ln>
              </spPr>
            </marker>
            <bubble3D val="0"/>
            <spPr>
              <a:ln w="47625" cap="rnd" cmpd="sng" algn="ctr">
                <a:solidFill>
                  <a:schemeClr val="accent4">
                    <a:shade val="95000"/>
                    <a:satMod val="105000"/>
                  </a:schemeClr>
                </a:solidFill>
                <a:prstDash val="solid"/>
                <a:round/>
              </a:ln>
            </spPr>
          </dPt>
          <dPt>
            <idx val="10"/>
            <marker>
              <symbol val="none"/>
              <spPr>
                <a:ln>
                  <a:prstDash val="solid"/>
                </a:ln>
              </spPr>
            </marker>
            <bubble3D val="0"/>
            <spPr>
              <a:ln w="47625" cap="rnd" cmpd="sng" algn="ctr">
                <a:solidFill>
                  <a:schemeClr val="accent5">
                    <a:shade val="95000"/>
                    <a:satMod val="105000"/>
                  </a:schemeClr>
                </a:solidFill>
                <a:prstDash val="solid"/>
                <a:round/>
              </a:ln>
            </spPr>
          </dPt>
          <dPt>
            <idx val="11"/>
            <marker>
              <symbol val="none"/>
              <spPr>
                <a:ln>
                  <a:prstDash val="solid"/>
                </a:ln>
              </spPr>
            </marker>
            <bubble3D val="0"/>
            <spPr>
              <a:ln w="47625" cap="rnd" cmpd="sng" algn="ctr">
                <a:solidFill>
                  <a:schemeClr val="accent6">
                    <a:shade val="95000"/>
                    <a:satMod val="105000"/>
                  </a:schemeClr>
                </a:solidFill>
                <a:prstDash val="solid"/>
                <a:round/>
              </a:ln>
            </spPr>
          </dPt>
          <dPt>
            <idx val="12"/>
            <marker>
              <symbol val="none"/>
              <spPr>
                <a:ln>
                  <a:prstDash val="solid"/>
                </a:ln>
              </spPr>
            </marker>
            <bubble3D val="0"/>
            <spPr>
              <a:ln w="47625" cap="rnd" cmpd="sng" algn="ctr">
                <a:solidFill>
                  <a:schemeClr val="accent1">
                    <a:tint val="65000"/>
                    <a:shade val="95000"/>
                    <a:satMod val="105000"/>
                  </a:schemeClr>
                </a:solidFill>
                <a:prstDash val="solid"/>
                <a:round/>
              </a:ln>
            </spPr>
          </dPt>
          <dLbls>
            <spPr>
              <a:noFill/>
              <a:ln>
                <a:noFill/>
                <a:prstDash val="solid"/>
              </a:ln>
            </spPr>
            <txPr>
              <a:bodyPr rot="0" spcFirstLastPara="0" vertOverflow="ellipsis" vert="horz" wrap="square" lIns="38100" tIns="19050" rIns="38100" bIns="19050" anchor="ctr" anchorCtr="1"/>
              <a:lstStyle/>
              <a:p>
                <a:pPr>
                  <a:defRPr lang="zh-CN" sz="1000" b="0" i="0" strike="noStrike" kern="1200" baseline="0">
                    <a:solidFill>
                      <a:schemeClr val="tx1"/>
                    </a:solidFill>
                    <a:latin typeface="+mn-lt"/>
                    <a:ea typeface="+mn-ea"/>
                    <a:cs typeface="+mn-cs"/>
                  </a:defRPr>
                </a:pPr>
                <a:r>
                  <a:t>None</a:t>
                </a:r>
              </a:p>
            </txPr>
            <dLblPos val="t"/>
            <showLegendKey val="0"/>
            <showVal val="1"/>
            <showCatName val="0"/>
            <showSerName val="0"/>
            <showPercent val="0"/>
            <showBubbleSize val="0"/>
            <showLeaderLines val="0"/>
          </dLbls>
          <cat>
            <strRef>
              <f>'01-整体周趋势'!$A$4:$A$16</f>
              <strCache>
                <ptCount val="13"/>
                <pt idx="0">
                  <v>5.11-5.17</v>
                </pt>
                <pt idx="1">
                  <v>5.18-5.24</v>
                </pt>
                <pt idx="2">
                  <v>5.25-5.31</v>
                </pt>
                <pt idx="3">
                  <v>6.1-6.7</v>
                </pt>
                <pt idx="4">
                  <v>6.8-6.14</v>
                </pt>
                <pt idx="5">
                  <v>6.15-6.21</v>
                </pt>
                <pt idx="6">
                  <v>6.22-6.28</v>
                </pt>
                <pt idx="7">
                  <v>6.29-7.5</v>
                </pt>
                <pt idx="8">
                  <v>7.6-7.12</v>
                </pt>
                <pt idx="9">
                  <v>7.13-7.19</v>
                </pt>
                <pt idx="10">
                  <v>7.20-7.26</v>
                </pt>
                <pt idx="11">
                  <v>7.27-8.2</v>
                </pt>
                <pt idx="12">
                  <v>8.3-8.9</v>
                </pt>
              </strCache>
            </strRef>
          </cat>
          <val>
            <numRef>
              <f>'01-整体周趋势'!$F$4:$F$16</f>
              <numCache>
                <formatCode>#,##0</formatCode>
                <ptCount val="13"/>
                <pt idx="0">
                  <v>-7161.36371698103</v>
                </pt>
                <pt idx="1">
                  <v>-6709.46726415084</v>
                </pt>
                <pt idx="2">
                  <v>-6841.08811320745</v>
                </pt>
                <pt idx="3">
                  <v>-7458.18018867914</v>
                </pt>
                <pt idx="4">
                  <v>-8672.187471697909</v>
                </pt>
                <pt idx="5">
                  <v>-7954.43075471688</v>
                </pt>
                <pt idx="6">
                  <v>-7768.77854716971</v>
                </pt>
                <pt idx="7">
                  <v>-5229.27473584896</v>
                </pt>
                <pt idx="8">
                  <v>-4101.30898113208</v>
                </pt>
                <pt idx="9">
                  <v>-5146.03532075472</v>
                </pt>
                <pt idx="10">
                  <v>-5582.28603773585</v>
                </pt>
                <pt idx="11">
                  <v>-5088.60990566028</v>
                </pt>
                <pt idx="12">
                  <v>-5821.12511320754</v>
                </pt>
              </numCache>
            </numRef>
          </val>
          <smooth val="1"/>
        </ser>
        <dLbls>
          <showLegendKey val="0"/>
          <showVal val="0"/>
          <showCatName val="0"/>
          <showSerName val="0"/>
          <showPercent val="0"/>
          <showBubbleSize val="0"/>
        </dLbls>
        <marker val="0"/>
        <smooth val="1"/>
        <axId val="10"/>
        <axId val="100"/>
      </lineChart>
      <catAx>
        <axId val="10"/>
        <scaling>
          <orientation val="minMax"/>
        </scaling>
        <delete val="0"/>
        <axPos val="b"/>
        <title>
          <tx>
            <rich>
              <a:bodyPr rot="0" spcFirstLastPara="0" vertOverflow="ellipsis" vert="horz" wrap="square" anchor="ctr" anchorCtr="1"/>
              <a:lstStyle/>
              <a:p>
                <a:pPr>
                  <a:defRPr lang="zh-CN" sz="1000" b="1" i="0" strike="noStrike" kern="1200" baseline="0">
                    <a:solidFill>
                      <a:schemeClr val="tx1"/>
                    </a:solidFill>
                    <a:latin typeface="+mn-lt"/>
                    <a:ea typeface="+mn-ea"/>
                    <a:cs typeface="+mn-cs"/>
                  </a:defRPr>
                </a:pPr>
                <a:r>
                  <a:rPr lang="zh-CN" altLang="en-US"/>
                  <a:t>周次</a:t>
                </a:r>
                <a:endParaRPr lang="zh-CN" altLang="en-US"/>
              </a:p>
            </rich>
          </tx>
          <layout/>
          <overlay val="1"/>
        </title>
        <numFmt formatCode="General" sourceLinked="1"/>
        <majorTickMark val="out"/>
        <minorTickMark val="none"/>
        <tickLblPos val="nextTo"/>
        <txPr>
          <a:bodyPr rot="-60000000" spcFirstLastPara="0" vertOverflow="ellipsis" vert="horz" wrap="square" anchor="ctr" anchorCtr="1"/>
          <a:lstStyle/>
          <a:p>
            <a:pPr>
              <a:defRPr lang="zh-CN" sz="1000" b="0" i="0" strike="noStrike" kern="1200" baseline="0">
                <a:solidFill>
                  <a:schemeClr val="tx1"/>
                </a:solidFill>
                <a:latin typeface="+mn-lt"/>
                <a:ea typeface="+mn-ea"/>
                <a:cs typeface="+mn-cs"/>
              </a:defRPr>
            </a:pPr>
            <a:r>
              <a:t>None</a:t>
            </a:r>
          </a:p>
        </txPr>
        <crossAx val="100"/>
        <crosses val="autoZero"/>
        <auto val="1"/>
        <lblAlgn val="ctr"/>
        <lblOffset val="100"/>
        <noMultiLvlLbl val="1"/>
      </catAx>
      <valAx>
        <axId val="100"/>
        <scaling>
          <orientation val="minMax"/>
        </scaling>
        <delete val="0"/>
        <axPos val="l"/>
        <numFmt formatCode="#,##0" sourceLinked="1"/>
        <majorTickMark val="out"/>
        <minorTickMark val="none"/>
        <tickLblPos val="nextTo"/>
        <txPr>
          <a:bodyPr rot="-60000000" spcFirstLastPara="0" vertOverflow="ellipsis" vert="horz" wrap="square" anchor="ctr" anchorCtr="1"/>
          <a:lstStyle/>
          <a:p>
            <a:pPr>
              <a:defRPr lang="zh-CN" sz="1000" b="0" i="0" strike="noStrike" kern="1200" baseline="0">
                <a:solidFill>
                  <a:schemeClr val="tx1"/>
                </a:solidFill>
                <a:latin typeface="+mn-lt"/>
                <a:ea typeface="+mn-ea"/>
                <a:cs typeface="+mn-cs"/>
              </a:defRPr>
            </a:pPr>
            <a:r>
              <a:t>None</a:t>
            </a:r>
          </a:p>
        </txPr>
        <crossAx val="10"/>
        <crosses val="autoZero"/>
        <crossBetween val="between"/>
      </valAx>
    </plotArea>
    <legend>
      <legendPos val="r"/>
      <layout/>
      <overlay val="0"/>
      <txPr>
        <a:bodyPr rot="0" spcFirstLastPara="0" vertOverflow="ellipsis" vert="horz" wrap="square" anchor="ctr" anchorCtr="1"/>
        <a:lstStyle/>
        <a:p>
          <a:pPr>
            <a:defRPr lang="zh-CN" sz="1000" b="0" i="0" strike="noStrike" kern="1200" baseline="0">
              <a:solidFill>
                <a:schemeClr val="tx1"/>
              </a:solidFill>
              <a:latin typeface="+mn-lt"/>
              <a:ea typeface="+mn-ea"/>
              <a:cs typeface="+mn-cs"/>
            </a:defRPr>
          </a:pPr>
          <a:r>
            <a:t>None</a:t>
          </a:r>
        </a:p>
      </txPr>
    </legend>
    <plotVisOnly val="1"/>
    <dispBlanksAs val="gap"/>
  </chart>
</chartSpace>
</file>

<file path=xl/charts/chart2.xml><?xml version="1.0" encoding="utf-8"?>
<chartSpace xmlns:a="http://schemas.openxmlformats.org/drawingml/2006/main" xmlns="http://schemas.openxmlformats.org/drawingml/2006/chart">
  <chart>
    <title>
      <tx>
        <rich>
          <a:bodyPr rot="0" spcFirstLastPara="0" vertOverflow="ellipsis" vert="horz" wrap="square" anchor="ctr" anchorCtr="1"/>
          <a:lstStyle/>
          <a:p>
            <a:pPr>
              <a:defRPr lang="zh-CN" sz="1800" b="1" i="0" strike="noStrike" kern="1200" baseline="0">
                <a:solidFill>
                  <a:schemeClr val="tx1"/>
                </a:solidFill>
                <a:latin typeface="+mn-lt"/>
                <a:ea typeface="+mn-ea"/>
                <a:cs typeface="+mn-cs"/>
              </a:defRPr>
            </a:pPr>
            <a:r>
              <a:rPr lang="en-US"/>
              <a:t>TOP10：</a:t>
            </a:r>
            <a:r>
              <a:rPr lang="zh-CN" altLang="en-US"/>
              <a:t>净利润变化</a:t>
            </a:r>
            <a:endParaRPr lang="zh-CN" altLang="en-US"/>
          </a:p>
        </rich>
      </tx>
      <layout/>
      <overlay val="1"/>
    </title>
    <plotArea>
      <layout/>
      <barChart>
        <barDir val="bar"/>
        <grouping val="clustered"/>
        <varyColors val="1"/>
        <ser>
          <idx val="0"/>
          <order val="0"/>
          <tx>
            <strRef>
              <f>'03-近周回落归因'!$G$4</f>
              <strCache>
                <ptCount val="1"/>
                <pt idx="0">
                  <v>变化</v>
                </pt>
              </strCache>
            </strRef>
          </tx>
          <spPr>
            <a:solidFill>
              <a:schemeClr val="accent1">
                <a:alpha val="48000"/>
              </a:schemeClr>
            </a:solidFill>
            <a:ln w="9525" cap="flat" cmpd="sng" algn="ctr">
              <a:solidFill>
                <a:schemeClr val="lt1">
                  <a:shade val="95000"/>
                  <a:satMod val="105000"/>
                </a:schemeClr>
              </a:solidFill>
              <a:prstDash val="solid"/>
              <a:round/>
            </a:ln>
          </spPr>
          <invertIfNegative val="1"/>
          <dPt>
            <idx val="0"/>
            <invertIfNegative val="1"/>
            <bubble3D val="0"/>
            <spPr>
              <a:solidFill>
                <a:schemeClr val="accent1">
                  <a:alpha val="48000"/>
                </a:schemeClr>
              </a:solidFill>
              <a:ln w="9525" cap="flat" cmpd="sng" algn="ctr">
                <a:solidFill>
                  <a:schemeClr val="lt1">
                    <a:shade val="95000"/>
                    <a:satMod val="105000"/>
                  </a:schemeClr>
                </a:solidFill>
                <a:prstDash val="solid"/>
                <a:round/>
              </a:ln>
            </spPr>
          </dPt>
          <dPt>
            <idx val="1"/>
            <invertIfNegative val="1"/>
            <bubble3D val="0"/>
            <spPr>
              <a:solidFill>
                <a:schemeClr val="accent1">
                  <a:alpha val="48000"/>
                </a:schemeClr>
              </a:solidFill>
              <a:ln w="9525" cap="flat" cmpd="sng" algn="ctr">
                <a:solidFill>
                  <a:schemeClr val="lt1">
                    <a:shade val="95000"/>
                    <a:satMod val="105000"/>
                  </a:schemeClr>
                </a:solidFill>
                <a:prstDash val="solid"/>
                <a:round/>
              </a:ln>
            </spPr>
          </dPt>
          <dPt>
            <idx val="2"/>
            <invertIfNegative val="1"/>
            <bubble3D val="0"/>
            <spPr>
              <a:solidFill>
                <a:schemeClr val="accent1">
                  <a:alpha val="48000"/>
                </a:schemeClr>
              </a:solidFill>
              <a:ln w="9525" cap="flat" cmpd="sng" algn="ctr">
                <a:solidFill>
                  <a:schemeClr val="lt1">
                    <a:shade val="95000"/>
                    <a:satMod val="105000"/>
                  </a:schemeClr>
                </a:solidFill>
                <a:prstDash val="solid"/>
                <a:round/>
              </a:ln>
            </spPr>
          </dPt>
          <dPt>
            <idx val="3"/>
            <invertIfNegative val="1"/>
            <bubble3D val="0"/>
            <spPr>
              <a:solidFill>
                <a:schemeClr val="accent1">
                  <a:alpha val="48000"/>
                </a:schemeClr>
              </a:solidFill>
              <a:ln w="9525" cap="flat" cmpd="sng" algn="ctr">
                <a:solidFill>
                  <a:schemeClr val="lt1">
                    <a:shade val="95000"/>
                    <a:satMod val="105000"/>
                  </a:schemeClr>
                </a:solidFill>
                <a:prstDash val="solid"/>
                <a:round/>
              </a:ln>
            </spPr>
          </dPt>
          <dPt>
            <idx val="4"/>
            <invertIfNegative val="1"/>
            <bubble3D val="0"/>
            <spPr>
              <a:solidFill>
                <a:schemeClr val="accent1">
                  <a:alpha val="48000"/>
                </a:schemeClr>
              </a:solidFill>
              <a:ln w="9525" cap="flat" cmpd="sng" algn="ctr">
                <a:solidFill>
                  <a:schemeClr val="lt1">
                    <a:shade val="95000"/>
                    <a:satMod val="105000"/>
                  </a:schemeClr>
                </a:solidFill>
                <a:prstDash val="solid"/>
                <a:round/>
              </a:ln>
            </spPr>
          </dPt>
          <dPt>
            <idx val="5"/>
            <invertIfNegative val="1"/>
            <bubble3D val="0"/>
            <spPr>
              <a:solidFill>
                <a:schemeClr val="accent1">
                  <a:alpha val="48000"/>
                </a:schemeClr>
              </a:solidFill>
              <a:ln w="9525" cap="flat" cmpd="sng" algn="ctr">
                <a:solidFill>
                  <a:schemeClr val="lt1">
                    <a:shade val="95000"/>
                    <a:satMod val="105000"/>
                  </a:schemeClr>
                </a:solidFill>
                <a:prstDash val="solid"/>
                <a:round/>
              </a:ln>
            </spPr>
          </dPt>
          <dPt>
            <idx val="6"/>
            <invertIfNegative val="1"/>
            <bubble3D val="0"/>
            <spPr>
              <a:solidFill>
                <a:schemeClr val="accent1">
                  <a:alpha val="48000"/>
                </a:schemeClr>
              </a:solidFill>
              <a:ln w="9525" cap="flat" cmpd="sng" algn="ctr">
                <a:solidFill>
                  <a:schemeClr val="lt1">
                    <a:shade val="95000"/>
                    <a:satMod val="105000"/>
                  </a:schemeClr>
                </a:solidFill>
                <a:prstDash val="solid"/>
                <a:round/>
              </a:ln>
            </spPr>
          </dPt>
          <dPt>
            <idx val="7"/>
            <invertIfNegative val="1"/>
            <bubble3D val="0"/>
            <spPr>
              <a:solidFill>
                <a:schemeClr val="accent1">
                  <a:alpha val="48000"/>
                </a:schemeClr>
              </a:solidFill>
              <a:ln w="9525" cap="flat" cmpd="sng" algn="ctr">
                <a:solidFill>
                  <a:schemeClr val="lt1">
                    <a:shade val="95000"/>
                    <a:satMod val="105000"/>
                  </a:schemeClr>
                </a:solidFill>
                <a:prstDash val="solid"/>
                <a:round/>
              </a:ln>
            </spPr>
          </dPt>
          <dPt>
            <idx val="8"/>
            <invertIfNegative val="1"/>
            <bubble3D val="0"/>
            <spPr>
              <a:solidFill>
                <a:schemeClr val="accent1">
                  <a:alpha val="48000"/>
                </a:schemeClr>
              </a:solidFill>
              <a:ln w="9525" cap="flat" cmpd="sng" algn="ctr">
                <a:solidFill>
                  <a:schemeClr val="lt1">
                    <a:shade val="95000"/>
                    <a:satMod val="105000"/>
                  </a:schemeClr>
                </a:solidFill>
                <a:prstDash val="solid"/>
                <a:round/>
              </a:ln>
            </spPr>
          </dPt>
          <dPt>
            <idx val="9"/>
            <invertIfNegative val="1"/>
            <bubble3D val="0"/>
            <spPr>
              <a:solidFill>
                <a:schemeClr val="accent1">
                  <a:alpha val="48000"/>
                </a:schemeClr>
              </a:solidFill>
              <a:ln w="9525" cap="flat" cmpd="sng" algn="ctr">
                <a:solidFill>
                  <a:schemeClr val="lt1">
                    <a:shade val="95000"/>
                    <a:satMod val="105000"/>
                  </a:schemeClr>
                </a:solidFill>
                <a:prstDash val="solid"/>
                <a:round/>
              </a:ln>
            </spPr>
          </dPt>
          <dLbls>
            <delete val="1"/>
          </dLbls>
          <cat>
            <strRef>
              <f>'03-近周回落归因'!$C$5:$C$14</f>
              <strCache>
                <ptCount val="10"/>
                <pt idx="0">
                  <v>袋面主链接</v>
                </pt>
                <pt idx="1">
                  <v>30包</v>
                </pt>
                <pt idx="2">
                  <v>24包经典/牛系列</v>
                </pt>
                <pt idx="3">
                  <v>12包</v>
                </pt>
                <pt idx="4">
                  <v>原味大包</v>
                </pt>
                <pt idx="5">
                  <v>巴东牛肉</v>
                </pt>
                <pt idx="6">
                  <v>24包</v>
                </pt>
                <pt idx="7">
                  <v>原味大包</v>
                </pt>
                <pt idx="8">
                  <v>杯面混搭</v>
                </pt>
                <pt idx="9">
                  <v>24/30包</v>
                </pt>
              </strCache>
            </strRef>
          </cat>
          <val>
            <numRef>
              <f>'03-近周回落归因'!$G$5:$G$14</f>
              <numCache>
                <formatCode>#,##0</formatCode>
                <ptCount val="10"/>
                <pt idx="0">
                  <v>-667</v>
                </pt>
                <pt idx="1">
                  <v>-243</v>
                </pt>
                <pt idx="2">
                  <v>-210</v>
                </pt>
                <pt idx="3">
                  <v>-119</v>
                </pt>
                <pt idx="4">
                  <v>-101</v>
                </pt>
                <pt idx="5">
                  <v>-65</v>
                </pt>
                <pt idx="6">
                  <v>-58</v>
                </pt>
                <pt idx="7">
                  <v>-46</v>
                </pt>
                <pt idx="8">
                  <v>-31</v>
                </pt>
                <pt idx="9">
                  <v>-29</v>
                </pt>
              </numCache>
            </numRef>
          </val>
        </ser>
        <dLbls>
          <showLegendKey val="0"/>
          <showVal val="0"/>
          <showCatName val="0"/>
          <showSerName val="0"/>
          <showPercent val="0"/>
          <showBubbleSize val="0"/>
        </dLbls>
        <gapWidth val="150"/>
        <axId val="10"/>
        <axId val="100"/>
      </barChart>
      <catAx>
        <axId val="10"/>
        <scaling>
          <orientation val="minMax"/>
        </scaling>
        <delete val="0"/>
        <axPos val="l"/>
        <numFmt formatCode="General" sourceLinked="1"/>
        <majorTickMark val="out"/>
        <minorTickMark val="none"/>
        <tickLblPos val="nextTo"/>
        <txPr>
          <a:bodyPr rot="-60000000" spcFirstLastPara="0" vertOverflow="ellipsis" vert="horz" wrap="square" anchor="ctr" anchorCtr="1"/>
          <a:lstStyle/>
          <a:p>
            <a:pPr>
              <a:defRPr lang="zh-CN" sz="1000" b="0" i="0" strike="noStrike" kern="1200" baseline="0">
                <a:solidFill>
                  <a:schemeClr val="tx1"/>
                </a:solidFill>
                <a:latin typeface="+mn-lt"/>
                <a:ea typeface="+mn-ea"/>
                <a:cs typeface="+mn-cs"/>
              </a:defRPr>
            </a:pPr>
            <a:r>
              <a:t>None</a:t>
            </a:r>
          </a:p>
        </txPr>
        <crossAx val="100"/>
        <crosses val="autoZero"/>
        <auto val="1"/>
        <lblAlgn val="ctr"/>
        <lblOffset val="100"/>
        <noMultiLvlLbl val="1"/>
      </catAx>
      <valAx>
        <axId val="100"/>
        <scaling>
          <orientation val="minMax"/>
        </scaling>
        <delete val="0"/>
        <axPos val="b"/>
        <numFmt formatCode="#,##0" sourceLinked="1"/>
        <majorTickMark val="out"/>
        <minorTickMark val="none"/>
        <tickLblPos val="nextTo"/>
        <txPr>
          <a:bodyPr rot="-60000000" spcFirstLastPara="0" vertOverflow="ellipsis" vert="horz" wrap="square" anchor="ctr" anchorCtr="1"/>
          <a:lstStyle/>
          <a:p>
            <a:pPr>
              <a:defRPr lang="zh-CN" sz="1000" b="0" i="0" strike="noStrike" kern="1200" baseline="0">
                <a:solidFill>
                  <a:schemeClr val="tx1"/>
                </a:solidFill>
                <a:latin typeface="+mn-lt"/>
                <a:ea typeface="+mn-ea"/>
                <a:cs typeface="+mn-cs"/>
              </a:defRPr>
            </a:pPr>
            <a:r>
              <a:t>None</a:t>
            </a:r>
          </a:p>
        </txPr>
        <crossAx val="10"/>
        <crosses val="autoZero"/>
        <crossBetween val="between"/>
      </valAx>
    </plotArea>
    <legend>
      <legendPos val="r"/>
      <layout/>
      <overlay val="0"/>
      <txPr>
        <a:bodyPr rot="0" spcFirstLastPara="0" vertOverflow="ellipsis" vert="horz" wrap="square" anchor="ctr" anchorCtr="1"/>
        <a:lstStyle/>
        <a:p>
          <a:pPr>
            <a:defRPr lang="zh-CN" sz="1000" b="0" i="0" strike="noStrike" kern="1200" baseline="0">
              <a:solidFill>
                <a:schemeClr val="tx1"/>
              </a:solidFill>
              <a:latin typeface="+mn-lt"/>
              <a:ea typeface="+mn-ea"/>
              <a:cs typeface="+mn-cs"/>
            </a:defRPr>
          </a:pPr>
          <a:r>
            <a:t>None</a:t>
          </a:r>
        </a:p>
      </txP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 /></Relationships>
</file>

<file path=xl/drawings/_rels/drawing2.xml.rels><Relationships xmlns="http://schemas.openxmlformats.org/package/2006/relationships"><Relationship Type="http://schemas.openxmlformats.org/officeDocument/2006/relationships/chart" Target="/xl/charts/chart2.xml" Id="rId1"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7</col>
      <colOff>8890</colOff>
      <row>17</row>
      <rowOff>0</rowOff>
    </from>
    <ext cx="8213090" cy="3358515"/>
    <graphicFrame>
      <nvGraphicFramePr>
        <cNvPr id="1" name="Chart 1"/>
        <cNvGraphicFramePr/>
      </nvGraphicFramePr>
      <xfrm/>
      <a:graphic>
        <a:graphicData uri="http://schemas.openxmlformats.org/drawingml/2006/chart">
          <c:chart r:id="rId1"/>
        </a:graphicData>
      </a:graphic>
    </graphicFrame>
    <clientData/>
  </oneCellAnchor>
</wsDr>
</file>

<file path=xl/drawings/drawing2.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0</col>
      <colOff>9525</colOff>
      <row>25</row>
      <rowOff>0</rowOff>
    </from>
    <ext cx="8512175" cy="3853180"/>
    <graphicFrame>
      <nvGraphicFramePr>
        <cNvPr id="1" name="Chart 1"/>
        <cNvGraphicFramePr/>
      </nvGraphicFramePr>
      <xfrm/>
      <a:graphic>
        <a:graphicData uri="http://schemas.openxmlformats.org/drawingml/2006/chart">
          <c:chart r:id="rId1"/>
        </a:graphicData>
      </a:graphic>
    </graphicFrame>
    <clientData/>
  </oneCellAnchor>
</wsDr>
</file>

<file path=xl/externalLinks/_rels/externalLink1.xml.rels><Relationships xmlns="http://schemas.openxmlformats.org/package/2006/relationships"><Relationship Type="http://schemas.openxmlformats.org/officeDocument/2006/relationships/externalLinkPath" Target="file:///D:\&#29983;&#24847;&#21442;&#35851;-&#19975;&#30456;&#21488;\&#22825;&#29483;ID&#21608;&#25439;&#30410;_&#21512;&#24182;%20(1).xlsx" TargetMode="External" Id="rId1" /></Relationships>
</file>

<file path=xl/externalLinks/_rels/externalLink2.xml.rels><Relationships xmlns="http://schemas.openxmlformats.org/package/2006/relationships"><Relationship Type="http://schemas.openxmlformats.org/officeDocument/2006/relationships/externalLinkPath" Target="file:///D:\&#29983;&#24847;&#21442;&#35851;-&#19975;&#30456;&#21488;\tmall_profit_leadership_report%20(3).xlsx" TargetMode="External" Id="rId1" /></Relationships>
</file>

<file path=xl/externalLinks/externalLink1.xml><?xml version="1.0" encoding="utf-8"?>
<externalLink xmlns:r="http://schemas.openxmlformats.org/officeDocument/2006/relationships" xmlns="http://schemas.openxmlformats.org/spreadsheetml/2006/main">
  <externalBook r:id="rId1">
    <sheetNames>
      <sheetName val="说明"/>
      <sheetName val="工作表说明"/>
      <sheetName val="周报其他费用"/>
      <sheetName val="其他费用校准"/>
      <sheetName val="各周汇总"/>
      <sheetName val="全部周合并明细"/>
      <sheetName val="明细_5.11-5.17"/>
      <sheetName val="明细_5.25-5.31"/>
      <sheetName val="明细_6.15-6.21"/>
      <sheetName val="明细_6.22-6.28"/>
      <sheetName val="明细_6.29-7.5"/>
      <sheetName val="明细_7.6-7.12"/>
      <sheetName val="明细_7.13-7.19"/>
      <sheetName val="明细_7.20-7.26"/>
      <sheetName val="明细_7.27-8.2"/>
    </sheetNames>
    <sheetDataSet>
      <sheetData sheetId="0"/>
      <sheetData sheetId="1"/>
      <sheetData sheetId="2">
        <row r="1">
          <cell r="A1" t="str">
            <v>周次</v>
          </cell>
          <cell r="B1" t="str">
            <v>周报其他费用</v>
          </cell>
        </row>
        <row r="2">
          <cell r="A2" t="str">
            <v>5.11-5.17</v>
          </cell>
          <cell r="B2">
            <v>1911</v>
          </cell>
        </row>
        <row r="3">
          <cell r="A3" t="str">
            <v>5.25-5.31</v>
          </cell>
          <cell r="B3">
            <v>1911</v>
          </cell>
        </row>
        <row r="4">
          <cell r="A4" t="str">
            <v>6.15-6.21</v>
          </cell>
          <cell r="B4">
            <v>3605</v>
          </cell>
        </row>
        <row r="5">
          <cell r="A5" t="str">
            <v>6.22-6.28</v>
          </cell>
          <cell r="B5">
            <v>3605</v>
          </cell>
        </row>
        <row r="6">
          <cell r="A6" t="str">
            <v>6.29-7.5</v>
          </cell>
          <cell r="B6">
            <v>1951</v>
          </cell>
        </row>
        <row r="7">
          <cell r="A7" t="str">
            <v>7.6-7.12</v>
          </cell>
          <cell r="B7">
            <v>2054</v>
          </cell>
        </row>
        <row r="8">
          <cell r="A8" t="str">
            <v>7.13-7.19</v>
          </cell>
          <cell r="B8">
            <v>2405</v>
          </cell>
        </row>
        <row r="9">
          <cell r="A9" t="str">
            <v>7.20-7.26</v>
          </cell>
          <cell r="B9">
            <v>2097</v>
          </cell>
        </row>
        <row r="10">
          <cell r="A10" t="str">
            <v>7.27-8.2</v>
          </cell>
          <cell r="B10">
            <v>2127</v>
          </cell>
        </row>
      </sheetData>
      <sheetData sheetId="3"/>
      <sheetData sheetId="4"/>
      <sheetData sheetId="5"/>
      <sheetData sheetId="6"/>
      <sheetData sheetId="7"/>
      <sheetData sheetId="8"/>
      <sheetData sheetId="9"/>
      <sheetData sheetId="10"/>
      <sheetData sheetId="11"/>
      <sheetData sheetId="12"/>
      <sheetData sheetId="13"/>
      <sheetData sheetId="14"/>
    </sheetDataSet>
  </externalBook>
</externalLink>
</file>

<file path=xl/externalLinks/externalLink2.xml><?xml version="1.0" encoding="utf-8"?>
<externalLink xmlns:r="http://schemas.openxmlformats.org/officeDocument/2006/relationships" xmlns="http://schemas.openxmlformats.org/spreadsheetml/2006/main">
  <externalBook r:id="rId1">
    <sheetNames>
      <sheetName val="01-领导一页纸"/>
      <sheetName val="02-推广后利率变化"/>
      <sheetName val="03-主亏ID与原因"/>
      <sheetName val="04-近周阶段归因"/>
      <sheetName val="05-规格搭配（推广前）"/>
      <sheetName val="06-口径说明"/>
      <sheetName val="08-周报其他费用"/>
      <sheetName val="09-全量ID每周净利润"/>
      <sheetName val="07-数据源1"/>
      <sheetName val="10-全量ID每周后利率"/>
    </sheetNames>
    <sheetDataSet>
      <sheetData sheetId="0"/>
      <sheetData sheetId="1"/>
      <sheetData sheetId="2"/>
      <sheetData sheetId="3"/>
      <sheetData sheetId="4"/>
      <sheetData sheetId="5"/>
      <sheetData sheetId="6"/>
      <sheetData sheetId="7"/>
      <sheetData sheetId="8">
        <row r="1">
          <cell r="A1" t="str">
            <v>数据源1 · 全部周合并明细（计算列均为公式；其他费用=周报×件数占比）</v>
          </cell>
        </row>
        <row r="2">
          <cell r="A2" t="str">
            <v>周次</v>
          </cell>
        </row>
        <row r="2">
          <cell r="C2" t="str">
            <v>商品ID</v>
          </cell>
        </row>
        <row r="2">
          <cell r="AC2" t="str">
            <v>净利润(推广后)</v>
          </cell>
        </row>
        <row r="3">
          <cell r="A3" t="str">
            <v>5.11-5.17</v>
          </cell>
        </row>
        <row r="3">
          <cell r="C3" t="str">
            <v>668566625747</v>
          </cell>
        </row>
        <row r="3">
          <cell r="AC3">
            <v>-1602.92411096837</v>
          </cell>
        </row>
        <row r="4">
          <cell r="A4" t="str">
            <v>5.11-5.17</v>
          </cell>
        </row>
        <row r="4">
          <cell r="C4" t="str">
            <v>649361890551</v>
          </cell>
        </row>
        <row r="4">
          <cell r="AC4">
            <v>-3465.09271270564</v>
          </cell>
        </row>
        <row r="5">
          <cell r="A5" t="str">
            <v>5.11-5.17</v>
          </cell>
        </row>
        <row r="5">
          <cell r="C5" t="str">
            <v>649735171438</v>
          </cell>
        </row>
        <row r="5">
          <cell r="AC5">
            <v>-1313.49216702296</v>
          </cell>
        </row>
        <row r="6">
          <cell r="A6" t="str">
            <v>5.11-5.17</v>
          </cell>
        </row>
        <row r="6">
          <cell r="C6" t="str">
            <v>648600900806</v>
          </cell>
        </row>
        <row r="6">
          <cell r="AC6">
            <v>-23.99590305791</v>
          </cell>
        </row>
        <row r="7">
          <cell r="A7" t="str">
            <v>5.11-5.17</v>
          </cell>
        </row>
        <row r="7">
          <cell r="C7" t="str">
            <v>649014937782</v>
          </cell>
        </row>
        <row r="7">
          <cell r="AC7">
            <v>-116.489704441949</v>
          </cell>
        </row>
        <row r="8">
          <cell r="A8" t="str">
            <v>5.11-5.17</v>
          </cell>
        </row>
        <row r="8">
          <cell r="C8" t="str">
            <v>648598580775</v>
          </cell>
        </row>
        <row r="8">
          <cell r="AC8">
            <v>-6.85073036527206</v>
          </cell>
        </row>
        <row r="9">
          <cell r="A9" t="str">
            <v>5.11-5.17</v>
          </cell>
        </row>
        <row r="9">
          <cell r="C9" t="str">
            <v>766165464414</v>
          </cell>
        </row>
        <row r="9">
          <cell r="AC9">
            <v>91.7911222908521</v>
          </cell>
        </row>
        <row r="10">
          <cell r="A10" t="str">
            <v>5.11-5.17</v>
          </cell>
        </row>
        <row r="10">
          <cell r="C10" t="str">
            <v>735014804839</v>
          </cell>
        </row>
        <row r="10">
          <cell r="AC10">
            <v>-48.5699284151111</v>
          </cell>
        </row>
        <row r="11">
          <cell r="A11" t="str">
            <v>5.11-5.17</v>
          </cell>
        </row>
        <row r="11">
          <cell r="C11" t="str">
            <v>649369494424</v>
          </cell>
        </row>
        <row r="11">
          <cell r="AC11">
            <v>96.4490715848889</v>
          </cell>
        </row>
        <row r="12">
          <cell r="A12" t="str">
            <v>5.11-5.17</v>
          </cell>
        </row>
        <row r="12">
          <cell r="C12" t="str">
            <v>648681860568</v>
          </cell>
        </row>
        <row r="12">
          <cell r="AC12">
            <v>-95.0225072708681</v>
          </cell>
        </row>
        <row r="13">
          <cell r="A13" t="str">
            <v>5.11-5.17</v>
          </cell>
        </row>
        <row r="13">
          <cell r="C13" t="str">
            <v>929504658691</v>
          </cell>
        </row>
        <row r="13">
          <cell r="AC13">
            <v>-64.0467552915525</v>
          </cell>
        </row>
        <row r="14">
          <cell r="A14" t="str">
            <v>5.11-5.17</v>
          </cell>
        </row>
        <row r="14">
          <cell r="C14" t="str">
            <v>1013887677295</v>
          </cell>
        </row>
        <row r="14">
          <cell r="AC14">
            <v>-69.4466766512606</v>
          </cell>
        </row>
        <row r="15">
          <cell r="A15" t="str">
            <v>5.11-5.17</v>
          </cell>
        </row>
        <row r="15">
          <cell r="C15" t="str">
            <v>969433743398</v>
          </cell>
        </row>
        <row r="15">
          <cell r="AC15">
            <v>-85.1464879720153</v>
          </cell>
        </row>
        <row r="16">
          <cell r="A16" t="str">
            <v>5.11-5.17</v>
          </cell>
        </row>
        <row r="16">
          <cell r="C16" t="str">
            <v>937005385662</v>
          </cell>
        </row>
        <row r="16">
          <cell r="AC16">
            <v>-112.272305486316</v>
          </cell>
        </row>
        <row r="17">
          <cell r="A17" t="str">
            <v>5.11-5.17</v>
          </cell>
        </row>
        <row r="17">
          <cell r="C17" t="str">
            <v>744317232690</v>
          </cell>
        </row>
        <row r="17">
          <cell r="AC17">
            <v>-35.3005916737784</v>
          </cell>
        </row>
        <row r="18">
          <cell r="A18" t="str">
            <v>5.11-5.17</v>
          </cell>
        </row>
        <row r="18">
          <cell r="C18" t="str">
            <v>648604228786</v>
          </cell>
        </row>
        <row r="18">
          <cell r="AC18">
            <v>-25.9569153098041</v>
          </cell>
        </row>
        <row r="19">
          <cell r="A19" t="str">
            <v>5.11-5.17</v>
          </cell>
        </row>
        <row r="19">
          <cell r="C19" t="str">
            <v>898076297965</v>
          </cell>
        </row>
        <row r="19">
          <cell r="AC19">
            <v>-58.8827770407861</v>
          </cell>
        </row>
        <row r="20">
          <cell r="A20" t="str">
            <v>5.11-5.17</v>
          </cell>
        </row>
        <row r="20">
          <cell r="C20" t="str">
            <v>649729851594</v>
          </cell>
        </row>
        <row r="20">
          <cell r="AC20">
            <v>-6.85053478271893</v>
          </cell>
        </row>
        <row r="21">
          <cell r="A21" t="str">
            <v>5.11-5.17</v>
          </cell>
        </row>
        <row r="21">
          <cell r="C21" t="str">
            <v>969423151512</v>
          </cell>
        </row>
        <row r="21">
          <cell r="AC21">
            <v>-13.8518398381059</v>
          </cell>
        </row>
        <row r="22">
          <cell r="A22" t="str">
            <v>5.11-5.17</v>
          </cell>
        </row>
        <row r="22">
          <cell r="C22" t="str">
            <v>886856687067</v>
          </cell>
        </row>
        <row r="22">
          <cell r="AC22">
            <v>-0.42170776263425</v>
          </cell>
        </row>
        <row r="23">
          <cell r="A23" t="str">
            <v>5.11-5.17</v>
          </cell>
        </row>
        <row r="23">
          <cell r="C23" t="str">
            <v>976479938842</v>
          </cell>
        </row>
        <row r="23">
          <cell r="AC23">
            <v>-96.2684721290421</v>
          </cell>
        </row>
        <row r="24">
          <cell r="A24" t="str">
            <v>5.11-5.17</v>
          </cell>
        </row>
        <row r="24">
          <cell r="C24" t="str">
            <v>949962665617</v>
          </cell>
        </row>
        <row r="24">
          <cell r="AC24">
            <v>-48.8793397662845</v>
          </cell>
        </row>
        <row r="25">
          <cell r="A25" t="str">
            <v>5.11-5.17</v>
          </cell>
        </row>
        <row r="25">
          <cell r="C25" t="str">
            <v>649731447266</v>
          </cell>
        </row>
        <row r="25">
          <cell r="AC25">
            <v>11.8806351722448</v>
          </cell>
        </row>
        <row r="26">
          <cell r="A26" t="str">
            <v>5.11-5.17</v>
          </cell>
        </row>
        <row r="26">
          <cell r="C26" t="str">
            <v>976466902934</v>
          </cell>
        </row>
        <row r="26">
          <cell r="AC26">
            <v>-35.049236064521</v>
          </cell>
        </row>
        <row r="27">
          <cell r="A27" t="str">
            <v>5.11-5.17</v>
          </cell>
        </row>
        <row r="27">
          <cell r="C27" t="str">
            <v>932687928859</v>
          </cell>
        </row>
        <row r="27">
          <cell r="AC27">
            <v>13.8058993231882</v>
          </cell>
        </row>
        <row r="28">
          <cell r="A28" t="str">
            <v>5.11-5.17</v>
          </cell>
        </row>
        <row r="28">
          <cell r="C28" t="str">
            <v>947413291596</v>
          </cell>
        </row>
        <row r="28">
          <cell r="AC28">
            <v>-0.0291761485099142</v>
          </cell>
        </row>
        <row r="29">
          <cell r="A29" t="str">
            <v>5.11-5.17</v>
          </cell>
        </row>
        <row r="29">
          <cell r="C29" t="str">
            <v>971242260371</v>
          </cell>
        </row>
        <row r="29">
          <cell r="AC29">
            <v>0.59767290809386</v>
          </cell>
        </row>
        <row r="30">
          <cell r="A30" t="str">
            <v>5.11-5.17</v>
          </cell>
        </row>
        <row r="30">
          <cell r="C30" t="str">
            <v>1040679932754</v>
          </cell>
        </row>
        <row r="30">
          <cell r="AC30">
            <v>-7.67921388435895</v>
          </cell>
        </row>
        <row r="31">
          <cell r="A31" t="str">
            <v>5.11-5.17</v>
          </cell>
        </row>
        <row r="31">
          <cell r="C31" t="str">
            <v>916072786304</v>
          </cell>
        </row>
        <row r="31">
          <cell r="AC31">
            <v>-7.95806610955733</v>
          </cell>
        </row>
        <row r="32">
          <cell r="A32" t="str">
            <v>5.11-5.17</v>
          </cell>
        </row>
        <row r="32">
          <cell r="C32" t="str">
            <v>898120785283</v>
          </cell>
        </row>
        <row r="32">
          <cell r="AC32">
            <v>0.608525133292213</v>
          </cell>
        </row>
        <row r="33">
          <cell r="A33" t="str">
            <v>5.11-5.17</v>
          </cell>
        </row>
        <row r="33">
          <cell r="C33" t="str">
            <v>885645733215</v>
          </cell>
        </row>
        <row r="33">
          <cell r="AC33">
            <v>-2.23785222519835</v>
          </cell>
        </row>
        <row r="34">
          <cell r="A34" t="str">
            <v>5.11-5.17</v>
          </cell>
        </row>
        <row r="34">
          <cell r="C34" t="str">
            <v>773972883430</v>
          </cell>
        </row>
        <row r="34">
          <cell r="AC34">
            <v>-13.2372484516134</v>
          </cell>
        </row>
        <row r="35">
          <cell r="A35" t="str">
            <v>5.11-5.17</v>
          </cell>
        </row>
        <row r="35">
          <cell r="C35" t="str">
            <v>903183018417</v>
          </cell>
        </row>
        <row r="35">
          <cell r="AC35">
            <v>-2.37913524406628</v>
          </cell>
        </row>
        <row r="36">
          <cell r="A36" t="str">
            <v>5.11-5.17</v>
          </cell>
        </row>
        <row r="36">
          <cell r="C36" t="str">
            <v>1019572719528</v>
          </cell>
        </row>
        <row r="36">
          <cell r="AC36">
            <v>1.53814777480165</v>
          </cell>
        </row>
        <row r="37">
          <cell r="A37" t="str">
            <v>5.11-5.17</v>
          </cell>
        </row>
        <row r="37">
          <cell r="C37" t="str">
            <v>754828376158</v>
          </cell>
        </row>
        <row r="37">
          <cell r="AC37">
            <v>-1.51632392331156</v>
          </cell>
        </row>
        <row r="38">
          <cell r="A38" t="str">
            <v>5.11-5.17</v>
          </cell>
        </row>
        <row r="38">
          <cell r="C38" t="str">
            <v>869217868453</v>
          </cell>
        </row>
        <row r="38">
          <cell r="AC38">
            <v>-7.61530505538703</v>
          </cell>
        </row>
        <row r="39">
          <cell r="A39" t="str">
            <v>5.11-5.17</v>
          </cell>
        </row>
        <row r="39">
          <cell r="C39" t="str">
            <v>976467954327</v>
          </cell>
        </row>
        <row r="39">
          <cell r="AC39">
            <v>-8.6164969032269</v>
          </cell>
        </row>
        <row r="40">
          <cell r="A40" t="str">
            <v>5.11-5.17</v>
          </cell>
        </row>
        <row r="40">
          <cell r="C40" t="str">
            <v>1019397839311</v>
          </cell>
        </row>
        <row r="40">
          <cell r="AC40">
            <v>-1.58475788557571</v>
          </cell>
        </row>
        <row r="41">
          <cell r="A41" t="str">
            <v>5.25-5.31</v>
          </cell>
        </row>
        <row r="41">
          <cell r="C41" t="str">
            <v>668566625747</v>
          </cell>
        </row>
        <row r="41">
          <cell r="AC41">
            <v>-2183.65165149041</v>
          </cell>
        </row>
        <row r="42">
          <cell r="A42" t="str">
            <v>5.25-5.31</v>
          </cell>
        </row>
        <row r="42">
          <cell r="C42" t="str">
            <v>649361890551</v>
          </cell>
        </row>
        <row r="42">
          <cell r="AC42">
            <v>-2626.22449481631</v>
          </cell>
        </row>
        <row r="43">
          <cell r="A43" t="str">
            <v>5.25-5.31</v>
          </cell>
        </row>
        <row r="43">
          <cell r="C43" t="str">
            <v>649735171438</v>
          </cell>
        </row>
        <row r="43">
          <cell r="AC43">
            <v>-1349.89952072867</v>
          </cell>
        </row>
        <row r="44">
          <cell r="A44" t="str">
            <v>5.25-5.31</v>
          </cell>
        </row>
        <row r="44">
          <cell r="C44" t="str">
            <v>648600900806</v>
          </cell>
        </row>
        <row r="44">
          <cell r="AC44">
            <v>-79.5622698247453</v>
          </cell>
        </row>
        <row r="45">
          <cell r="A45" t="str">
            <v>5.25-5.31</v>
          </cell>
        </row>
        <row r="45">
          <cell r="C45" t="str">
            <v>649014937782</v>
          </cell>
        </row>
        <row r="45">
          <cell r="AC45">
            <v>-153.96100490509</v>
          </cell>
        </row>
        <row r="46">
          <cell r="A46" t="str">
            <v>5.25-5.31</v>
          </cell>
        </row>
        <row r="46">
          <cell r="C46" t="str">
            <v>648598580775</v>
          </cell>
        </row>
        <row r="46">
          <cell r="AC46">
            <v>-75.6705708330112</v>
          </cell>
        </row>
        <row r="47">
          <cell r="A47" t="str">
            <v>5.25-5.31</v>
          </cell>
        </row>
        <row r="47">
          <cell r="C47" t="str">
            <v>766165464414</v>
          </cell>
        </row>
        <row r="47">
          <cell r="AC47">
            <v>202.381543216454</v>
          </cell>
        </row>
        <row r="48">
          <cell r="A48" t="str">
            <v>5.25-5.31</v>
          </cell>
        </row>
        <row r="48">
          <cell r="C48" t="str">
            <v>649369494424</v>
          </cell>
        </row>
        <row r="48">
          <cell r="AC48">
            <v>86.9225453029483</v>
          </cell>
        </row>
        <row r="49">
          <cell r="A49" t="str">
            <v>5.25-5.31</v>
          </cell>
        </row>
        <row r="49">
          <cell r="C49" t="str">
            <v>735014804839</v>
          </cell>
        </row>
        <row r="49">
          <cell r="AC49">
            <v>-38.8982843000481</v>
          </cell>
        </row>
        <row r="50">
          <cell r="A50" t="str">
            <v>5.25-5.31</v>
          </cell>
        </row>
        <row r="50">
          <cell r="C50" t="str">
            <v>648681860568</v>
          </cell>
        </row>
        <row r="50">
          <cell r="AC50">
            <v>-100.624077192141</v>
          </cell>
        </row>
        <row r="51">
          <cell r="A51" t="str">
            <v>5.25-5.31</v>
          </cell>
        </row>
        <row r="51">
          <cell r="C51" t="str">
            <v>1013887677295</v>
          </cell>
        </row>
        <row r="51">
          <cell r="AC51">
            <v>-149.481680123807</v>
          </cell>
        </row>
        <row r="52">
          <cell r="A52" t="str">
            <v>5.25-5.31</v>
          </cell>
        </row>
        <row r="52">
          <cell r="C52" t="str">
            <v>929504658691</v>
          </cell>
        </row>
        <row r="52">
          <cell r="AC52">
            <v>-96.6195669894701</v>
          </cell>
        </row>
        <row r="53">
          <cell r="A53" t="str">
            <v>5.25-5.31</v>
          </cell>
        </row>
        <row r="53">
          <cell r="C53" t="str">
            <v>744317232690</v>
          </cell>
        </row>
        <row r="53">
          <cell r="AC53">
            <v>-6.76120820606265</v>
          </cell>
        </row>
        <row r="54">
          <cell r="A54" t="str">
            <v>5.25-5.31</v>
          </cell>
        </row>
        <row r="54">
          <cell r="C54" t="str">
            <v>898076297965</v>
          </cell>
        </row>
        <row r="54">
          <cell r="AC54">
            <v>-12.4585665868132</v>
          </cell>
        </row>
        <row r="55">
          <cell r="A55" t="str">
            <v>5.25-5.31</v>
          </cell>
        </row>
        <row r="55">
          <cell r="C55" t="str">
            <v>969423151512</v>
          </cell>
        </row>
        <row r="55">
          <cell r="AC55">
            <v>-13.0041325147335</v>
          </cell>
        </row>
        <row r="56">
          <cell r="A56" t="str">
            <v>5.25-5.31</v>
          </cell>
        </row>
        <row r="56">
          <cell r="C56" t="str">
            <v>649729851594</v>
          </cell>
        </row>
        <row r="56">
          <cell r="AC56">
            <v>19.0161882399834</v>
          </cell>
        </row>
        <row r="57">
          <cell r="A57" t="str">
            <v>5.25-5.31</v>
          </cell>
        </row>
        <row r="57">
          <cell r="C57" t="str">
            <v>969433743398</v>
          </cell>
        </row>
        <row r="57">
          <cell r="AC57">
            <v>-82.8514721739804</v>
          </cell>
        </row>
        <row r="58">
          <cell r="A58" t="str">
            <v>5.25-5.31</v>
          </cell>
        </row>
        <row r="58">
          <cell r="C58" t="str">
            <v>886856687067</v>
          </cell>
        </row>
        <row r="58">
          <cell r="AC58">
            <v>0.986075142251753</v>
          </cell>
        </row>
        <row r="59">
          <cell r="A59" t="str">
            <v>5.25-5.31</v>
          </cell>
        </row>
        <row r="59">
          <cell r="C59" t="str">
            <v>648604228786</v>
          </cell>
        </row>
        <row r="59">
          <cell r="AC59">
            <v>5.71679223319922</v>
          </cell>
        </row>
        <row r="60">
          <cell r="A60" t="str">
            <v>5.25-5.31</v>
          </cell>
        </row>
        <row r="60">
          <cell r="C60" t="str">
            <v>773972883430</v>
          </cell>
        </row>
        <row r="60">
          <cell r="AC60">
            <v>7.09509415659687</v>
          </cell>
        </row>
        <row r="61">
          <cell r="A61" t="str">
            <v>5.25-5.31</v>
          </cell>
        </row>
        <row r="61">
          <cell r="C61" t="str">
            <v>949962665617</v>
          </cell>
        </row>
        <row r="61">
          <cell r="AC61">
            <v>-69.464905806798</v>
          </cell>
        </row>
        <row r="62">
          <cell r="A62" t="str">
            <v>5.25-5.31</v>
          </cell>
        </row>
        <row r="62">
          <cell r="C62" t="str">
            <v>1028450344901</v>
          </cell>
        </row>
        <row r="62">
          <cell r="AC62">
            <v>0.991830042258629</v>
          </cell>
        </row>
        <row r="63">
          <cell r="A63" t="str">
            <v>5.25-5.31</v>
          </cell>
        </row>
        <row r="63">
          <cell r="C63" t="str">
            <v>937005385662</v>
          </cell>
        </row>
        <row r="63">
          <cell r="AC63">
            <v>-26.0743963728357</v>
          </cell>
        </row>
        <row r="64">
          <cell r="A64" t="str">
            <v>5.25-5.31</v>
          </cell>
        </row>
        <row r="64">
          <cell r="C64" t="str">
            <v>775016827115</v>
          </cell>
        </row>
        <row r="64">
          <cell r="AC64">
            <v>2.59532064490152</v>
          </cell>
        </row>
        <row r="65">
          <cell r="A65" t="str">
            <v>5.25-5.31</v>
          </cell>
        </row>
        <row r="65">
          <cell r="C65" t="str">
            <v>885645733215</v>
          </cell>
        </row>
        <row r="65">
          <cell r="AC65">
            <v>0.657773438485045</v>
          </cell>
        </row>
        <row r="66">
          <cell r="A66" t="str">
            <v>5.25-5.31</v>
          </cell>
        </row>
        <row r="66">
          <cell r="C66" t="str">
            <v>965545088099</v>
          </cell>
        </row>
        <row r="66">
          <cell r="AC66">
            <v>13.4150376626387</v>
          </cell>
        </row>
        <row r="67">
          <cell r="A67" t="str">
            <v>5.25-5.31</v>
          </cell>
        </row>
        <row r="67">
          <cell r="C67" t="str">
            <v>916072786304</v>
          </cell>
        </row>
        <row r="67">
          <cell r="AC67">
            <v>-0.560735958872071</v>
          </cell>
        </row>
        <row r="68">
          <cell r="A68" t="str">
            <v>5.25-5.31</v>
          </cell>
        </row>
        <row r="68">
          <cell r="C68" t="str">
            <v>903183018417</v>
          </cell>
        </row>
        <row r="68">
          <cell r="AC68">
            <v>-12.5295661475513</v>
          </cell>
        </row>
        <row r="69">
          <cell r="A69" t="str">
            <v>5.25-5.31</v>
          </cell>
        </row>
        <row r="69">
          <cell r="C69" t="str">
            <v>947413291596</v>
          </cell>
        </row>
        <row r="69">
          <cell r="AC69">
            <v>-5.28541516754993</v>
          </cell>
        </row>
        <row r="70">
          <cell r="A70" t="str">
            <v>5.25-5.31</v>
          </cell>
        </row>
        <row r="70">
          <cell r="C70" t="str">
            <v>971242260371</v>
          </cell>
        </row>
        <row r="70">
          <cell r="AC70">
            <v>-56.6746227513249</v>
          </cell>
        </row>
        <row r="71">
          <cell r="A71" t="str">
            <v>5.25-5.31</v>
          </cell>
        </row>
        <row r="71">
          <cell r="C71" t="str">
            <v>649731447266</v>
          </cell>
        </row>
        <row r="71">
          <cell r="AC71">
            <v>-5.28075475358626</v>
          </cell>
        </row>
        <row r="72">
          <cell r="A72" t="str">
            <v>5.25-5.31</v>
          </cell>
        </row>
        <row r="72">
          <cell r="C72" t="str">
            <v>976479938842</v>
          </cell>
        </row>
        <row r="72">
          <cell r="AC72">
            <v>-20.4304530132145</v>
          </cell>
        </row>
        <row r="73">
          <cell r="A73" t="str">
            <v>5.25-5.31</v>
          </cell>
        </row>
        <row r="73">
          <cell r="C73" t="str">
            <v>976466902934</v>
          </cell>
        </row>
        <row r="73">
          <cell r="AC73">
            <v>-10.3659624105716</v>
          </cell>
        </row>
        <row r="74">
          <cell r="A74" t="str">
            <v>5.25-5.31</v>
          </cell>
        </row>
        <row r="74">
          <cell r="C74" t="str">
            <v>869217868453</v>
          </cell>
        </row>
        <row r="74">
          <cell r="AC74">
            <v>-1.07386796113346</v>
          </cell>
        </row>
        <row r="75">
          <cell r="A75" t="str">
            <v>5.25-5.31</v>
          </cell>
        </row>
        <row r="75">
          <cell r="C75" t="str">
            <v>975092562679</v>
          </cell>
        </row>
        <row r="75">
          <cell r="AC75">
            <v>2.15124524641371</v>
          </cell>
        </row>
        <row r="76">
          <cell r="A76" t="str">
            <v>5.25-5.31</v>
          </cell>
        </row>
        <row r="76">
          <cell r="C76" t="str">
            <v>898120785283</v>
          </cell>
        </row>
        <row r="76">
          <cell r="AC76">
            <v>-3.4299623007561</v>
          </cell>
        </row>
        <row r="77">
          <cell r="A77" t="str">
            <v>5.25-5.31</v>
          </cell>
        </row>
        <row r="77">
          <cell r="C77" t="str">
            <v>976467954327</v>
          </cell>
        </row>
        <row r="77">
          <cell r="AC77">
            <v>-5.80498120528578</v>
          </cell>
        </row>
        <row r="78">
          <cell r="A78" t="str">
            <v>5.25-5.31</v>
          </cell>
        </row>
        <row r="78">
          <cell r="C78" t="str">
            <v>754828376158</v>
          </cell>
        </row>
        <row r="78">
          <cell r="AC78">
            <v>-0.0792264516994945</v>
          </cell>
        </row>
        <row r="79">
          <cell r="A79" t="str">
            <v>6.15-6.21</v>
          </cell>
        </row>
        <row r="79">
          <cell r="C79" t="str">
            <v>668566625747</v>
          </cell>
        </row>
        <row r="79">
          <cell r="AC79">
            <v>-1374.61442072374</v>
          </cell>
        </row>
        <row r="80">
          <cell r="A80" t="str">
            <v>6.15-6.21</v>
          </cell>
        </row>
        <row r="80">
          <cell r="C80" t="str">
            <v>649361890551</v>
          </cell>
        </row>
        <row r="80">
          <cell r="AC80">
            <v>-3785.62980115241</v>
          </cell>
        </row>
        <row r="81">
          <cell r="A81" t="str">
            <v>6.15-6.21</v>
          </cell>
        </row>
        <row r="81">
          <cell r="C81" t="str">
            <v>649735171438</v>
          </cell>
        </row>
        <row r="81">
          <cell r="AC81">
            <v>-1717.02595368738</v>
          </cell>
        </row>
        <row r="82">
          <cell r="A82" t="str">
            <v>6.15-6.21</v>
          </cell>
        </row>
        <row r="82">
          <cell r="C82" t="str">
            <v>648600900806</v>
          </cell>
        </row>
        <row r="82">
          <cell r="AC82">
            <v>-237.272746032137</v>
          </cell>
        </row>
        <row r="83">
          <cell r="A83" t="str">
            <v>6.15-6.21</v>
          </cell>
        </row>
        <row r="83">
          <cell r="C83" t="str">
            <v>649014937782</v>
          </cell>
        </row>
        <row r="83">
          <cell r="AC83">
            <v>-81.6431282144499</v>
          </cell>
        </row>
        <row r="84">
          <cell r="A84" t="str">
            <v>6.15-6.21</v>
          </cell>
        </row>
        <row r="84">
          <cell r="C84" t="str">
            <v>649369494424</v>
          </cell>
        </row>
        <row r="84">
          <cell r="AC84">
            <v>-109.660649403406</v>
          </cell>
        </row>
        <row r="85">
          <cell r="A85" t="str">
            <v>6.15-6.21</v>
          </cell>
        </row>
        <row r="85">
          <cell r="C85" t="str">
            <v>648598580775</v>
          </cell>
        </row>
        <row r="85">
          <cell r="AC85">
            <v>-105.788609014948</v>
          </cell>
        </row>
        <row r="86">
          <cell r="A86" t="str">
            <v>6.15-6.21</v>
          </cell>
        </row>
        <row r="86">
          <cell r="C86" t="str">
            <v>735014804839</v>
          </cell>
        </row>
        <row r="86">
          <cell r="AC86">
            <v>119.555330038856</v>
          </cell>
        </row>
        <row r="87">
          <cell r="A87" t="str">
            <v>6.15-6.21</v>
          </cell>
        </row>
        <row r="87">
          <cell r="C87" t="str">
            <v>766165464414</v>
          </cell>
        </row>
        <row r="87">
          <cell r="AC87">
            <v>66.920563085478</v>
          </cell>
        </row>
        <row r="88">
          <cell r="A88" t="str">
            <v>6.15-6.21</v>
          </cell>
        </row>
        <row r="88">
          <cell r="C88" t="str">
            <v>648681860568</v>
          </cell>
        </row>
        <row r="88">
          <cell r="AC88">
            <v>-179.441643798539</v>
          </cell>
        </row>
        <row r="89">
          <cell r="A89" t="str">
            <v>6.15-6.21</v>
          </cell>
        </row>
        <row r="89">
          <cell r="C89" t="str">
            <v>1013887677295</v>
          </cell>
        </row>
        <row r="89">
          <cell r="AC89">
            <v>-154.437663329617</v>
          </cell>
        </row>
        <row r="90">
          <cell r="A90" t="str">
            <v>6.15-6.21</v>
          </cell>
        </row>
        <row r="90">
          <cell r="C90" t="str">
            <v>929504658691</v>
          </cell>
        </row>
        <row r="90">
          <cell r="AC90">
            <v>-347.588348361522</v>
          </cell>
        </row>
        <row r="91">
          <cell r="A91" t="str">
            <v>6.15-6.21</v>
          </cell>
        </row>
        <row r="91">
          <cell r="C91" t="str">
            <v>744317232690</v>
          </cell>
        </row>
        <row r="91">
          <cell r="AC91">
            <v>45.8410660696655</v>
          </cell>
        </row>
        <row r="92">
          <cell r="A92" t="str">
            <v>6.15-6.21</v>
          </cell>
        </row>
        <row r="92">
          <cell r="C92" t="str">
            <v>649731447266</v>
          </cell>
        </row>
        <row r="92">
          <cell r="AC92">
            <v>13.7076148654291</v>
          </cell>
        </row>
        <row r="93">
          <cell r="A93" t="str">
            <v>6.15-6.21</v>
          </cell>
        </row>
        <row r="93">
          <cell r="C93" t="str">
            <v>648604228786</v>
          </cell>
        </row>
        <row r="93">
          <cell r="AC93">
            <v>6.24090831298845</v>
          </cell>
        </row>
        <row r="94">
          <cell r="A94" t="str">
            <v>6.15-6.21</v>
          </cell>
        </row>
        <row r="94">
          <cell r="C94" t="str">
            <v>886856687067</v>
          </cell>
        </row>
        <row r="94">
          <cell r="AC94">
            <v>-4.35727060071817</v>
          </cell>
        </row>
        <row r="95">
          <cell r="A95" t="str">
            <v>6.15-6.21</v>
          </cell>
        </row>
        <row r="95">
          <cell r="C95" t="str">
            <v>969423151512</v>
          </cell>
        </row>
        <row r="95">
          <cell r="AC95">
            <v>-34.8528555063785</v>
          </cell>
        </row>
        <row r="96">
          <cell r="A96" t="str">
            <v>6.15-6.21</v>
          </cell>
        </row>
        <row r="96">
          <cell r="C96" t="str">
            <v>898076297965</v>
          </cell>
        </row>
        <row r="96">
          <cell r="AC96">
            <v>-16.7898457408399</v>
          </cell>
        </row>
        <row r="97">
          <cell r="A97" t="str">
            <v>6.15-6.21</v>
          </cell>
        </row>
        <row r="97">
          <cell r="C97" t="str">
            <v>649729851594</v>
          </cell>
        </row>
        <row r="97">
          <cell r="AC97">
            <v>3.97841708379795</v>
          </cell>
        </row>
        <row r="98">
          <cell r="A98" t="str">
            <v>6.15-6.21</v>
          </cell>
        </row>
        <row r="98">
          <cell r="C98" t="str">
            <v>773972883430</v>
          </cell>
        </row>
        <row r="98">
          <cell r="AC98">
            <v>0.0579733559951467</v>
          </cell>
        </row>
        <row r="99">
          <cell r="A99" t="str">
            <v>6.15-6.21</v>
          </cell>
        </row>
        <row r="99">
          <cell r="C99" t="str">
            <v>903183018417</v>
          </cell>
        </row>
        <row r="99">
          <cell r="AC99">
            <v>7.13819977108949</v>
          </cell>
        </row>
        <row r="100">
          <cell r="A100" t="str">
            <v>6.15-6.21</v>
          </cell>
        </row>
        <row r="100">
          <cell r="C100" t="str">
            <v>937005385662</v>
          </cell>
        </row>
        <row r="100">
          <cell r="AC100">
            <v>-36.267498342118</v>
          </cell>
        </row>
        <row r="101">
          <cell r="A101" t="str">
            <v>6.15-6.21</v>
          </cell>
        </row>
        <row r="101">
          <cell r="C101" t="str">
            <v>969433743398</v>
          </cell>
        </row>
        <row r="101">
          <cell r="AC101">
            <v>1.8253311834084</v>
          </cell>
        </row>
        <row r="102">
          <cell r="A102" t="str">
            <v>6.15-6.21</v>
          </cell>
        </row>
        <row r="102">
          <cell r="C102" t="str">
            <v>971242260371</v>
          </cell>
        </row>
        <row r="102">
          <cell r="AC102">
            <v>-11.561696786902</v>
          </cell>
        </row>
        <row r="103">
          <cell r="A103" t="str">
            <v>6.15-6.21</v>
          </cell>
        </row>
        <row r="103">
          <cell r="C103" t="str">
            <v>976479938842</v>
          </cell>
        </row>
        <row r="103">
          <cell r="AC103">
            <v>-36.7732426304078</v>
          </cell>
        </row>
        <row r="104">
          <cell r="A104" t="str">
            <v>6.15-6.21</v>
          </cell>
        </row>
        <row r="104">
          <cell r="C104" t="str">
            <v>949962665617</v>
          </cell>
        </row>
        <row r="104">
          <cell r="AC104">
            <v>-45.0391496170907</v>
          </cell>
        </row>
        <row r="105">
          <cell r="A105" t="str">
            <v>6.15-6.21</v>
          </cell>
        </row>
        <row r="105">
          <cell r="C105" t="str">
            <v>1028450344901</v>
          </cell>
        </row>
        <row r="105">
          <cell r="AC105">
            <v>1.28359533435181</v>
          </cell>
        </row>
        <row r="106">
          <cell r="A106" t="str">
            <v>6.15-6.21</v>
          </cell>
        </row>
        <row r="106">
          <cell r="C106" t="str">
            <v>898120785283</v>
          </cell>
        </row>
        <row r="106">
          <cell r="AC106">
            <v>3.38378401359709</v>
          </cell>
        </row>
        <row r="107">
          <cell r="A107" t="str">
            <v>6.15-6.21</v>
          </cell>
        </row>
        <row r="107">
          <cell r="C107" t="str">
            <v>947413291596</v>
          </cell>
        </row>
        <row r="107">
          <cell r="AC107">
            <v>-5.66465971420572</v>
          </cell>
        </row>
        <row r="108">
          <cell r="A108" t="str">
            <v>6.15-6.21</v>
          </cell>
        </row>
        <row r="108">
          <cell r="C108" t="str">
            <v>932687928859</v>
          </cell>
        </row>
        <row r="108">
          <cell r="AC108">
            <v>6.08073651220938</v>
          </cell>
        </row>
        <row r="109">
          <cell r="A109" t="str">
            <v>6.15-6.21</v>
          </cell>
        </row>
        <row r="109">
          <cell r="C109" t="str">
            <v>975092562679</v>
          </cell>
        </row>
        <row r="109">
          <cell r="AC109">
            <v>10.7607456145953</v>
          </cell>
        </row>
        <row r="110">
          <cell r="A110" t="str">
            <v>6.15-6.21</v>
          </cell>
        </row>
        <row r="110">
          <cell r="C110" t="str">
            <v>885645733215</v>
          </cell>
        </row>
        <row r="110">
          <cell r="AC110">
            <v>-5.33598957130857</v>
          </cell>
        </row>
        <row r="111">
          <cell r="A111" t="str">
            <v>6.15-6.21</v>
          </cell>
        </row>
        <row r="111">
          <cell r="C111" t="str">
            <v>775016827115</v>
          </cell>
        </row>
        <row r="111">
          <cell r="AC111">
            <v>-0.913537404272672</v>
          </cell>
        </row>
        <row r="112">
          <cell r="A112" t="str">
            <v>6.15-6.21</v>
          </cell>
        </row>
        <row r="112">
          <cell r="C112" t="str">
            <v>976466902934</v>
          </cell>
        </row>
        <row r="112">
          <cell r="AC112">
            <v>-6.69281065760194</v>
          </cell>
        </row>
        <row r="113">
          <cell r="A113" t="str">
            <v>6.15-6.21</v>
          </cell>
        </row>
        <row r="113">
          <cell r="C113" t="str">
            <v>1056927747753</v>
          </cell>
        </row>
        <row r="113">
          <cell r="AC113">
            <v>-2.36483929106512</v>
          </cell>
        </row>
        <row r="114">
          <cell r="A114" t="str">
            <v>6.22-6.28</v>
          </cell>
        </row>
        <row r="114">
          <cell r="C114" t="str">
            <v>668566625747</v>
          </cell>
        </row>
        <row r="114">
          <cell r="AC114">
            <v>-1847.35008622996</v>
          </cell>
        </row>
        <row r="115">
          <cell r="A115" t="str">
            <v>6.22-6.28</v>
          </cell>
        </row>
        <row r="115">
          <cell r="C115" t="str">
            <v>649361890551</v>
          </cell>
        </row>
        <row r="115">
          <cell r="AC115">
            <v>-2493.49995935826</v>
          </cell>
        </row>
        <row r="116">
          <cell r="A116" t="str">
            <v>6.22-6.28</v>
          </cell>
        </row>
        <row r="116">
          <cell r="C116" t="str">
            <v>649735171438</v>
          </cell>
        </row>
        <row r="116">
          <cell r="AC116">
            <v>-1713.44204942379</v>
          </cell>
        </row>
        <row r="117">
          <cell r="A117" t="str">
            <v>6.22-6.28</v>
          </cell>
        </row>
        <row r="117">
          <cell r="C117" t="str">
            <v>648600900806</v>
          </cell>
        </row>
        <row r="117">
          <cell r="AC117">
            <v>-310.102957229975</v>
          </cell>
        </row>
        <row r="118">
          <cell r="A118" t="str">
            <v>6.22-6.28</v>
          </cell>
        </row>
        <row r="118">
          <cell r="C118" t="str">
            <v>649369494424</v>
          </cell>
        </row>
        <row r="118">
          <cell r="AC118">
            <v>-144.101909875987</v>
          </cell>
        </row>
        <row r="119">
          <cell r="A119" t="str">
            <v>6.22-6.28</v>
          </cell>
        </row>
        <row r="119">
          <cell r="C119" t="str">
            <v>649014937782</v>
          </cell>
        </row>
        <row r="119">
          <cell r="AC119">
            <v>-183.229306271961</v>
          </cell>
        </row>
        <row r="120">
          <cell r="A120" t="str">
            <v>6.22-6.28</v>
          </cell>
        </row>
        <row r="120">
          <cell r="C120" t="str">
            <v>648598580775</v>
          </cell>
        </row>
        <row r="120">
          <cell r="AC120">
            <v>-151.123121439972</v>
          </cell>
        </row>
        <row r="121">
          <cell r="A121" t="str">
            <v>6.22-6.28</v>
          </cell>
        </row>
        <row r="121">
          <cell r="C121" t="str">
            <v>735014804839</v>
          </cell>
        </row>
        <row r="121">
          <cell r="AC121">
            <v>-13.7073612912277</v>
          </cell>
        </row>
        <row r="122">
          <cell r="A122" t="str">
            <v>6.22-6.28</v>
          </cell>
        </row>
        <row r="122">
          <cell r="C122" t="str">
            <v>1058280415678</v>
          </cell>
        </row>
        <row r="122">
          <cell r="AC122">
            <v>59.4483221404311</v>
          </cell>
        </row>
        <row r="123">
          <cell r="A123" t="str">
            <v>6.22-6.28</v>
          </cell>
        </row>
        <row r="123">
          <cell r="C123" t="str">
            <v>648681860568</v>
          </cell>
        </row>
        <row r="123">
          <cell r="AC123">
            <v>-86.740213148493</v>
          </cell>
        </row>
        <row r="124">
          <cell r="A124" t="str">
            <v>6.22-6.28</v>
          </cell>
        </row>
        <row r="124">
          <cell r="C124" t="str">
            <v>766165464414</v>
          </cell>
        </row>
        <row r="124">
          <cell r="AC124">
            <v>41.0805305646346</v>
          </cell>
        </row>
        <row r="125">
          <cell r="A125" t="str">
            <v>6.22-6.28</v>
          </cell>
        </row>
        <row r="125">
          <cell r="C125" t="str">
            <v>1057479227624</v>
          </cell>
        </row>
        <row r="125">
          <cell r="AC125">
            <v>-205.150888376961</v>
          </cell>
        </row>
        <row r="126">
          <cell r="A126" t="str">
            <v>6.22-6.28</v>
          </cell>
        </row>
        <row r="126">
          <cell r="C126" t="str">
            <v>1013887677295</v>
          </cell>
        </row>
        <row r="126">
          <cell r="AC126">
            <v>-146.496244066865</v>
          </cell>
        </row>
        <row r="127">
          <cell r="A127" t="str">
            <v>6.22-6.28</v>
          </cell>
        </row>
        <row r="127">
          <cell r="C127" t="str">
            <v>929504658691</v>
          </cell>
        </row>
        <row r="127">
          <cell r="AC127">
            <v>-325.597941133478</v>
          </cell>
        </row>
        <row r="128">
          <cell r="A128" t="str">
            <v>6.22-6.28</v>
          </cell>
        </row>
        <row r="128">
          <cell r="C128" t="str">
            <v>1059563993918</v>
          </cell>
        </row>
        <row r="128">
          <cell r="AC128">
            <v>-124.718927159404</v>
          </cell>
        </row>
        <row r="129">
          <cell r="A129" t="str">
            <v>6.22-6.28</v>
          </cell>
        </row>
        <row r="129">
          <cell r="C129" t="str">
            <v>1060999732877</v>
          </cell>
        </row>
        <row r="129">
          <cell r="AC129">
            <v>25.7022662441312</v>
          </cell>
        </row>
        <row r="130">
          <cell r="A130" t="str">
            <v>6.22-6.28</v>
          </cell>
        </row>
        <row r="130">
          <cell r="C130" t="str">
            <v>648604228786</v>
          </cell>
        </row>
        <row r="130">
          <cell r="AC130">
            <v>-11.2960356426612</v>
          </cell>
        </row>
        <row r="131">
          <cell r="A131" t="str">
            <v>6.22-6.28</v>
          </cell>
        </row>
        <row r="131">
          <cell r="C131" t="str">
            <v>649731447266</v>
          </cell>
        </row>
        <row r="131">
          <cell r="AC131">
            <v>43.1638123673486</v>
          </cell>
        </row>
        <row r="132">
          <cell r="A132" t="str">
            <v>6.22-6.28</v>
          </cell>
        </row>
        <row r="132">
          <cell r="C132" t="str">
            <v>971242260371</v>
          </cell>
        </row>
        <row r="132">
          <cell r="AC132">
            <v>-42.6790167747367</v>
          </cell>
        </row>
        <row r="133">
          <cell r="A133" t="str">
            <v>6.22-6.28</v>
          </cell>
        </row>
        <row r="133">
          <cell r="C133" t="str">
            <v>969423151512</v>
          </cell>
        </row>
        <row r="133">
          <cell r="AC133">
            <v>-45.8624288988546</v>
          </cell>
        </row>
        <row r="134">
          <cell r="A134" t="str">
            <v>6.22-6.28</v>
          </cell>
        </row>
        <row r="134">
          <cell r="C134" t="str">
            <v>744317232690</v>
          </cell>
        </row>
        <row r="134">
          <cell r="AC134">
            <v>-8.70312404184034</v>
          </cell>
        </row>
        <row r="135">
          <cell r="A135" t="str">
            <v>6.22-6.28</v>
          </cell>
        </row>
        <row r="135">
          <cell r="C135" t="str">
            <v>937005385662</v>
          </cell>
        </row>
        <row r="135">
          <cell r="AC135">
            <v>11.6969037367495</v>
          </cell>
        </row>
        <row r="136">
          <cell r="A136" t="str">
            <v>6.22-6.28</v>
          </cell>
        </row>
        <row r="136">
          <cell r="C136" t="str">
            <v>947413291596</v>
          </cell>
        </row>
        <row r="136">
          <cell r="AC136">
            <v>-4.26658682928823</v>
          </cell>
        </row>
        <row r="137">
          <cell r="A137" t="str">
            <v>6.22-6.28</v>
          </cell>
        </row>
        <row r="137">
          <cell r="C137" t="str">
            <v>773972883430</v>
          </cell>
        </row>
        <row r="137">
          <cell r="AC137">
            <v>2.6566048201788</v>
          </cell>
        </row>
        <row r="138">
          <cell r="A138" t="str">
            <v>6.22-6.28</v>
          </cell>
        </row>
        <row r="138">
          <cell r="C138" t="str">
            <v>886856687067</v>
          </cell>
        </row>
        <row r="138">
          <cell r="AC138">
            <v>-12.7789771152598</v>
          </cell>
        </row>
        <row r="139">
          <cell r="A139" t="str">
            <v>6.22-6.28</v>
          </cell>
        </row>
        <row r="139">
          <cell r="C139" t="str">
            <v>898076297965</v>
          </cell>
        </row>
        <row r="139">
          <cell r="AC139">
            <v>-18.2392412662032</v>
          </cell>
        </row>
        <row r="140">
          <cell r="A140" t="str">
            <v>6.22-6.28</v>
          </cell>
        </row>
        <row r="140">
          <cell r="C140" t="str">
            <v>1028450344901</v>
          </cell>
        </row>
        <row r="140">
          <cell r="AC140">
            <v>-10.1057477299437</v>
          </cell>
        </row>
        <row r="141">
          <cell r="A141" t="str">
            <v>6.22-6.28</v>
          </cell>
        </row>
        <row r="141">
          <cell r="C141" t="str">
            <v>932687928859</v>
          </cell>
        </row>
        <row r="141">
          <cell r="AC141">
            <v>4.73233368219796</v>
          </cell>
        </row>
        <row r="142">
          <cell r="A142" t="str">
            <v>6.22-6.28</v>
          </cell>
        </row>
        <row r="142">
          <cell r="C142" t="str">
            <v>869217868453</v>
          </cell>
        </row>
        <row r="142">
          <cell r="AC142">
            <v>1.12461967128766</v>
          </cell>
        </row>
        <row r="143">
          <cell r="A143" t="str">
            <v>6.22-6.28</v>
          </cell>
        </row>
        <row r="143">
          <cell r="C143" t="str">
            <v>976466902934</v>
          </cell>
        </row>
        <row r="143">
          <cell r="AC143">
            <v>-16.8156186246938</v>
          </cell>
        </row>
        <row r="144">
          <cell r="A144" t="str">
            <v>6.22-6.28</v>
          </cell>
        </row>
        <row r="144">
          <cell r="C144" t="str">
            <v>649729851594</v>
          </cell>
        </row>
        <row r="144">
          <cell r="AC144">
            <v>-1.46087386497185</v>
          </cell>
        </row>
        <row r="145">
          <cell r="A145" t="str">
            <v>6.22-6.28</v>
          </cell>
        </row>
        <row r="145">
          <cell r="C145" t="str">
            <v>903183018417</v>
          </cell>
        </row>
        <row r="145">
          <cell r="AC145">
            <v>-1.63342103478317</v>
          </cell>
        </row>
        <row r="146">
          <cell r="A146" t="str">
            <v>6.22-6.28</v>
          </cell>
        </row>
        <row r="146">
          <cell r="C146" t="str">
            <v>898120785283</v>
          </cell>
        </row>
        <row r="146">
          <cell r="AC146">
            <v>-0.0654776385567564</v>
          </cell>
        </row>
        <row r="147">
          <cell r="A147" t="str">
            <v>6.22-6.28</v>
          </cell>
        </row>
        <row r="147">
          <cell r="C147" t="str">
            <v>969433743398</v>
          </cell>
        </row>
        <row r="147">
          <cell r="AC147">
            <v>-7.93349650648128</v>
          </cell>
        </row>
        <row r="148">
          <cell r="A148" t="str">
            <v>6.22-6.28</v>
          </cell>
        </row>
        <row r="148">
          <cell r="C148" t="str">
            <v>885645733215</v>
          </cell>
        </row>
        <row r="148">
          <cell r="AC148">
            <v>-11.0842134876134</v>
          </cell>
        </row>
        <row r="149">
          <cell r="A149" t="str">
            <v>6.22-6.28</v>
          </cell>
        </row>
        <row r="149">
          <cell r="C149" t="str">
            <v>916072786304</v>
          </cell>
        </row>
        <row r="149">
          <cell r="AC149">
            <v>-3.40162858195298</v>
          </cell>
        </row>
        <row r="150">
          <cell r="A150" t="str">
            <v>6.22-6.28</v>
          </cell>
        </row>
        <row r="150">
          <cell r="C150" t="str">
            <v>975092562679</v>
          </cell>
        </row>
        <row r="150">
          <cell r="AC150">
            <v>-0.55322938531611</v>
          </cell>
        </row>
        <row r="151">
          <cell r="A151" t="str">
            <v>6.22-6.28</v>
          </cell>
        </row>
        <row r="151">
          <cell r="C151" t="str">
            <v>976479938842</v>
          </cell>
        </row>
        <row r="151">
          <cell r="AC151">
            <v>-9.21264744987751</v>
          </cell>
        </row>
        <row r="152">
          <cell r="A152" t="str">
            <v>6.22-6.28</v>
          </cell>
        </row>
        <row r="152">
          <cell r="C152" t="str">
            <v>976467954327</v>
          </cell>
        </row>
        <row r="152">
          <cell r="AC152">
            <v>-3.60432372493875</v>
          </cell>
        </row>
        <row r="153">
          <cell r="A153" t="str">
            <v>6.29-7.5</v>
          </cell>
        </row>
        <row r="153">
          <cell r="C153" t="str">
            <v>668566625747</v>
          </cell>
        </row>
        <row r="153">
          <cell r="AC153">
            <v>-1031.77523938776</v>
          </cell>
        </row>
        <row r="154">
          <cell r="A154" t="str">
            <v>6.29-7.5</v>
          </cell>
        </row>
        <row r="154">
          <cell r="C154" t="str">
            <v>649361890551</v>
          </cell>
        </row>
        <row r="154">
          <cell r="AC154">
            <v>-1689.62069185957</v>
          </cell>
        </row>
        <row r="155">
          <cell r="A155" t="str">
            <v>6.29-7.5</v>
          </cell>
        </row>
        <row r="155">
          <cell r="C155" t="str">
            <v>649735171438</v>
          </cell>
        </row>
        <row r="155">
          <cell r="AC155">
            <v>-1142.7381359432</v>
          </cell>
        </row>
        <row r="156">
          <cell r="A156" t="str">
            <v>6.29-7.5</v>
          </cell>
        </row>
        <row r="156">
          <cell r="C156" t="str">
            <v>648600900806</v>
          </cell>
        </row>
        <row r="156">
          <cell r="AC156">
            <v>-147.972484424729</v>
          </cell>
        </row>
        <row r="157">
          <cell r="A157" t="str">
            <v>6.29-7.5</v>
          </cell>
        </row>
        <row r="157">
          <cell r="C157" t="str">
            <v>649369494424</v>
          </cell>
        </row>
        <row r="157">
          <cell r="AC157">
            <v>147.021067169173</v>
          </cell>
        </row>
        <row r="158">
          <cell r="A158" t="str">
            <v>6.29-7.5</v>
          </cell>
        </row>
        <row r="158">
          <cell r="C158" t="str">
            <v>649014937782</v>
          </cell>
        </row>
        <row r="158">
          <cell r="AC158">
            <v>-163.819346662673</v>
          </cell>
        </row>
        <row r="159">
          <cell r="A159" t="str">
            <v>6.29-7.5</v>
          </cell>
        </row>
        <row r="159">
          <cell r="C159" t="str">
            <v>648598580775</v>
          </cell>
        </row>
        <row r="159">
          <cell r="AC159">
            <v>-117.421635459073</v>
          </cell>
        </row>
        <row r="160">
          <cell r="A160" t="str">
            <v>6.29-7.5</v>
          </cell>
        </row>
        <row r="160">
          <cell r="C160" t="str">
            <v>1057479227624</v>
          </cell>
        </row>
        <row r="160">
          <cell r="AC160">
            <v>-469.41002139292</v>
          </cell>
        </row>
        <row r="161">
          <cell r="A161" t="str">
            <v>6.29-7.5</v>
          </cell>
        </row>
        <row r="161">
          <cell r="C161" t="str">
            <v>648681860568</v>
          </cell>
        </row>
        <row r="161">
          <cell r="AC161">
            <v>46.7630510081258</v>
          </cell>
        </row>
        <row r="162">
          <cell r="A162" t="str">
            <v>6.29-7.5</v>
          </cell>
        </row>
        <row r="162">
          <cell r="C162" t="str">
            <v>735014804839</v>
          </cell>
        </row>
        <row r="162">
          <cell r="AC162">
            <v>24.9183389913925</v>
          </cell>
        </row>
        <row r="163">
          <cell r="A163" t="str">
            <v>6.29-7.5</v>
          </cell>
        </row>
        <row r="163">
          <cell r="C163" t="str">
            <v>1013887677295</v>
          </cell>
        </row>
        <row r="163">
          <cell r="AC163">
            <v>-107.356705153239</v>
          </cell>
        </row>
        <row r="164">
          <cell r="A164" t="str">
            <v>6.29-7.5</v>
          </cell>
        </row>
        <row r="164">
          <cell r="C164" t="str">
            <v>1058280415678</v>
          </cell>
        </row>
        <row r="164">
          <cell r="AC164">
            <v>18.1593906307673</v>
          </cell>
        </row>
        <row r="165">
          <cell r="A165" t="str">
            <v>6.29-7.5</v>
          </cell>
        </row>
        <row r="165">
          <cell r="C165" t="str">
            <v>1060999732877</v>
          </cell>
        </row>
        <row r="165">
          <cell r="AC165">
            <v>-27.7146747302485</v>
          </cell>
        </row>
        <row r="166">
          <cell r="A166" t="str">
            <v>6.29-7.5</v>
          </cell>
        </row>
        <row r="166">
          <cell r="C166" t="str">
            <v>766165464414</v>
          </cell>
        </row>
        <row r="166">
          <cell r="AC166">
            <v>64.9813353804345</v>
          </cell>
        </row>
        <row r="167">
          <cell r="A167" t="str">
            <v>6.29-7.5</v>
          </cell>
        </row>
        <row r="167">
          <cell r="C167" t="str">
            <v>929504658691</v>
          </cell>
        </row>
        <row r="167">
          <cell r="AC167">
            <v>-193.788838041845</v>
          </cell>
        </row>
        <row r="168">
          <cell r="A168" t="str">
            <v>6.29-7.5</v>
          </cell>
        </row>
        <row r="168">
          <cell r="C168" t="str">
            <v>1059563993918</v>
          </cell>
        </row>
        <row r="168">
          <cell r="AC168">
            <v>-206.486330774457</v>
          </cell>
        </row>
        <row r="169">
          <cell r="A169" t="str">
            <v>6.29-7.5</v>
          </cell>
        </row>
        <row r="169">
          <cell r="C169" t="str">
            <v>971242260371</v>
          </cell>
        </row>
        <row r="169">
          <cell r="AC169">
            <v>-48.4178279311615</v>
          </cell>
        </row>
        <row r="170">
          <cell r="A170" t="str">
            <v>6.29-7.5</v>
          </cell>
        </row>
        <row r="170">
          <cell r="C170" t="str">
            <v>744317232690</v>
          </cell>
        </row>
        <row r="170">
          <cell r="AC170">
            <v>-61.0087909175043</v>
          </cell>
        </row>
        <row r="171">
          <cell r="A171" t="str">
            <v>6.29-7.5</v>
          </cell>
        </row>
        <row r="171">
          <cell r="C171" t="str">
            <v>886856687067</v>
          </cell>
        </row>
        <row r="171">
          <cell r="AC171">
            <v>3.97453778132039</v>
          </cell>
        </row>
        <row r="172">
          <cell r="A172" t="str">
            <v>6.29-7.5</v>
          </cell>
        </row>
        <row r="172">
          <cell r="C172" t="str">
            <v>969423151512</v>
          </cell>
        </row>
        <row r="172">
          <cell r="AC172">
            <v>-83.1805935719593</v>
          </cell>
        </row>
        <row r="173">
          <cell r="A173" t="str">
            <v>6.29-7.5</v>
          </cell>
        </row>
        <row r="173">
          <cell r="C173" t="str">
            <v>648604228786</v>
          </cell>
        </row>
        <row r="173">
          <cell r="AC173">
            <v>6.4029376186935</v>
          </cell>
        </row>
        <row r="174">
          <cell r="A174" t="str">
            <v>6.29-7.5</v>
          </cell>
        </row>
        <row r="174">
          <cell r="C174" t="str">
            <v>937005385662</v>
          </cell>
        </row>
        <row r="174">
          <cell r="AC174">
            <v>1.44437230314932</v>
          </cell>
        </row>
        <row r="175">
          <cell r="A175" t="str">
            <v>6.29-7.5</v>
          </cell>
        </row>
        <row r="175">
          <cell r="C175" t="str">
            <v>903183018417</v>
          </cell>
        </row>
        <row r="175">
          <cell r="AC175">
            <v>-4.2241944567782</v>
          </cell>
        </row>
        <row r="176">
          <cell r="A176" t="str">
            <v>6.29-7.5</v>
          </cell>
        </row>
        <row r="176">
          <cell r="C176" t="str">
            <v>649731447266</v>
          </cell>
        </row>
        <row r="176">
          <cell r="AC176">
            <v>16.4199223617271</v>
          </cell>
        </row>
        <row r="177">
          <cell r="A177" t="str">
            <v>6.29-7.5</v>
          </cell>
        </row>
        <row r="177">
          <cell r="C177" t="str">
            <v>898076297965</v>
          </cell>
        </row>
        <row r="177">
          <cell r="AC177">
            <v>-12.5069484515677</v>
          </cell>
        </row>
        <row r="178">
          <cell r="A178" t="str">
            <v>6.29-7.5</v>
          </cell>
        </row>
        <row r="178">
          <cell r="C178" t="str">
            <v>932687928859</v>
          </cell>
        </row>
        <row r="178">
          <cell r="AC178">
            <v>3.51077069613922</v>
          </cell>
        </row>
        <row r="179">
          <cell r="A179" t="str">
            <v>6.29-7.5</v>
          </cell>
        </row>
        <row r="179">
          <cell r="C179" t="str">
            <v>969433743398</v>
          </cell>
        </row>
        <row r="179">
          <cell r="AC179">
            <v>-9.1385689265023</v>
          </cell>
        </row>
        <row r="180">
          <cell r="A180" t="str">
            <v>6.29-7.5</v>
          </cell>
        </row>
        <row r="180">
          <cell r="C180" t="str">
            <v>775016827115</v>
          </cell>
        </row>
        <row r="180">
          <cell r="AC180">
            <v>3.90026270656018</v>
          </cell>
        </row>
        <row r="181">
          <cell r="A181" t="str">
            <v>6.29-7.5</v>
          </cell>
        </row>
        <row r="181">
          <cell r="C181" t="str">
            <v>1019572719528</v>
          </cell>
        </row>
        <row r="181">
          <cell r="AC181">
            <v>2.68726270656018</v>
          </cell>
        </row>
        <row r="182">
          <cell r="A182" t="str">
            <v>6.29-7.5</v>
          </cell>
        </row>
        <row r="182">
          <cell r="C182" t="str">
            <v>947413291596</v>
          </cell>
        </row>
        <row r="182">
          <cell r="AC182">
            <v>-3.9374542745719</v>
          </cell>
        </row>
        <row r="183">
          <cell r="A183" t="str">
            <v>6.29-7.5</v>
          </cell>
        </row>
        <row r="183">
          <cell r="C183" t="str">
            <v>885645733215</v>
          </cell>
        </row>
        <row r="183">
          <cell r="AC183">
            <v>-4.55479461940502</v>
          </cell>
        </row>
        <row r="184">
          <cell r="A184" t="str">
            <v>6.29-7.5</v>
          </cell>
        </row>
        <row r="184">
          <cell r="C184" t="str">
            <v>949962665617</v>
          </cell>
        </row>
        <row r="184">
          <cell r="AC184">
            <v>-14.8993788028738</v>
          </cell>
        </row>
        <row r="185">
          <cell r="A185" t="str">
            <v>6.29-7.5</v>
          </cell>
        </row>
        <row r="185">
          <cell r="C185" t="str">
            <v>965545088099</v>
          </cell>
        </row>
        <row r="185">
          <cell r="AC185">
            <v>7.24656531554424</v>
          </cell>
        </row>
        <row r="186">
          <cell r="A186" t="str">
            <v>6.29-7.5</v>
          </cell>
        </row>
        <row r="186">
          <cell r="C186" t="str">
            <v>869217868453</v>
          </cell>
        </row>
        <row r="186">
          <cell r="AC186">
            <v>-7.53284977879534</v>
          </cell>
        </row>
        <row r="187">
          <cell r="A187" t="str">
            <v>6.29-7.5</v>
          </cell>
        </row>
        <row r="187">
          <cell r="C187" t="str">
            <v>898120785283</v>
          </cell>
        </row>
        <row r="187">
          <cell r="AC187">
            <v>-2.44120899155303</v>
          </cell>
        </row>
        <row r="188">
          <cell r="A188" t="str">
            <v>6.29-7.5</v>
          </cell>
        </row>
        <row r="188">
          <cell r="C188" t="str">
            <v>773972883430</v>
          </cell>
        </row>
        <row r="188">
          <cell r="AC188">
            <v>-1.23951015615388</v>
          </cell>
        </row>
        <row r="189">
          <cell r="A189" t="str">
            <v>6.29-7.5</v>
          </cell>
        </row>
        <row r="189">
          <cell r="C189" t="str">
            <v>976479938842</v>
          </cell>
        </row>
        <row r="189">
          <cell r="AC189">
            <v>-8.80151087834548</v>
          </cell>
        </row>
        <row r="190">
          <cell r="A190" t="str">
            <v>6.29-7.5</v>
          </cell>
        </row>
        <row r="190">
          <cell r="C190" t="str">
            <v>976467954327</v>
          </cell>
        </row>
        <row r="190">
          <cell r="AC190">
            <v>-6.13951087834548</v>
          </cell>
        </row>
        <row r="191">
          <cell r="A191" t="str">
            <v>6.29-7.5</v>
          </cell>
        </row>
        <row r="191">
          <cell r="C191" t="str">
            <v>1040679932754</v>
          </cell>
        </row>
        <row r="191">
          <cell r="AC191">
            <v>-2.04132147690859</v>
          </cell>
        </row>
        <row r="192">
          <cell r="A192" t="str">
            <v>6.29-7.5</v>
          </cell>
        </row>
        <row r="192">
          <cell r="C192" t="str">
            <v>1028450344901</v>
          </cell>
        </row>
        <row r="192">
          <cell r="AC192">
            <v>-5.48756675992746</v>
          </cell>
        </row>
        <row r="193">
          <cell r="A193" t="str">
            <v>6.29-7.5</v>
          </cell>
        </row>
        <row r="193">
          <cell r="C193" t="str">
            <v>976466902934</v>
          </cell>
        </row>
        <row r="193">
          <cell r="AC193">
            <v>-3.14275543917274</v>
          </cell>
        </row>
        <row r="194">
          <cell r="A194" t="str">
            <v>7.6-7.12</v>
          </cell>
        </row>
        <row r="194">
          <cell r="C194" t="str">
            <v>668566625747</v>
          </cell>
        </row>
        <row r="194">
          <cell r="AC194">
            <v>-911.415508753399</v>
          </cell>
        </row>
        <row r="195">
          <cell r="A195" t="str">
            <v>7.6-7.12</v>
          </cell>
        </row>
        <row r="195">
          <cell r="C195" t="str">
            <v>649361890551</v>
          </cell>
        </row>
        <row r="195">
          <cell r="AC195">
            <v>-1807.89260734642</v>
          </cell>
        </row>
        <row r="196">
          <cell r="A196" t="str">
            <v>7.6-7.12</v>
          </cell>
        </row>
        <row r="196">
          <cell r="C196" t="str">
            <v>649735171438</v>
          </cell>
        </row>
        <row r="196">
          <cell r="AC196">
            <v>-1023.86284410568</v>
          </cell>
        </row>
        <row r="197">
          <cell r="A197" t="str">
            <v>7.6-7.12</v>
          </cell>
        </row>
        <row r="197">
          <cell r="C197" t="str">
            <v>648600900806</v>
          </cell>
        </row>
        <row r="197">
          <cell r="AC197">
            <v>41.3292649675868</v>
          </cell>
        </row>
        <row r="198">
          <cell r="A198" t="str">
            <v>7.6-7.12</v>
          </cell>
        </row>
        <row r="198">
          <cell r="C198" t="str">
            <v>649369494424</v>
          </cell>
        </row>
        <row r="198">
          <cell r="AC198">
            <v>457.420321077969</v>
          </cell>
        </row>
        <row r="199">
          <cell r="A199" t="str">
            <v>7.6-7.12</v>
          </cell>
        </row>
        <row r="199">
          <cell r="C199" t="str">
            <v>649014937782</v>
          </cell>
        </row>
        <row r="199">
          <cell r="AC199">
            <v>-4.94258597750763</v>
          </cell>
        </row>
        <row r="200">
          <cell r="A200" t="str">
            <v>7.6-7.12</v>
          </cell>
        </row>
        <row r="200">
          <cell r="C200" t="str">
            <v>648598580775</v>
          </cell>
        </row>
        <row r="200">
          <cell r="AC200">
            <v>63.5973865627709</v>
          </cell>
        </row>
        <row r="201">
          <cell r="A201" t="str">
            <v>7.6-7.12</v>
          </cell>
        </row>
        <row r="201">
          <cell r="C201" t="str">
            <v>1058280415678</v>
          </cell>
        </row>
        <row r="201">
          <cell r="AC201">
            <v>29.2528099596794</v>
          </cell>
        </row>
        <row r="202">
          <cell r="A202" t="str">
            <v>7.6-7.12</v>
          </cell>
        </row>
        <row r="202">
          <cell r="C202" t="str">
            <v>1057479227624</v>
          </cell>
        </row>
        <row r="202">
          <cell r="AC202">
            <v>-656.895632100992</v>
          </cell>
        </row>
        <row r="203">
          <cell r="A203" t="str">
            <v>7.6-7.12</v>
          </cell>
        </row>
        <row r="203">
          <cell r="C203" t="str">
            <v>735014804839</v>
          </cell>
        </row>
        <row r="203">
          <cell r="AC203">
            <v>107.626623339061</v>
          </cell>
        </row>
        <row r="204">
          <cell r="A204" t="str">
            <v>7.6-7.12</v>
          </cell>
        </row>
        <row r="204">
          <cell r="C204" t="str">
            <v>1060999732877</v>
          </cell>
        </row>
        <row r="204">
          <cell r="AC204">
            <v>-40.2353642070876</v>
          </cell>
        </row>
        <row r="205">
          <cell r="A205" t="str">
            <v>7.6-7.12</v>
          </cell>
        </row>
        <row r="205">
          <cell r="C205" t="str">
            <v>1013887677295</v>
          </cell>
        </row>
        <row r="205">
          <cell r="AC205">
            <v>-127.6520419722</v>
          </cell>
        </row>
        <row r="206">
          <cell r="A206" t="str">
            <v>7.6-7.12</v>
          </cell>
        </row>
        <row r="206">
          <cell r="C206" t="str">
            <v>766165464414</v>
          </cell>
        </row>
        <row r="206">
          <cell r="AC206">
            <v>129.273080813924</v>
          </cell>
        </row>
        <row r="207">
          <cell r="A207" t="str">
            <v>7.6-7.12</v>
          </cell>
        </row>
        <row r="207">
          <cell r="C207" t="str">
            <v>648681860568</v>
          </cell>
        </row>
        <row r="207">
          <cell r="AC207">
            <v>-160.085178198956</v>
          </cell>
        </row>
        <row r="208">
          <cell r="A208" t="str">
            <v>7.6-7.12</v>
          </cell>
        </row>
        <row r="208">
          <cell r="C208" t="str">
            <v>929504658691</v>
          </cell>
        </row>
        <row r="208">
          <cell r="AC208">
            <v>-64.1158356159726</v>
          </cell>
        </row>
        <row r="209">
          <cell r="A209" t="str">
            <v>7.6-7.12</v>
          </cell>
        </row>
        <row r="209">
          <cell r="C209" t="str">
            <v>744317232690</v>
          </cell>
        </row>
        <row r="209">
          <cell r="AC209">
            <v>7.71711587866004</v>
          </cell>
        </row>
        <row r="210">
          <cell r="A210" t="str">
            <v>7.6-7.12</v>
          </cell>
        </row>
        <row r="210">
          <cell r="C210" t="str">
            <v>1059563993918</v>
          </cell>
        </row>
        <row r="210">
          <cell r="AC210">
            <v>-50.1821798832877</v>
          </cell>
        </row>
        <row r="211">
          <cell r="A211" t="str">
            <v>7.6-7.12</v>
          </cell>
        </row>
        <row r="211">
          <cell r="C211" t="str">
            <v>969423151512</v>
          </cell>
        </row>
        <row r="211">
          <cell r="AC211">
            <v>-15.8462916106641</v>
          </cell>
        </row>
        <row r="212">
          <cell r="A212" t="str">
            <v>7.6-7.12</v>
          </cell>
        </row>
        <row r="212">
          <cell r="C212" t="str">
            <v>648604228786</v>
          </cell>
        </row>
        <row r="212">
          <cell r="AC212">
            <v>16.3839414226653</v>
          </cell>
        </row>
        <row r="213">
          <cell r="A213" t="str">
            <v>7.6-7.12</v>
          </cell>
        </row>
        <row r="213">
          <cell r="C213" t="str">
            <v>649731447266</v>
          </cell>
        </row>
        <row r="213">
          <cell r="AC213">
            <v>35.793093352842</v>
          </cell>
        </row>
        <row r="214">
          <cell r="A214" t="str">
            <v>7.6-7.12</v>
          </cell>
        </row>
        <row r="214">
          <cell r="C214" t="str">
            <v>898076297965</v>
          </cell>
        </row>
        <row r="214">
          <cell r="AC214">
            <v>-19.1658010446263</v>
          </cell>
        </row>
        <row r="215">
          <cell r="A215" t="str">
            <v>7.6-7.12</v>
          </cell>
        </row>
        <row r="215">
          <cell r="C215" t="str">
            <v>932687928859</v>
          </cell>
        </row>
        <row r="215">
          <cell r="AC215">
            <v>13.2364707113327</v>
          </cell>
        </row>
        <row r="216">
          <cell r="A216" t="str">
            <v>7.6-7.12</v>
          </cell>
        </row>
        <row r="216">
          <cell r="C216" t="str">
            <v>886856687067</v>
          </cell>
        </row>
        <row r="216">
          <cell r="AC216">
            <v>8.27304287391326</v>
          </cell>
        </row>
        <row r="217">
          <cell r="A217" t="str">
            <v>7.6-7.12</v>
          </cell>
        </row>
        <row r="217">
          <cell r="C217" t="str">
            <v>971242260371</v>
          </cell>
        </row>
        <row r="217">
          <cell r="AC217">
            <v>-59.9154099562754</v>
          </cell>
        </row>
        <row r="218">
          <cell r="A218" t="str">
            <v>7.6-7.12</v>
          </cell>
        </row>
        <row r="218">
          <cell r="C218" t="str">
            <v>937005385662</v>
          </cell>
        </row>
        <row r="218">
          <cell r="AC218">
            <v>-8.90001372986033</v>
          </cell>
        </row>
        <row r="219">
          <cell r="A219" t="str">
            <v>7.6-7.12</v>
          </cell>
        </row>
        <row r="219">
          <cell r="C219" t="str">
            <v>1028450344901</v>
          </cell>
        </row>
        <row r="219">
          <cell r="AC219">
            <v>0.077879680827543</v>
          </cell>
        </row>
        <row r="220">
          <cell r="A220" t="str">
            <v>7.6-7.12</v>
          </cell>
        </row>
        <row r="220">
          <cell r="C220" t="str">
            <v>649729851594</v>
          </cell>
        </row>
        <row r="220">
          <cell r="AC220">
            <v>7.60139523963455</v>
          </cell>
        </row>
        <row r="221">
          <cell r="A221" t="str">
            <v>7.6-7.12</v>
          </cell>
        </row>
        <row r="221">
          <cell r="C221" t="str">
            <v>869217868453</v>
          </cell>
        </row>
        <row r="221">
          <cell r="AC221">
            <v>6.35079195943991</v>
          </cell>
        </row>
        <row r="222">
          <cell r="A222" t="str">
            <v>7.6-7.12</v>
          </cell>
        </row>
        <row r="222">
          <cell r="C222" t="str">
            <v>969433743398</v>
          </cell>
        </row>
        <row r="222">
          <cell r="AC222">
            <v>0.264936284601118</v>
          </cell>
        </row>
        <row r="223">
          <cell r="A223" t="str">
            <v>7.6-7.12</v>
          </cell>
        </row>
        <row r="223">
          <cell r="C223" t="str">
            <v>976479938842</v>
          </cell>
        </row>
        <row r="223">
          <cell r="AC223">
            <v>-36.8703599707369</v>
          </cell>
        </row>
        <row r="224">
          <cell r="A224" t="str">
            <v>7.6-7.12</v>
          </cell>
        </row>
        <row r="224">
          <cell r="C224" t="str">
            <v>885645733215</v>
          </cell>
        </row>
        <row r="224">
          <cell r="AC224">
            <v>-6.24063587797948</v>
          </cell>
        </row>
        <row r="225">
          <cell r="A225" t="str">
            <v>7.6-7.12</v>
          </cell>
        </row>
        <row r="225">
          <cell r="C225" t="str">
            <v>775016827115</v>
          </cell>
        </row>
        <row r="225">
          <cell r="AC225">
            <v>3.56265375912347</v>
          </cell>
        </row>
        <row r="226">
          <cell r="A226" t="str">
            <v>7.6-7.12</v>
          </cell>
        </row>
        <row r="226">
          <cell r="C226" t="str">
            <v>1014512281808</v>
          </cell>
        </row>
        <row r="226">
          <cell r="AC226">
            <v>9.26806272861834</v>
          </cell>
        </row>
        <row r="227">
          <cell r="A227" t="str">
            <v>7.6-7.12</v>
          </cell>
        </row>
        <row r="227">
          <cell r="C227" t="str">
            <v>947413291596</v>
          </cell>
        </row>
        <row r="227">
          <cell r="AC227">
            <v>-8.91862925974447</v>
          </cell>
        </row>
        <row r="228">
          <cell r="A228" t="str">
            <v>7.6-7.12</v>
          </cell>
        </row>
        <row r="228">
          <cell r="C228" t="str">
            <v>903183018417</v>
          </cell>
        </row>
        <row r="228">
          <cell r="AC228">
            <v>-15.7451198257822</v>
          </cell>
        </row>
        <row r="229">
          <cell r="A229" t="str">
            <v>7.6-7.12</v>
          </cell>
        </row>
        <row r="229">
          <cell r="C229" t="str">
            <v>949962665617</v>
          </cell>
        </row>
        <row r="229">
          <cell r="AC229">
            <v>-20.7256353845892</v>
          </cell>
        </row>
        <row r="230">
          <cell r="A230" t="str">
            <v>7.6-7.12</v>
          </cell>
        </row>
        <row r="230">
          <cell r="C230" t="str">
            <v>1019572719528</v>
          </cell>
        </row>
        <row r="230">
          <cell r="AC230">
            <v>2.29694952107117</v>
          </cell>
        </row>
        <row r="231">
          <cell r="A231" t="str">
            <v>7.6-7.12</v>
          </cell>
        </row>
        <row r="231">
          <cell r="C231" t="str">
            <v>916072786304</v>
          </cell>
        </row>
        <row r="231">
          <cell r="AC231">
            <v>-0.106767460060909</v>
          </cell>
        </row>
        <row r="232">
          <cell r="A232" t="str">
            <v>7.6-7.12</v>
          </cell>
        </row>
        <row r="232">
          <cell r="C232" t="str">
            <v>898120785283</v>
          </cell>
        </row>
        <row r="232">
          <cell r="AC232">
            <v>-1.57276746006091</v>
          </cell>
        </row>
        <row r="233">
          <cell r="A233" t="str">
            <v>7.6-7.12</v>
          </cell>
        </row>
        <row r="233">
          <cell r="C233" t="str">
            <v>976467954327</v>
          </cell>
        </row>
        <row r="233">
          <cell r="AC233">
            <v>-2.79948444119298</v>
          </cell>
        </row>
        <row r="234">
          <cell r="A234" t="str">
            <v>7.6-7.12</v>
          </cell>
        </row>
        <row r="234">
          <cell r="C234" t="str">
            <v>976466902934</v>
          </cell>
        </row>
        <row r="234">
          <cell r="AC234">
            <v>-4.27948444119299</v>
          </cell>
        </row>
        <row r="235">
          <cell r="A235" t="str">
            <v>7.13-7.19</v>
          </cell>
        </row>
        <row r="235">
          <cell r="C235" t="str">
            <v>668566625747</v>
          </cell>
        </row>
        <row r="235">
          <cell r="AC235">
            <v>-1577.81769678527</v>
          </cell>
        </row>
        <row r="236">
          <cell r="A236" t="str">
            <v>7.13-7.19</v>
          </cell>
        </row>
        <row r="236">
          <cell r="C236" t="str">
            <v>649361890551</v>
          </cell>
        </row>
        <row r="236">
          <cell r="AC236">
            <v>-1447.21836261298</v>
          </cell>
        </row>
        <row r="237">
          <cell r="A237" t="str">
            <v>7.13-7.19</v>
          </cell>
        </row>
        <row r="237">
          <cell r="C237" t="str">
            <v>649735171438</v>
          </cell>
        </row>
        <row r="237">
          <cell r="AC237">
            <v>-962.743620976692</v>
          </cell>
        </row>
        <row r="238">
          <cell r="A238" t="str">
            <v>7.13-7.19</v>
          </cell>
        </row>
        <row r="238">
          <cell r="C238" t="str">
            <v>648600900806</v>
          </cell>
        </row>
        <row r="238">
          <cell r="AC238">
            <v>-202.240068594421</v>
          </cell>
        </row>
        <row r="239">
          <cell r="A239" t="str">
            <v>7.13-7.19</v>
          </cell>
        </row>
        <row r="239">
          <cell r="C239" t="str">
            <v>649369494424</v>
          </cell>
        </row>
        <row r="239">
          <cell r="AC239">
            <v>246.797923576978</v>
          </cell>
        </row>
        <row r="240">
          <cell r="A240" t="str">
            <v>7.13-7.19</v>
          </cell>
        </row>
        <row r="240">
          <cell r="C240" t="str">
            <v>649014937782</v>
          </cell>
        </row>
        <row r="240">
          <cell r="AC240">
            <v>-62.7906930394801</v>
          </cell>
        </row>
        <row r="241">
          <cell r="A241" t="str">
            <v>7.13-7.19</v>
          </cell>
        </row>
        <row r="241">
          <cell r="C241" t="str">
            <v>1058280415678</v>
          </cell>
        </row>
        <row r="241">
          <cell r="AC241">
            <v>51.6800076105926</v>
          </cell>
        </row>
        <row r="242">
          <cell r="A242" t="str">
            <v>7.13-7.19</v>
          </cell>
        </row>
        <row r="242">
          <cell r="C242" t="str">
            <v>648598580775</v>
          </cell>
        </row>
        <row r="242">
          <cell r="AC242">
            <v>-36.6313487989531</v>
          </cell>
        </row>
        <row r="243">
          <cell r="A243" t="str">
            <v>7.13-7.19</v>
          </cell>
        </row>
        <row r="243">
          <cell r="C243" t="str">
            <v>1057479227624</v>
          </cell>
        </row>
        <row r="243">
          <cell r="AC243">
            <v>-674.018189234184</v>
          </cell>
        </row>
        <row r="244">
          <cell r="A244" t="str">
            <v>7.13-7.19</v>
          </cell>
        </row>
        <row r="244">
          <cell r="C244" t="str">
            <v>1060999732877</v>
          </cell>
        </row>
        <row r="244">
          <cell r="AC244">
            <v>-44.1389482915803</v>
          </cell>
        </row>
        <row r="245">
          <cell r="A245" t="str">
            <v>7.13-7.19</v>
          </cell>
        </row>
        <row r="245">
          <cell r="C245" t="str">
            <v>735014804839</v>
          </cell>
        </row>
        <row r="245">
          <cell r="AC245">
            <v>78.6947408633265</v>
          </cell>
        </row>
        <row r="246">
          <cell r="A246" t="str">
            <v>7.13-7.19</v>
          </cell>
        </row>
        <row r="246">
          <cell r="C246" t="str">
            <v>1013887677295</v>
          </cell>
        </row>
        <row r="246">
          <cell r="AC246">
            <v>-173.794379439512</v>
          </cell>
        </row>
        <row r="247">
          <cell r="A247" t="str">
            <v>7.13-7.19</v>
          </cell>
        </row>
        <row r="247">
          <cell r="C247" t="str">
            <v>648681860568</v>
          </cell>
        </row>
        <row r="247">
          <cell r="AC247">
            <v>-99.8545656413505</v>
          </cell>
        </row>
        <row r="248">
          <cell r="A248" t="str">
            <v>7.13-7.19</v>
          </cell>
        </row>
        <row r="248">
          <cell r="C248" t="str">
            <v>929504658691</v>
          </cell>
        </row>
        <row r="248">
          <cell r="AC248">
            <v>-48.8006464642463</v>
          </cell>
        </row>
        <row r="249">
          <cell r="A249" t="str">
            <v>7.13-7.19</v>
          </cell>
        </row>
        <row r="249">
          <cell r="C249" t="str">
            <v>1059563993918</v>
          </cell>
        </row>
        <row r="249">
          <cell r="AC249">
            <v>-115.110565641351</v>
          </cell>
        </row>
        <row r="250">
          <cell r="A250" t="str">
            <v>7.13-7.19</v>
          </cell>
        </row>
        <row r="250">
          <cell r="C250" t="str">
            <v>766165464414</v>
          </cell>
        </row>
        <row r="250">
          <cell r="AC250">
            <v>9.80924494609167</v>
          </cell>
        </row>
        <row r="251">
          <cell r="A251" t="str">
            <v>7.13-7.19</v>
          </cell>
        </row>
        <row r="251">
          <cell r="C251" t="str">
            <v>744317232690</v>
          </cell>
        </row>
        <row r="251">
          <cell r="AC251">
            <v>-10.1999504915173</v>
          </cell>
        </row>
        <row r="252">
          <cell r="A252" t="str">
            <v>7.13-7.19</v>
          </cell>
        </row>
        <row r="252">
          <cell r="C252" t="str">
            <v>969423151512</v>
          </cell>
        </row>
        <row r="252">
          <cell r="AC252">
            <v>-25.755207884097</v>
          </cell>
        </row>
        <row r="253">
          <cell r="A253" t="str">
            <v>7.13-7.19</v>
          </cell>
        </row>
        <row r="253">
          <cell r="C253" t="str">
            <v>886856687067</v>
          </cell>
        </row>
        <row r="253">
          <cell r="AC253">
            <v>30.300987553512</v>
          </cell>
        </row>
        <row r="254">
          <cell r="A254" t="str">
            <v>7.13-7.19</v>
          </cell>
        </row>
        <row r="254">
          <cell r="C254" t="str">
            <v>937005385662</v>
          </cell>
        </row>
        <row r="254">
          <cell r="AC254">
            <v>-13.2002687688282</v>
          </cell>
        </row>
        <row r="255">
          <cell r="A255" t="str">
            <v>7.13-7.19</v>
          </cell>
        </row>
        <row r="255">
          <cell r="C255" t="str">
            <v>649731447266</v>
          </cell>
        </row>
        <row r="255">
          <cell r="AC255">
            <v>21.4698889329317</v>
          </cell>
        </row>
        <row r="256">
          <cell r="A256" t="str">
            <v>7.13-7.19</v>
          </cell>
        </row>
        <row r="256">
          <cell r="C256" t="str">
            <v>898076297965</v>
          </cell>
        </row>
        <row r="256">
          <cell r="AC256">
            <v>-16.0014286110671</v>
          </cell>
        </row>
        <row r="257">
          <cell r="A257" t="str">
            <v>7.13-7.19</v>
          </cell>
        </row>
        <row r="257">
          <cell r="C257" t="str">
            <v>932687928859</v>
          </cell>
        </row>
        <row r="257">
          <cell r="AC257">
            <v>-2.36808223006183</v>
          </cell>
        </row>
        <row r="258">
          <cell r="A258" t="str">
            <v>7.13-7.19</v>
          </cell>
        </row>
        <row r="258">
          <cell r="C258" t="str">
            <v>775016827115</v>
          </cell>
        </row>
        <row r="258">
          <cell r="AC258">
            <v>3.16887006500714</v>
          </cell>
        </row>
        <row r="259">
          <cell r="A259" t="str">
            <v>7.13-7.19</v>
          </cell>
        </row>
        <row r="259">
          <cell r="C259" t="str">
            <v>971242260371</v>
          </cell>
        </row>
        <row r="259">
          <cell r="AC259">
            <v>-21.251601633106</v>
          </cell>
        </row>
        <row r="260">
          <cell r="A260" t="str">
            <v>7.13-7.19</v>
          </cell>
        </row>
        <row r="260">
          <cell r="C260" t="str">
            <v>648604228786</v>
          </cell>
        </row>
        <row r="260">
          <cell r="AC260">
            <v>-14.7251865387664</v>
          </cell>
        </row>
        <row r="261">
          <cell r="A261" t="str">
            <v>7.13-7.19</v>
          </cell>
        </row>
        <row r="261">
          <cell r="C261" t="str">
            <v>969433743398</v>
          </cell>
        </row>
        <row r="261">
          <cell r="AC261">
            <v>-5.09768600364673</v>
          </cell>
        </row>
        <row r="262">
          <cell r="A262" t="str">
            <v>7.13-7.19</v>
          </cell>
        </row>
        <row r="262">
          <cell r="C262" t="str">
            <v>1028450344901</v>
          </cell>
        </row>
        <row r="262">
          <cell r="AC262">
            <v>-7.88905446329471</v>
          </cell>
        </row>
        <row r="263">
          <cell r="A263" t="str">
            <v>7.13-7.19</v>
          </cell>
        </row>
        <row r="263">
          <cell r="C263" t="str">
            <v>885645733215</v>
          </cell>
        </row>
        <row r="263">
          <cell r="AC263">
            <v>-7.08164826779768</v>
          </cell>
        </row>
        <row r="264">
          <cell r="A264" t="str">
            <v>7.13-7.19</v>
          </cell>
        </row>
        <row r="264">
          <cell r="C264" t="str">
            <v>649729851594</v>
          </cell>
        </row>
        <row r="264">
          <cell r="AC264">
            <v>-1.47966820596163</v>
          </cell>
        </row>
        <row r="265">
          <cell r="A265" t="str">
            <v>7.13-7.19</v>
          </cell>
        </row>
        <row r="265">
          <cell r="C265" t="str">
            <v>976479938842</v>
          </cell>
        </row>
        <row r="265">
          <cell r="AC265">
            <v>-22.3380633621373</v>
          </cell>
        </row>
        <row r="266">
          <cell r="A266" t="str">
            <v>7.13-7.19</v>
          </cell>
        </row>
        <row r="266">
          <cell r="C266" t="str">
            <v>903183018417</v>
          </cell>
        </row>
        <row r="266">
          <cell r="AC266">
            <v>-9.08762157127</v>
          </cell>
        </row>
        <row r="267">
          <cell r="A267" t="str">
            <v>7.13-7.19</v>
          </cell>
        </row>
        <row r="267">
          <cell r="C267" t="str">
            <v>947413291596</v>
          </cell>
        </row>
        <row r="267">
          <cell r="AC267">
            <v>-10.0808390875218</v>
          </cell>
        </row>
        <row r="268">
          <cell r="A268" t="str">
            <v>7.13-7.19</v>
          </cell>
        </row>
        <row r="268">
          <cell r="C268" t="str">
            <v>1019572719528</v>
          </cell>
        </row>
        <row r="268">
          <cell r="AC268">
            <v>1.75204770493103</v>
          </cell>
        </row>
        <row r="269">
          <cell r="A269" t="str">
            <v>7.13-7.19</v>
          </cell>
        </row>
        <row r="269">
          <cell r="C269" t="str">
            <v>898120785283</v>
          </cell>
        </row>
        <row r="269">
          <cell r="AC269">
            <v>-3.95985795544633</v>
          </cell>
        </row>
        <row r="270">
          <cell r="A270" t="str">
            <v>7.13-7.19</v>
          </cell>
        </row>
        <row r="270">
          <cell r="C270" t="str">
            <v>916072786304</v>
          </cell>
        </row>
        <row r="270">
          <cell r="AC270">
            <v>-3.32312210638972</v>
          </cell>
        </row>
        <row r="271">
          <cell r="A271" t="str">
            <v>7.13-7.19</v>
          </cell>
        </row>
        <row r="271">
          <cell r="C271" t="str">
            <v>976467954327</v>
          </cell>
        </row>
        <row r="271">
          <cell r="AC271">
            <v>-2.66161267242746</v>
          </cell>
        </row>
        <row r="272">
          <cell r="A272" t="str">
            <v>7.13-7.19</v>
          </cell>
        </row>
        <row r="272">
          <cell r="C272" t="str">
            <v>976466902934</v>
          </cell>
        </row>
        <row r="272">
          <cell r="AC272">
            <v>-3.43961267242746</v>
          </cell>
        </row>
        <row r="273">
          <cell r="A273" t="str">
            <v>7.20-7.26</v>
          </cell>
        </row>
        <row r="273">
          <cell r="C273" t="str">
            <v>668566625747</v>
          </cell>
        </row>
        <row r="273">
          <cell r="AC273">
            <v>-1441.05126326664</v>
          </cell>
        </row>
        <row r="274">
          <cell r="A274" t="str">
            <v>7.20-7.26</v>
          </cell>
        </row>
        <row r="274">
          <cell r="C274" t="str">
            <v>649361890551</v>
          </cell>
        </row>
        <row r="274">
          <cell r="AC274">
            <v>-1713.16453323174</v>
          </cell>
        </row>
        <row r="275">
          <cell r="A275" t="str">
            <v>7.20-7.26</v>
          </cell>
        </row>
        <row r="275">
          <cell r="C275" t="str">
            <v>649735171438</v>
          </cell>
        </row>
        <row r="275">
          <cell r="AC275">
            <v>-993.773761747022</v>
          </cell>
        </row>
        <row r="276">
          <cell r="A276" t="str">
            <v>7.20-7.26</v>
          </cell>
        </row>
        <row r="276">
          <cell r="C276" t="str">
            <v>648600900806</v>
          </cell>
        </row>
        <row r="276">
          <cell r="AC276">
            <v>-458.193299284045</v>
          </cell>
        </row>
        <row r="277">
          <cell r="A277" t="str">
            <v>7.20-7.26</v>
          </cell>
        </row>
        <row r="277">
          <cell r="C277" t="str">
            <v>1058280415678</v>
          </cell>
        </row>
        <row r="277">
          <cell r="AC277">
            <v>146.748123962037</v>
          </cell>
        </row>
        <row r="278">
          <cell r="A278" t="str">
            <v>7.20-7.26</v>
          </cell>
        </row>
        <row r="278">
          <cell r="C278" t="str">
            <v>649369494424</v>
          </cell>
        </row>
        <row r="278">
          <cell r="AC278">
            <v>247.631484390901</v>
          </cell>
        </row>
        <row r="279">
          <cell r="A279" t="str">
            <v>7.20-7.26</v>
          </cell>
        </row>
        <row r="279">
          <cell r="C279" t="str">
            <v>649014937782</v>
          </cell>
        </row>
        <row r="279">
          <cell r="AC279">
            <v>-176.259990977443</v>
          </cell>
        </row>
        <row r="280">
          <cell r="A280" t="str">
            <v>7.20-7.26</v>
          </cell>
        </row>
        <row r="280">
          <cell r="C280" t="str">
            <v>1057479227624</v>
          </cell>
        </row>
        <row r="280">
          <cell r="AC280">
            <v>-677.84501433841</v>
          </cell>
        </row>
        <row r="281">
          <cell r="A281" t="str">
            <v>7.20-7.26</v>
          </cell>
        </row>
        <row r="281">
          <cell r="C281" t="str">
            <v>648598580775</v>
          </cell>
        </row>
        <row r="281">
          <cell r="AC281">
            <v>-80.0718796050123</v>
          </cell>
        </row>
        <row r="282">
          <cell r="A282" t="str">
            <v>7.20-7.26</v>
          </cell>
        </row>
        <row r="282">
          <cell r="C282" t="str">
            <v>1060999732877</v>
          </cell>
        </row>
        <row r="282">
          <cell r="AC282">
            <v>-39.406763759099</v>
          </cell>
        </row>
        <row r="283">
          <cell r="A283" t="str">
            <v>7.20-7.26</v>
          </cell>
        </row>
        <row r="283">
          <cell r="C283" t="str">
            <v>648681860568</v>
          </cell>
        </row>
        <row r="283">
          <cell r="AC283">
            <v>-108.918600806091</v>
          </cell>
        </row>
        <row r="284">
          <cell r="A284" t="str">
            <v>7.20-7.26</v>
          </cell>
        </row>
        <row r="284">
          <cell r="C284" t="str">
            <v>1013887677295</v>
          </cell>
        </row>
        <row r="284">
          <cell r="AC284">
            <v>-222.979333009836</v>
          </cell>
        </row>
        <row r="285">
          <cell r="A285" t="str">
            <v>7.20-7.26</v>
          </cell>
        </row>
        <row r="285">
          <cell r="C285" t="str">
            <v>735014804839</v>
          </cell>
        </row>
        <row r="285">
          <cell r="AC285">
            <v>-22.7122649123833</v>
          </cell>
        </row>
        <row r="286">
          <cell r="A286" t="str">
            <v>7.20-7.26</v>
          </cell>
        </row>
        <row r="286">
          <cell r="C286" t="str">
            <v>744317232690</v>
          </cell>
        </row>
        <row r="286">
          <cell r="AC286">
            <v>15.6913894517238</v>
          </cell>
        </row>
        <row r="287">
          <cell r="A287" t="str">
            <v>7.20-7.26</v>
          </cell>
        </row>
        <row r="287">
          <cell r="C287" t="str">
            <v>929504658691</v>
          </cell>
        </row>
        <row r="287">
          <cell r="AC287">
            <v>-56.6239637701385</v>
          </cell>
        </row>
        <row r="288">
          <cell r="A288" t="str">
            <v>7.20-7.26</v>
          </cell>
        </row>
        <row r="288">
          <cell r="C288" t="str">
            <v>969423151512</v>
          </cell>
        </row>
        <row r="288">
          <cell r="AC288">
            <v>-1.42279292695221</v>
          </cell>
        </row>
        <row r="289">
          <cell r="A289" t="str">
            <v>7.20-7.26</v>
          </cell>
        </row>
        <row r="289">
          <cell r="C289" t="str">
            <v>766165464414</v>
          </cell>
        </row>
        <row r="289">
          <cell r="AC289">
            <v>33.2386722001659</v>
          </cell>
        </row>
        <row r="290">
          <cell r="A290" t="str">
            <v>7.20-7.26</v>
          </cell>
        </row>
        <row r="290">
          <cell r="C290" t="str">
            <v>1059563993918</v>
          </cell>
        </row>
        <row r="290">
          <cell r="AC290">
            <v>-27.9378686859678</v>
          </cell>
        </row>
        <row r="291">
          <cell r="A291" t="str">
            <v>7.20-7.26</v>
          </cell>
        </row>
        <row r="291">
          <cell r="C291" t="str">
            <v>649731447266</v>
          </cell>
        </row>
        <row r="291">
          <cell r="AC291">
            <v>34.275429513702</v>
          </cell>
        </row>
        <row r="292">
          <cell r="A292" t="str">
            <v>7.20-7.26</v>
          </cell>
        </row>
        <row r="292">
          <cell r="C292" t="str">
            <v>886856687067</v>
          </cell>
        </row>
        <row r="292">
          <cell r="AC292">
            <v>8.54436454562853</v>
          </cell>
        </row>
        <row r="293">
          <cell r="A293" t="str">
            <v>7.20-7.26</v>
          </cell>
        </row>
        <row r="293">
          <cell r="C293" t="str">
            <v>937005385662</v>
          </cell>
        </row>
        <row r="293">
          <cell r="AC293">
            <v>-19.7637258613647</v>
          </cell>
        </row>
        <row r="294">
          <cell r="A294" t="str">
            <v>7.20-7.26</v>
          </cell>
        </row>
        <row r="294">
          <cell r="C294" t="str">
            <v>648604228786</v>
          </cell>
        </row>
        <row r="294">
          <cell r="AC294">
            <v>9.11717401437608</v>
          </cell>
        </row>
        <row r="295">
          <cell r="A295" t="str">
            <v>7.20-7.26</v>
          </cell>
        </row>
        <row r="295">
          <cell r="C295" t="str">
            <v>898076297965</v>
          </cell>
        </row>
        <row r="295">
          <cell r="AC295">
            <v>-19.8398990893822</v>
          </cell>
        </row>
        <row r="296">
          <cell r="A296" t="str">
            <v>7.20-7.26</v>
          </cell>
        </row>
        <row r="296">
          <cell r="C296" t="str">
            <v>885645733215</v>
          </cell>
        </row>
        <row r="296">
          <cell r="AC296">
            <v>-8.06133593551885</v>
          </cell>
        </row>
        <row r="297">
          <cell r="A297" t="str">
            <v>7.20-7.26</v>
          </cell>
        </row>
        <row r="297">
          <cell r="C297" t="str">
            <v>971242260371</v>
          </cell>
        </row>
        <row r="297">
          <cell r="AC297">
            <v>-17.8620620842011</v>
          </cell>
        </row>
        <row r="298">
          <cell r="A298" t="str">
            <v>7.20-7.26</v>
          </cell>
        </row>
        <row r="298">
          <cell r="C298" t="str">
            <v>1067350828719</v>
          </cell>
        </row>
        <row r="298">
          <cell r="AC298">
            <v>25.2397004811474</v>
          </cell>
        </row>
        <row r="299">
          <cell r="A299" t="str">
            <v>7.20-7.26</v>
          </cell>
        </row>
        <row r="299">
          <cell r="C299" t="str">
            <v>969433743398</v>
          </cell>
        </row>
        <row r="299">
          <cell r="AC299">
            <v>3.64148560154294</v>
          </cell>
        </row>
        <row r="300">
          <cell r="A300" t="str">
            <v>7.20-7.26</v>
          </cell>
        </row>
        <row r="300">
          <cell r="C300" t="str">
            <v>1067363868298</v>
          </cell>
        </row>
        <row r="300">
          <cell r="AC300">
            <v>-4.02187237309042</v>
          </cell>
        </row>
        <row r="301">
          <cell r="A301" t="str">
            <v>7.20-7.26</v>
          </cell>
        </row>
        <row r="301">
          <cell r="C301" t="str">
            <v>932687928859</v>
          </cell>
        </row>
        <row r="301">
          <cell r="AC301">
            <v>1.06972563274953</v>
          </cell>
        </row>
        <row r="302">
          <cell r="A302" t="str">
            <v>7.20-7.26</v>
          </cell>
        </row>
        <row r="302">
          <cell r="C302" t="str">
            <v>1067957289054</v>
          </cell>
        </row>
        <row r="302">
          <cell r="AC302">
            <v>-4.94225261545347</v>
          </cell>
        </row>
        <row r="303">
          <cell r="A303" t="str">
            <v>7.20-7.26</v>
          </cell>
        </row>
        <row r="303">
          <cell r="C303" t="str">
            <v>975092562679</v>
          </cell>
        </row>
        <row r="303">
          <cell r="AC303">
            <v>8.43638312623554</v>
          </cell>
        </row>
        <row r="304">
          <cell r="A304" t="str">
            <v>7.20-7.26</v>
          </cell>
        </row>
        <row r="304">
          <cell r="C304" t="str">
            <v>903183018417</v>
          </cell>
        </row>
        <row r="304">
          <cell r="AC304">
            <v>-2.36173008131164</v>
          </cell>
        </row>
        <row r="305">
          <cell r="A305" t="str">
            <v>7.20-7.26</v>
          </cell>
        </row>
        <row r="305">
          <cell r="C305" t="str">
            <v>869217868453</v>
          </cell>
        </row>
        <row r="305">
          <cell r="AC305">
            <v>-14.5055414020663</v>
          </cell>
        </row>
        <row r="306">
          <cell r="A306" t="str">
            <v>7.20-7.26</v>
          </cell>
        </row>
        <row r="306">
          <cell r="C306" t="str">
            <v>976466902934</v>
          </cell>
        </row>
        <row r="306">
          <cell r="AC306">
            <v>-8.18270832951463</v>
          </cell>
        </row>
        <row r="307">
          <cell r="A307" t="str">
            <v>7.20-7.26</v>
          </cell>
        </row>
        <row r="307">
          <cell r="C307" t="str">
            <v>976467954327</v>
          </cell>
        </row>
        <row r="307">
          <cell r="AC307">
            <v>-9.23070832951463</v>
          </cell>
        </row>
        <row r="308">
          <cell r="A308" t="str">
            <v>7.20-7.26</v>
          </cell>
        </row>
        <row r="308">
          <cell r="C308" t="str">
            <v>976479938842</v>
          </cell>
        </row>
        <row r="308">
          <cell r="AC308">
            <v>-8.89080555300975</v>
          </cell>
        </row>
        <row r="309">
          <cell r="A309" t="str">
            <v>7.20-7.26</v>
          </cell>
        </row>
        <row r="309">
          <cell r="C309" t="str">
            <v>976535014785</v>
          </cell>
        </row>
        <row r="309">
          <cell r="AC309">
            <v>-9.19731943553413</v>
          </cell>
        </row>
        <row r="310">
          <cell r="A310" t="str">
            <v>7.27-8.2</v>
          </cell>
        </row>
        <row r="310">
          <cell r="C310" t="str">
            <v>668566625747</v>
          </cell>
        </row>
        <row r="310">
          <cell r="AC310">
            <v>-629.415744079426</v>
          </cell>
        </row>
        <row r="311">
          <cell r="A311" t="str">
            <v>7.27-8.2</v>
          </cell>
        </row>
        <row r="311">
          <cell r="C311" t="str">
            <v>649361890551</v>
          </cell>
        </row>
        <row r="311">
          <cell r="AC311">
            <v>-1753.18527129469</v>
          </cell>
        </row>
        <row r="312">
          <cell r="A312" t="str">
            <v>7.27-8.2</v>
          </cell>
        </row>
        <row r="312">
          <cell r="C312" t="str">
            <v>649735171438</v>
          </cell>
        </row>
        <row r="312">
          <cell r="AC312">
            <v>-789.026639352946</v>
          </cell>
        </row>
        <row r="313">
          <cell r="A313" t="str">
            <v>7.27-8.2</v>
          </cell>
        </row>
        <row r="313">
          <cell r="C313" t="str">
            <v>648600900806</v>
          </cell>
        </row>
        <row r="313">
          <cell r="AC313">
            <v>-487.614454827109</v>
          </cell>
        </row>
        <row r="314">
          <cell r="A314" t="str">
            <v>7.27-8.2</v>
          </cell>
        </row>
        <row r="314">
          <cell r="C314" t="str">
            <v>1058280415678</v>
          </cell>
        </row>
        <row r="314">
          <cell r="AC314">
            <v>107.786034841044</v>
          </cell>
        </row>
        <row r="315">
          <cell r="A315" t="str">
            <v>7.27-8.2</v>
          </cell>
        </row>
        <row r="315">
          <cell r="C315" t="str">
            <v>649369494424</v>
          </cell>
        </row>
        <row r="315">
          <cell r="AC315">
            <v>131.327227286009</v>
          </cell>
        </row>
        <row r="316">
          <cell r="A316" t="str">
            <v>7.27-8.2</v>
          </cell>
        </row>
        <row r="316">
          <cell r="C316" t="str">
            <v>649014937782</v>
          </cell>
        </row>
        <row r="316">
          <cell r="AC316">
            <v>-235.100466016384</v>
          </cell>
        </row>
        <row r="317">
          <cell r="A317" t="str">
            <v>7.27-8.2</v>
          </cell>
        </row>
        <row r="317">
          <cell r="C317" t="str">
            <v>1057479227624</v>
          </cell>
        </row>
        <row r="317">
          <cell r="AC317">
            <v>-612.260101321542</v>
          </cell>
        </row>
        <row r="318">
          <cell r="A318" t="str">
            <v>7.27-8.2</v>
          </cell>
        </row>
        <row r="318">
          <cell r="C318" t="str">
            <v>648598580775</v>
          </cell>
        </row>
        <row r="318">
          <cell r="AC318">
            <v>-84.9501879825149</v>
          </cell>
        </row>
        <row r="319">
          <cell r="A319" t="str">
            <v>7.27-8.2</v>
          </cell>
        </row>
        <row r="319">
          <cell r="C319" t="str">
            <v>1060999732877</v>
          </cell>
        </row>
        <row r="319">
          <cell r="AC319">
            <v>-51.3749451919946</v>
          </cell>
        </row>
        <row r="320">
          <cell r="A320" t="str">
            <v>7.27-8.2</v>
          </cell>
        </row>
        <row r="320">
          <cell r="C320" t="str">
            <v>1013887677295</v>
          </cell>
        </row>
        <row r="320">
          <cell r="AC320">
            <v>-147.39014027667</v>
          </cell>
        </row>
        <row r="321">
          <cell r="A321" t="str">
            <v>7.27-8.2</v>
          </cell>
        </row>
        <row r="321">
          <cell r="C321" t="str">
            <v>735014804839</v>
          </cell>
        </row>
        <row r="321">
          <cell r="AC321">
            <v>-19.3566865485971</v>
          </cell>
        </row>
        <row r="322">
          <cell r="A322" t="str">
            <v>7.27-8.2</v>
          </cell>
        </row>
        <row r="322">
          <cell r="C322" t="str">
            <v>648681860568</v>
          </cell>
        </row>
        <row r="322">
          <cell r="AC322">
            <v>-278.729686026049</v>
          </cell>
        </row>
        <row r="323">
          <cell r="A323" t="str">
            <v>7.27-8.2</v>
          </cell>
        </row>
        <row r="323">
          <cell r="C323" t="str">
            <v>766165464414</v>
          </cell>
        </row>
        <row r="323">
          <cell r="AC323">
            <v>58.4082367334553</v>
          </cell>
        </row>
        <row r="324">
          <cell r="A324" t="str">
            <v>7.27-8.2</v>
          </cell>
        </row>
        <row r="324">
          <cell r="C324" t="str">
            <v>929504658691</v>
          </cell>
        </row>
        <row r="324">
          <cell r="AC324">
            <v>-78.8867896119659</v>
          </cell>
        </row>
        <row r="325">
          <cell r="A325" t="str">
            <v>7.27-8.2</v>
          </cell>
        </row>
        <row r="325">
          <cell r="C325" t="str">
            <v>969423151512</v>
          </cell>
        </row>
        <row r="325">
          <cell r="AC325">
            <v>-60.8121997213073</v>
          </cell>
        </row>
        <row r="326">
          <cell r="A326" t="str">
            <v>7.27-8.2</v>
          </cell>
        </row>
        <row r="326">
          <cell r="C326" t="str">
            <v>744317232690</v>
          </cell>
        </row>
        <row r="326">
          <cell r="AC326">
            <v>-39.9789469607921</v>
          </cell>
        </row>
        <row r="327">
          <cell r="A327" t="str">
            <v>7.27-8.2</v>
          </cell>
        </row>
        <row r="327">
          <cell r="C327" t="str">
            <v>1059563993918</v>
          </cell>
        </row>
        <row r="327">
          <cell r="AC327">
            <v>-29.9704928843539</v>
          </cell>
        </row>
        <row r="328">
          <cell r="A328" t="str">
            <v>7.27-8.2</v>
          </cell>
        </row>
        <row r="328">
          <cell r="C328" t="str">
            <v>971242260371</v>
          </cell>
        </row>
        <row r="328">
          <cell r="AC328">
            <v>-30.3110904266916</v>
          </cell>
        </row>
        <row r="329">
          <cell r="A329" t="str">
            <v>7.27-8.2</v>
          </cell>
        </row>
        <row r="329">
          <cell r="C329" t="str">
            <v>649731447266</v>
          </cell>
        </row>
        <row r="329">
          <cell r="AC329">
            <v>30.2622579196961</v>
          </cell>
        </row>
        <row r="330">
          <cell r="A330" t="str">
            <v>7.27-8.2</v>
          </cell>
        </row>
        <row r="330">
          <cell r="C330" t="str">
            <v>937005385662</v>
          </cell>
        </row>
        <row r="330">
          <cell r="AC330">
            <v>-67.7160514445931</v>
          </cell>
        </row>
        <row r="331">
          <cell r="A331" t="str">
            <v>7.27-8.2</v>
          </cell>
        </row>
        <row r="331">
          <cell r="C331" t="str">
            <v>648604228786</v>
          </cell>
        </row>
        <row r="331">
          <cell r="AC331">
            <v>6.93387806870664</v>
          </cell>
        </row>
        <row r="332">
          <cell r="A332" t="str">
            <v>7.27-8.2</v>
          </cell>
        </row>
        <row r="332">
          <cell r="C332" t="str">
            <v>869217868453</v>
          </cell>
        </row>
        <row r="332">
          <cell r="AC332">
            <v>-11.4812540067651</v>
          </cell>
        </row>
        <row r="333">
          <cell r="A333" t="str">
            <v>7.27-8.2</v>
          </cell>
        </row>
        <row r="333">
          <cell r="C333" t="str">
            <v>898076297965</v>
          </cell>
        </row>
        <row r="333">
          <cell r="AC333">
            <v>-19.4689181228719</v>
          </cell>
        </row>
        <row r="334">
          <cell r="A334" t="str">
            <v>7.27-8.2</v>
          </cell>
        </row>
        <row r="334">
          <cell r="C334" t="str">
            <v>969433743398</v>
          </cell>
        </row>
        <row r="334">
          <cell r="AC334">
            <v>7.27193716497915</v>
          </cell>
        </row>
        <row r="335">
          <cell r="A335" t="str">
            <v>7.27-8.2</v>
          </cell>
        </row>
        <row r="335">
          <cell r="C335" t="str">
            <v>886856687067</v>
          </cell>
        </row>
        <row r="335">
          <cell r="AC335">
            <v>-14.6730866879432</v>
          </cell>
        </row>
        <row r="336">
          <cell r="A336" t="str">
            <v>7.27-8.2</v>
          </cell>
        </row>
        <row r="336">
          <cell r="C336" t="str">
            <v>1028450344901</v>
          </cell>
        </row>
        <row r="336">
          <cell r="AC336">
            <v>0.95789942913008</v>
          </cell>
        </row>
        <row r="337">
          <cell r="A337" t="str">
            <v>7.27-8.2</v>
          </cell>
        </row>
        <row r="337">
          <cell r="C337" t="str">
            <v>898120785283</v>
          </cell>
        </row>
        <row r="337">
          <cell r="AC337">
            <v>10.7751836942475</v>
          </cell>
        </row>
        <row r="338">
          <cell r="A338" t="str">
            <v>7.27-8.2</v>
          </cell>
        </row>
        <row r="338">
          <cell r="C338" t="str">
            <v>1067957289054</v>
          </cell>
        </row>
        <row r="338">
          <cell r="AC338">
            <v>-11.3108364199265</v>
          </cell>
        </row>
        <row r="339">
          <cell r="A339" t="str">
            <v>7.27-8.2</v>
          </cell>
        </row>
        <row r="339">
          <cell r="C339" t="str">
            <v>649729851594</v>
          </cell>
        </row>
        <row r="339">
          <cell r="AC339">
            <v>8.10160003483654</v>
          </cell>
        </row>
        <row r="340">
          <cell r="A340" t="str">
            <v>7.27-8.2</v>
          </cell>
        </row>
        <row r="340">
          <cell r="C340" t="str">
            <v>965545088099</v>
          </cell>
        </row>
        <row r="340">
          <cell r="AC340">
            <v>10.0894314697652</v>
          </cell>
        </row>
        <row r="341">
          <cell r="A341" t="str">
            <v>7.27-8.2</v>
          </cell>
        </row>
        <row r="341">
          <cell r="C341" t="str">
            <v>932687928859</v>
          </cell>
        </row>
        <row r="341">
          <cell r="AC341">
            <v>6.98156354523693</v>
          </cell>
        </row>
        <row r="342">
          <cell r="A342" t="str">
            <v>7.27-8.2</v>
          </cell>
        </row>
        <row r="342">
          <cell r="C342" t="str">
            <v>903183018417</v>
          </cell>
        </row>
        <row r="342">
          <cell r="AC342">
            <v>0.441826449930876</v>
          </cell>
        </row>
        <row r="343">
          <cell r="A343" t="str">
            <v>7.27-8.2</v>
          </cell>
        </row>
        <row r="343">
          <cell r="C343" t="str">
            <v>947413291596</v>
          </cell>
        </row>
        <row r="343">
          <cell r="AC343">
            <v>-0.400757209480052</v>
          </cell>
        </row>
        <row r="344">
          <cell r="A344" t="str">
            <v>7.27-8.2</v>
          </cell>
        </row>
        <row r="344">
          <cell r="C344" t="str">
            <v>976467954327</v>
          </cell>
        </row>
        <row r="344">
          <cell r="AC344">
            <v>-12.7346666086058</v>
          </cell>
        </row>
        <row r="345">
          <cell r="A345" t="str">
            <v>7.27-8.2</v>
          </cell>
        </row>
        <row r="345">
          <cell r="C345" t="str">
            <v>976479938842</v>
          </cell>
        </row>
        <row r="345">
          <cell r="AC345">
            <v>-20.9606666086058</v>
          </cell>
        </row>
        <row r="346">
          <cell r="A346" t="str">
            <v>7.27-8.2</v>
          </cell>
        </row>
        <row r="346">
          <cell r="C346" t="str">
            <v>916072786304</v>
          </cell>
        </row>
        <row r="346">
          <cell r="AC346">
            <v>-2.15581381325363</v>
          </cell>
        </row>
      </sheetData>
      <sheetData sheetId="9"/>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_rels/sheet2.xml.rels><Relationships xmlns="http://schemas.openxmlformats.org/package/2006/relationships"><Relationship Type="http://schemas.openxmlformats.org/officeDocument/2006/relationships/drawing" Target="/xl/drawings/drawing1.xml" Id="rId1" /></Relationships>
</file>

<file path=xl/worksheets/_rels/sheet3.xml.rels><Relationships xmlns="http://schemas.openxmlformats.org/package/2006/relationships"><Relationship Type="http://schemas.openxmlformats.org/officeDocument/2006/relationships/drawing" Target="/xl/drawings/drawing2.xml" Id="rId1" /></Relationships>
</file>

<file path=xl/worksheets/sheet1.xml><?xml version="1.0" encoding="utf-8"?>
<worksheet xmlns="http://schemas.openxmlformats.org/spreadsheetml/2006/main">
  <sheetPr>
    <tabColor rgb="000F3D3E"/>
    <outlinePr summaryBelow="1" summaryRight="1"/>
    <pageSetUpPr/>
  </sheetPr>
  <dimension ref="A1:F32"/>
  <sheetViews>
    <sheetView workbookViewId="0">
      <selection activeCell="J8" sqref="J8"/>
    </sheetView>
  </sheetViews>
  <sheetFormatPr baseColWidth="8" defaultColWidth="9" defaultRowHeight="13.5"/>
  <cols>
    <col width="12" customWidth="1" style="65" min="1" max="1"/>
    <col width="13" customWidth="1" style="65" min="2" max="2"/>
    <col width="13" customWidth="1" style="65" min="3" max="3"/>
    <col width="12" customWidth="1" style="65" min="4" max="4"/>
    <col width="12" customWidth="1" style="65" min="5" max="5"/>
    <col width="13" customWidth="1" style="65" min="6" max="6"/>
    <col width="16.875" customWidth="1" style="65" min="7" max="7"/>
    <col width="13.5" customWidth="1" style="65" min="8" max="8"/>
    <col width="18.375" customWidth="1" style="65" min="10" max="10"/>
    <col width="19.375" customWidth="1" style="65" min="11" max="11"/>
  </cols>
  <sheetData>
    <row r="1" ht="30" customHeight="1" s="65">
      <c r="A1" s="82" t="inlineStr">
        <is>
          <t>天猫近3个月 · ID周净利润分析汇报</t>
        </is>
      </c>
      <c r="B1" s="82" t="n"/>
      <c r="C1" s="82" t="n"/>
      <c r="D1" s="82" t="n"/>
      <c r="E1" s="82" t="n"/>
      <c r="F1" s="82" t="n"/>
    </row>
    <row r="2" ht="22" customHeight="1" s="65">
      <c r="A2" s="83" t="inlineStr">
        <is>
          <t>口径：数据源ID周损益｜其他费用按周报校准｜推广后=推广前−(花费+其他费用)/1.06｜打开后请开启自动计算</t>
        </is>
      </c>
      <c r="B2" s="83" t="n"/>
      <c r="C2" s="83" t="n"/>
      <c r="D2" s="83" t="n"/>
      <c r="E2" s="83" t="n"/>
      <c r="F2" s="83" t="n"/>
    </row>
    <row r="3" s="65"/>
    <row r="4" ht="24" customHeight="1" s="65">
      <c r="A4" s="84" t="inlineStr">
        <is>
          <t>一、一句话</t>
        </is>
      </c>
      <c r="B4" s="84" t="n"/>
      <c r="C4" s="84" t="n"/>
      <c r="D4" s="84" t="n"/>
      <c r="E4" s="84" t="n"/>
      <c r="F4" s="84" t="n"/>
    </row>
    <row r="5" ht="38" customHeight="1" s="65">
      <c r="A5" s="85" t="inlineStr">
        <is>
          <t>亏在大链接：袋面主链/次链 + 杯面主链贡献大部分亏损。而是“量/规格结构掉 → 推广前掉”，以及局部“加投 → 费率吃利润”。</t>
        </is>
      </c>
      <c r="B5" s="86" t="n"/>
      <c r="C5" s="86" t="n"/>
      <c r="D5" s="86" t="n"/>
      <c r="E5" s="86" t="n"/>
      <c r="F5" s="86" t="n"/>
    </row>
    <row r="6" ht="28" customHeight="1" s="65"/>
    <row r="7" ht="24" customHeight="1" s="65">
      <c r="A7" s="84" t="inlineStr">
        <is>
          <t>二、核心结论</t>
        </is>
      </c>
      <c r="B7" s="84" t="n"/>
      <c r="C7" s="84" t="n"/>
      <c r="D7" s="84" t="n"/>
      <c r="E7" s="84" t="n"/>
      <c r="F7" s="84" t="n"/>
    </row>
    <row r="8" ht="24" customHeight="1" s="65">
      <c r="A8" s="87" t="inlineStr">
        <is>
          <t>序号</t>
        </is>
      </c>
      <c r="B8" s="87" t="inlineStr">
        <is>
          <t>结论</t>
        </is>
      </c>
      <c r="C8" s="88" t="n"/>
      <c r="D8" s="88" t="n"/>
      <c r="E8" s="88" t="n"/>
      <c r="F8" s="89" t="n"/>
    </row>
    <row r="9" ht="30" customHeight="1" s="65">
      <c r="A9" s="90" t="inlineStr">
        <is>
          <t>结论1</t>
        </is>
      </c>
      <c r="B9" s="91" t="inlineStr">
        <is>
          <t>近三个月ID口径持续亏损；最好一周是7.6-7.12（推广后约-4109），之后再度走弱。</t>
        </is>
      </c>
      <c r="C9" s="92" t="n"/>
      <c r="D9" s="92" t="n"/>
      <c r="E9" s="92" t="n"/>
      <c r="F9" s="92" t="n"/>
    </row>
    <row r="10" ht="30" customHeight="1" s="65">
      <c r="A10" s="90" t="inlineStr">
        <is>
          <t>结论2</t>
        </is>
      </c>
      <c r="B10" s="93" t="inlineStr">
        <is>
          <t>主亏ID：649361890551（袋面次）、668566625747（袋面主）、649735171438（杯面主）。</t>
        </is>
      </c>
      <c r="C10" s="94" t="n"/>
      <c r="D10" s="94" t="n"/>
      <c r="E10" s="94" t="n"/>
      <c r="F10" s="94" t="n"/>
    </row>
    <row r="11" ht="30" customHeight="1" s="65">
      <c r="A11" s="90" t="inlineStr">
        <is>
          <t>结论3</t>
        </is>
      </c>
      <c r="B11" s="91" t="inlineStr">
        <is>
          <t>原因要分段：7.6→7.13 主要是推广前利润下降（要看规格搭配）；7.13→7.20 主要是推广费上升（次链/30包加投）。</t>
        </is>
      </c>
      <c r="C11" s="92" t="n"/>
      <c r="D11" s="92" t="n"/>
      <c r="E11" s="92" t="n"/>
      <c r="F11" s="92" t="n"/>
    </row>
    <row r="12" ht="30" customHeight="1" s="65">
      <c r="A12" s="90" t="inlineStr">
        <is>
          <t>结论4</t>
        </is>
      </c>
      <c r="B12" s="93" t="inlineStr">
        <is>
          <t>价格不是主因：主链推广前利率大体稳定（主链~13%、次链~9%、杯面~11%），更像量与规格结构问题。</t>
        </is>
      </c>
      <c r="C12" s="94" t="n"/>
      <c r="D12" s="94" t="n"/>
      <c r="E12" s="94" t="n"/>
      <c r="F12" s="94" t="n"/>
    </row>
    <row r="13" ht="30" customHeight="1" s="65">
      <c r="A13" s="90" t="inlineStr">
        <is>
          <t>结论5</t>
        </is>
      </c>
      <c r="B13" s="91" t="inlineStr">
        <is>
          <t>巴东链接推广费率约23%–36%（成交较大周），属推广费偏高型亏损；原味大大包需控加投，但不是主亏源。</t>
        </is>
      </c>
      <c r="C13" s="92" t="n"/>
      <c r="D13" s="92" t="n"/>
      <c r="E13" s="92" t="n"/>
      <c r="F13" s="92" t="n"/>
    </row>
    <row r="15" ht="24" customHeight="1" s="65">
      <c r="A15" s="84" t="inlineStr">
        <is>
          <t>三、请拍板</t>
        </is>
      </c>
      <c r="B15" s="84" t="n"/>
      <c r="C15" s="84" t="n"/>
      <c r="D15" s="84" t="n"/>
      <c r="E15" s="84" t="n"/>
      <c r="F15" s="84" t="n"/>
    </row>
    <row r="16">
      <c r="A16" s="95" t="inlineStr">
        <is>
          <t>① 复盘袋面主链5747：规格搭配与销量结构（推广前）</t>
        </is>
      </c>
      <c r="B16" s="96" t="n"/>
      <c r="C16" s="96" t="n"/>
      <c r="D16" s="96" t="n"/>
      <c r="E16" s="96" t="n"/>
      <c r="F16" s="96" t="n"/>
    </row>
    <row r="17">
      <c r="A17" s="97" t="inlineStr">
        <is>
          <t>② 压降次链0551、30包低效花费（费率）</t>
        </is>
      </c>
      <c r="B17" s="98" t="n"/>
      <c r="C17" s="98" t="n"/>
      <c r="D17" s="98" t="n"/>
      <c r="E17" s="98" t="n"/>
      <c r="F17" s="98" t="n"/>
    </row>
    <row r="18">
      <c r="A18" s="95" t="inlineStr">
        <is>
          <t>③ 巴东减投/停投一周验证</t>
        </is>
      </c>
      <c r="B18" s="96" t="n"/>
      <c r="C18" s="96" t="n"/>
      <c r="D18" s="96" t="n"/>
      <c r="E18" s="96" t="n"/>
      <c r="F18" s="96" t="n"/>
    </row>
    <row r="19">
      <c r="A19" s="97" t="inlineStr">
        <is>
          <t>④ 24/15/30包与头部混搭用「ID×搭配」盯周利润</t>
        </is>
      </c>
      <c r="B19" s="98" t="n"/>
      <c r="C19" s="98" t="n"/>
      <c r="D19" s="98" t="n"/>
      <c r="E19" s="98" t="n"/>
      <c r="F19" s="98" t="n"/>
    </row>
    <row r="20">
      <c r="A20" s="95" t="inlineStr">
        <is>
          <t>⑤ 大大包严控加投侵蚀</t>
        </is>
      </c>
      <c r="B20" s="96" t="n"/>
      <c r="C20" s="96" t="n"/>
      <c r="D20" s="96" t="n"/>
      <c r="E20" s="96" t="n"/>
      <c r="F20" s="96" t="n"/>
    </row>
    <row r="22" ht="24" customHeight="1" s="65">
      <c r="A22" s="84" t="inlineStr">
        <is>
          <t>四、数据源周汇总（公式）</t>
        </is>
      </c>
      <c r="B22" s="84" t="n"/>
      <c r="C22" s="84" t="n"/>
      <c r="D22" s="84" t="n"/>
      <c r="E22" s="84" t="n"/>
      <c r="F22" s="84" t="n"/>
    </row>
    <row r="23" ht="24" customHeight="1" s="65">
      <c r="A23" s="87" t="inlineStr">
        <is>
          <t>周次</t>
        </is>
      </c>
      <c r="B23" s="87" t="inlineStr">
        <is>
          <t>成交金额</t>
        </is>
      </c>
      <c r="C23" s="87" t="inlineStr">
        <is>
          <t>推广前利润</t>
        </is>
      </c>
      <c r="D23" s="87" t="inlineStr">
        <is>
          <t>推广花费</t>
        </is>
      </c>
      <c r="E23" s="87" t="inlineStr">
        <is>
          <t>其他费用</t>
        </is>
      </c>
      <c r="F23" s="87" t="inlineStr">
        <is>
          <t>推广后利润</t>
        </is>
      </c>
    </row>
    <row r="24">
      <c r="A24" s="99" t="inlineStr">
        <is>
          <t>5.11-5.17</t>
        </is>
      </c>
      <c r="B24" s="100">
        <f>SUMIF(数据源!A:A,A24,数据源!E:E)</f>
        <v/>
      </c>
      <c r="C24" s="100">
        <f>SUMIF(数据源!A:A,A24,数据源!X:X)</f>
        <v/>
      </c>
      <c r="D24" s="100">
        <f>SUMIF(数据源!A:A,A24,数据源!P:P)</f>
        <v/>
      </c>
      <c r="E24" s="100">
        <f>SUMIF(数据源!A:A,A24,数据源!W:W)</f>
        <v/>
      </c>
      <c r="F24" s="100">
        <f>SUMIF(数据源!A:A,A24,数据源!AB:AB)</f>
        <v/>
      </c>
    </row>
    <row r="25">
      <c r="A25" s="101" t="inlineStr">
        <is>
          <t>5.25-5.31</t>
        </is>
      </c>
      <c r="B25" s="102">
        <f>SUMIF(数据源!A:A,A25,数据源!E:E)</f>
        <v/>
      </c>
      <c r="C25" s="102">
        <f>SUMIF(数据源!A:A,A25,数据源!X:X)</f>
        <v/>
      </c>
      <c r="D25" s="102">
        <f>SUMIF(数据源!A:A,A25,数据源!P:P)</f>
        <v/>
      </c>
      <c r="E25" s="102">
        <f>SUMIF(数据源!A:A,A25,数据源!W:W)</f>
        <v/>
      </c>
      <c r="F25" s="102">
        <f>SUMIF(数据源!A:A,A25,数据源!AB:AB)</f>
        <v/>
      </c>
    </row>
    <row r="26">
      <c r="A26" s="99" t="inlineStr">
        <is>
          <t>6.15-6.21</t>
        </is>
      </c>
      <c r="B26" s="100">
        <f>SUMIF(数据源!A:A,A26,数据源!E:E)</f>
        <v/>
      </c>
      <c r="C26" s="100">
        <f>SUMIF(数据源!A:A,A26,数据源!X:X)</f>
        <v/>
      </c>
      <c r="D26" s="100">
        <f>SUMIF(数据源!A:A,A26,数据源!P:P)</f>
        <v/>
      </c>
      <c r="E26" s="100">
        <f>SUMIF(数据源!A:A,A26,数据源!W:W)</f>
        <v/>
      </c>
      <c r="F26" s="100">
        <f>SUMIF(数据源!A:A,A26,数据源!AB:AB)</f>
        <v/>
      </c>
    </row>
    <row r="27">
      <c r="A27" s="101" t="inlineStr">
        <is>
          <t>6.22-6.28</t>
        </is>
      </c>
      <c r="B27" s="102">
        <f>SUMIF(数据源!A:A,A27,数据源!E:E)</f>
        <v/>
      </c>
      <c r="C27" s="102">
        <f>SUMIF(数据源!A:A,A27,数据源!X:X)</f>
        <v/>
      </c>
      <c r="D27" s="102">
        <f>SUMIF(数据源!A:A,A27,数据源!P:P)</f>
        <v/>
      </c>
      <c r="E27" s="102">
        <f>SUMIF(数据源!A:A,A27,数据源!W:W)</f>
        <v/>
      </c>
      <c r="F27" s="102">
        <f>SUMIF(数据源!A:A,A27,数据源!AB:AB)</f>
        <v/>
      </c>
    </row>
    <row r="28">
      <c r="A28" s="99" t="inlineStr">
        <is>
          <t>6.29-7.5</t>
        </is>
      </c>
      <c r="B28" s="100">
        <f>SUMIF(数据源!A:A,A28,数据源!E:E)</f>
        <v/>
      </c>
      <c r="C28" s="100">
        <f>SUMIF(数据源!A:A,A28,数据源!X:X)</f>
        <v/>
      </c>
      <c r="D28" s="100">
        <f>SUMIF(数据源!A:A,A28,数据源!P:P)</f>
        <v/>
      </c>
      <c r="E28" s="100">
        <f>SUMIF(数据源!A:A,A28,数据源!W:W)</f>
        <v/>
      </c>
      <c r="F28" s="100">
        <f>SUMIF(数据源!A:A,A28,数据源!AB:AB)</f>
        <v/>
      </c>
    </row>
    <row r="29">
      <c r="A29" s="103" t="inlineStr">
        <is>
          <t>7.6-7.12</t>
        </is>
      </c>
      <c r="B29" s="104">
        <f>SUMIF(数据源!A:A,A29,数据源!E:E)</f>
        <v/>
      </c>
      <c r="C29" s="104">
        <f>SUMIF(数据源!A:A,A29,数据源!X:X)</f>
        <v/>
      </c>
      <c r="D29" s="104">
        <f>SUMIF(数据源!A:A,A29,数据源!P:P)</f>
        <v/>
      </c>
      <c r="E29" s="104">
        <f>SUMIF(数据源!A:A,A29,数据源!W:W)</f>
        <v/>
      </c>
      <c r="F29" s="104">
        <f>SUMIF(数据源!A:A,A29,数据源!AB:AB)</f>
        <v/>
      </c>
    </row>
    <row r="30">
      <c r="A30" s="99" t="inlineStr">
        <is>
          <t>7.13-7.19</t>
        </is>
      </c>
      <c r="B30" s="100">
        <f>SUMIF(数据源!A:A,A30,数据源!E:E)</f>
        <v/>
      </c>
      <c r="C30" s="100">
        <f>SUMIF(数据源!A:A,A30,数据源!X:X)</f>
        <v/>
      </c>
      <c r="D30" s="100">
        <f>SUMIF(数据源!A:A,A30,数据源!P:P)</f>
        <v/>
      </c>
      <c r="E30" s="100">
        <f>SUMIF(数据源!A:A,A30,数据源!W:W)</f>
        <v/>
      </c>
      <c r="F30" s="100">
        <f>SUMIF(数据源!A:A,A30,数据源!AB:AB)</f>
        <v/>
      </c>
    </row>
    <row r="31">
      <c r="A31" s="101" t="inlineStr">
        <is>
          <t>7.20-7.26</t>
        </is>
      </c>
      <c r="B31" s="102">
        <f>SUMIF(数据源!A:A,A31,数据源!E:E)</f>
        <v/>
      </c>
      <c r="C31" s="102">
        <f>SUMIF(数据源!A:A,A31,数据源!X:X)</f>
        <v/>
      </c>
      <c r="D31" s="102">
        <f>SUMIF(数据源!A:A,A31,数据源!P:P)</f>
        <v/>
      </c>
      <c r="E31" s="102">
        <f>SUMIF(数据源!A:A,A31,数据源!W:W)</f>
        <v/>
      </c>
      <c r="F31" s="102">
        <f>SUMIF(数据源!A:A,A31,数据源!AB:AB)</f>
        <v/>
      </c>
    </row>
    <row r="32">
      <c r="A32" s="99" t="inlineStr">
        <is>
          <t>7.27-8.2</t>
        </is>
      </c>
      <c r="B32" s="100">
        <f>SUMIF(数据源!A:A,A32,数据源!E:E)</f>
        <v/>
      </c>
      <c r="C32" s="100">
        <f>SUMIF(数据源!A:A,A32,数据源!X:X)</f>
        <v/>
      </c>
      <c r="D32" s="100">
        <f>SUMIF(数据源!A:A,A32,数据源!P:P)</f>
        <v/>
      </c>
      <c r="E32" s="100">
        <f>SUMIF(数据源!A:A,A32,数据源!W:W)</f>
        <v/>
      </c>
      <c r="F32" s="100">
        <f>SUMIF(数据源!A:A,A32,数据源!AB:AB)</f>
        <v/>
      </c>
    </row>
  </sheetData>
  <mergeCells count="18">
    <mergeCell ref="A16:F16"/>
    <mergeCell ref="A18:F18"/>
    <mergeCell ref="A2:F2"/>
    <mergeCell ref="B12:F12"/>
    <mergeCell ref="A5:F5"/>
    <mergeCell ref="B11:F11"/>
    <mergeCell ref="A22:F22"/>
    <mergeCell ref="A17:F17"/>
    <mergeCell ref="A4:F4"/>
    <mergeCell ref="B8:F8"/>
    <mergeCell ref="A20:F20"/>
    <mergeCell ref="B13:F13"/>
    <mergeCell ref="A19:F19"/>
    <mergeCell ref="B10:F10"/>
    <mergeCell ref="A15:F15"/>
    <mergeCell ref="B9:F9"/>
    <mergeCell ref="A1:F1"/>
    <mergeCell ref="A7:F7"/>
  </mergeCells>
  <pageMargins left="0.75" right="0.75" top="1" bottom="1" header="0.5" footer="0.5"/>
</worksheet>
</file>

<file path=xl/worksheets/sheet2.xml><?xml version="1.0" encoding="utf-8"?>
<worksheet xmlns="http://schemas.openxmlformats.org/spreadsheetml/2006/main">
  <sheetPr>
    <tabColor rgb="002E6B6E"/>
    <outlinePr summaryBelow="1" summaryRight="1"/>
    <pageSetUpPr/>
  </sheetPr>
  <dimension ref="A1:G12"/>
  <sheetViews>
    <sheetView workbookViewId="0">
      <pane ySplit="3" topLeftCell="A4" activePane="bottomLeft" state="frozen"/>
      <selection pane="bottomLeft" activeCell="E19" sqref="E19"/>
    </sheetView>
  </sheetViews>
  <sheetFormatPr baseColWidth="8" defaultColWidth="9" defaultRowHeight="13.5"/>
  <cols>
    <col width="12" customWidth="1" style="65" min="1" max="2"/>
    <col width="12" customWidth="1" style="65" min="2" max="2"/>
    <col width="14" customWidth="1" style="65" min="3" max="3"/>
    <col width="12" customWidth="1" style="65" min="4" max="4"/>
    <col width="12" customWidth="1" style="65" min="5" max="5"/>
    <col width="14" customWidth="1" style="65" min="6" max="6"/>
    <col width="12" customWidth="1" style="65" min="7" max="7"/>
    <col width="13.75" customWidth="1" style="65" min="8" max="9"/>
  </cols>
  <sheetData>
    <row r="1" ht="30" customHeight="1" s="65">
      <c r="A1" s="82" t="inlineStr">
        <is>
          <t>整体经营周趋势</t>
        </is>
      </c>
      <c r="B1" s="82" t="n"/>
      <c r="C1" s="82" t="n"/>
      <c r="D1" s="82" t="n"/>
      <c r="E1" s="82" t="n"/>
      <c r="F1" s="82" t="n"/>
      <c r="G1" s="82" t="n"/>
    </row>
    <row r="2" ht="22" customHeight="1" s="65">
      <c r="A2" s="83" t="inlineStr">
        <is>
          <t>仅数据源9周ID口径（不含店铺周报5.18/6.1/6.8）｜数值为公式，请开启自动计算</t>
        </is>
      </c>
      <c r="B2" s="83" t="n"/>
      <c r="C2" s="83" t="n"/>
      <c r="D2" s="83" t="n"/>
      <c r="E2" s="83" t="n"/>
      <c r="F2" s="83" t="n"/>
      <c r="G2" s="83" t="n"/>
    </row>
    <row r="3" ht="24" customHeight="1" s="65">
      <c r="A3" s="87" t="inlineStr">
        <is>
          <t>周次</t>
        </is>
      </c>
      <c r="B3" s="87" t="inlineStr">
        <is>
          <t>成交金额</t>
        </is>
      </c>
      <c r="C3" s="87" t="inlineStr">
        <is>
          <t>推广前净利润</t>
        </is>
      </c>
      <c r="D3" s="87" t="inlineStr">
        <is>
          <t>推广花费</t>
        </is>
      </c>
      <c r="E3" s="87" t="inlineStr">
        <is>
          <t>其他费用</t>
        </is>
      </c>
      <c r="F3" s="87" t="inlineStr">
        <is>
          <t>推广后净利润</t>
        </is>
      </c>
      <c r="G3" s="87" t="inlineStr">
        <is>
          <t>环比变化</t>
        </is>
      </c>
    </row>
    <row r="4" ht="16.5" customHeight="1" s="65">
      <c r="A4" s="99" t="inlineStr">
        <is>
          <t>5.11-5.17</t>
        </is>
      </c>
      <c r="B4" s="100">
        <f>SUMIF(数据源!A:A,A4,数据源!E:E)</f>
        <v/>
      </c>
      <c r="C4" s="100">
        <f>SUMIF(数据源!A:A,A4,数据源!X:X)</f>
        <v/>
      </c>
      <c r="D4" s="100">
        <f>SUMIF(数据源!A:A,A4,数据源!P:P)</f>
        <v/>
      </c>
      <c r="E4" s="100">
        <f>SUMIF(数据源!A:A,A4,数据源!W:W)</f>
        <v/>
      </c>
      <c r="F4" s="100">
        <f>SUMIF(数据源!A:A,A4,数据源!AB:AB)</f>
        <v/>
      </c>
      <c r="G4" s="99" t="n"/>
    </row>
    <row r="5" ht="16.5" customHeight="1" s="65">
      <c r="A5" s="101" t="inlineStr">
        <is>
          <t>5.25-5.31</t>
        </is>
      </c>
      <c r="B5" s="102">
        <f>SUMIF(数据源!A:A,A5,数据源!E:E)</f>
        <v/>
      </c>
      <c r="C5" s="102">
        <f>SUMIF(数据源!A:A,A5,数据源!X:X)</f>
        <v/>
      </c>
      <c r="D5" s="102">
        <f>SUMIF(数据源!A:A,A5,数据源!P:P)</f>
        <v/>
      </c>
      <c r="E5" s="102">
        <f>SUMIF(数据源!A:A,A5,数据源!W:W)</f>
        <v/>
      </c>
      <c r="F5" s="102">
        <f>SUMIF(数据源!A:A,A5,数据源!AB:AB)</f>
        <v/>
      </c>
      <c r="G5" s="105">
        <f>F5-F4</f>
        <v/>
      </c>
    </row>
    <row r="6" ht="16.5" customHeight="1" s="65">
      <c r="A6" s="99" t="inlineStr">
        <is>
          <t>6.15-6.21</t>
        </is>
      </c>
      <c r="B6" s="100">
        <f>SUMIF(数据源!A:A,A6,数据源!E:E)</f>
        <v/>
      </c>
      <c r="C6" s="100">
        <f>SUMIF(数据源!A:A,A6,数据源!X:X)</f>
        <v/>
      </c>
      <c r="D6" s="100">
        <f>SUMIF(数据源!A:A,A6,数据源!P:P)</f>
        <v/>
      </c>
      <c r="E6" s="100">
        <f>SUMIF(数据源!A:A,A6,数据源!W:W)</f>
        <v/>
      </c>
      <c r="F6" s="100">
        <f>SUMIF(数据源!A:A,A6,数据源!AB:AB)</f>
        <v/>
      </c>
      <c r="G6" s="106">
        <f>F6-F5</f>
        <v/>
      </c>
    </row>
    <row r="7" ht="16.5" customHeight="1" s="65">
      <c r="A7" s="101" t="inlineStr">
        <is>
          <t>6.22-6.28</t>
        </is>
      </c>
      <c r="B7" s="102">
        <f>SUMIF(数据源!A:A,A7,数据源!E:E)</f>
        <v/>
      </c>
      <c r="C7" s="102">
        <f>SUMIF(数据源!A:A,A7,数据源!X:X)</f>
        <v/>
      </c>
      <c r="D7" s="102">
        <f>SUMIF(数据源!A:A,A7,数据源!P:P)</f>
        <v/>
      </c>
      <c r="E7" s="102">
        <f>SUMIF(数据源!A:A,A7,数据源!W:W)</f>
        <v/>
      </c>
      <c r="F7" s="102">
        <f>SUMIF(数据源!A:A,A7,数据源!AB:AB)</f>
        <v/>
      </c>
      <c r="G7" s="105">
        <f>F7-F6</f>
        <v/>
      </c>
    </row>
    <row r="8" ht="16.5" customHeight="1" s="65">
      <c r="A8" s="99" t="inlineStr">
        <is>
          <t>6.29-7.5</t>
        </is>
      </c>
      <c r="B8" s="100">
        <f>SUMIF(数据源!A:A,A8,数据源!E:E)</f>
        <v/>
      </c>
      <c r="C8" s="100">
        <f>SUMIF(数据源!A:A,A8,数据源!X:X)</f>
        <v/>
      </c>
      <c r="D8" s="100">
        <f>SUMIF(数据源!A:A,A8,数据源!P:P)</f>
        <v/>
      </c>
      <c r="E8" s="100">
        <f>SUMIF(数据源!A:A,A8,数据源!W:W)</f>
        <v/>
      </c>
      <c r="F8" s="100">
        <f>SUMIF(数据源!A:A,A8,数据源!AB:AB)</f>
        <v/>
      </c>
      <c r="G8" s="106">
        <f>F8-F7</f>
        <v/>
      </c>
    </row>
    <row r="9" ht="16.5" customHeight="1" s="65">
      <c r="A9" s="103" t="inlineStr">
        <is>
          <t>7.6-7.12</t>
        </is>
      </c>
      <c r="B9" s="104">
        <f>SUMIF(数据源!A:A,A9,数据源!E:E)</f>
        <v/>
      </c>
      <c r="C9" s="104">
        <f>SUMIF(数据源!A:A,A9,数据源!X:X)</f>
        <v/>
      </c>
      <c r="D9" s="104">
        <f>SUMIF(数据源!A:A,A9,数据源!P:P)</f>
        <v/>
      </c>
      <c r="E9" s="104">
        <f>SUMIF(数据源!A:A,A9,数据源!W:W)</f>
        <v/>
      </c>
      <c r="F9" s="104">
        <f>SUMIF(数据源!A:A,A9,数据源!AB:AB)</f>
        <v/>
      </c>
      <c r="G9" s="107">
        <f>F9-F8</f>
        <v/>
      </c>
    </row>
    <row r="10" ht="16.5" customHeight="1" s="65">
      <c r="A10" s="99" t="inlineStr">
        <is>
          <t>7.13-7.19</t>
        </is>
      </c>
      <c r="B10" s="100">
        <f>SUMIF(数据源!A:A,A10,数据源!E:E)</f>
        <v/>
      </c>
      <c r="C10" s="100">
        <f>SUMIF(数据源!A:A,A10,数据源!X:X)</f>
        <v/>
      </c>
      <c r="D10" s="100">
        <f>SUMIF(数据源!A:A,A10,数据源!P:P)</f>
        <v/>
      </c>
      <c r="E10" s="100">
        <f>SUMIF(数据源!A:A,A10,数据源!W:W)</f>
        <v/>
      </c>
      <c r="F10" s="100">
        <f>SUMIF(数据源!A:A,A10,数据源!AB:AB)</f>
        <v/>
      </c>
      <c r="G10" s="106">
        <f>F10-F9</f>
        <v/>
      </c>
    </row>
    <row r="11" ht="16.5" customHeight="1" s="65">
      <c r="A11" s="101" t="inlineStr">
        <is>
          <t>7.20-7.26</t>
        </is>
      </c>
      <c r="B11" s="102">
        <f>SUMIF(数据源!A:A,A11,数据源!E:E)</f>
        <v/>
      </c>
      <c r="C11" s="102">
        <f>SUMIF(数据源!A:A,A11,数据源!X:X)</f>
        <v/>
      </c>
      <c r="D11" s="102">
        <f>SUMIF(数据源!A:A,A11,数据源!P:P)</f>
        <v/>
      </c>
      <c r="E11" s="102">
        <f>SUMIF(数据源!A:A,A11,数据源!W:W)</f>
        <v/>
      </c>
      <c r="F11" s="102">
        <f>SUMIF(数据源!A:A,A11,数据源!AB:AB)</f>
        <v/>
      </c>
      <c r="G11" s="105">
        <f>F11-F10</f>
        <v/>
      </c>
    </row>
    <row r="12" ht="16.5" customHeight="1" s="65">
      <c r="A12" s="99" t="inlineStr">
        <is>
          <t>7.27-8.2</t>
        </is>
      </c>
      <c r="B12" s="100">
        <f>SUMIF(数据源!A:A,A12,数据源!E:E)</f>
        <v/>
      </c>
      <c r="C12" s="100">
        <f>SUMIF(数据源!A:A,A12,数据源!X:X)</f>
        <v/>
      </c>
      <c r="D12" s="100">
        <f>SUMIF(数据源!A:A,A12,数据源!P:P)</f>
        <v/>
      </c>
      <c r="E12" s="100">
        <f>SUMIF(数据源!A:A,A12,数据源!W:W)</f>
        <v/>
      </c>
      <c r="F12" s="100">
        <f>SUMIF(数据源!A:A,A12,数据源!AB:AB)</f>
        <v/>
      </c>
      <c r="G12" s="106">
        <f>F12-F11</f>
        <v/>
      </c>
    </row>
    <row r="13" ht="16.5" customHeight="1" s="65"/>
    <row r="14" ht="16.5" customHeight="1" s="65"/>
    <row r="15" ht="16.5" customHeight="1" s="65"/>
    <row r="16" ht="16.5" customHeight="1" s="65"/>
    <row r="17" ht="16.5" customHeight="1" s="65"/>
  </sheetData>
  <mergeCells count="2">
    <mergeCell ref="A2:G2"/>
    <mergeCell ref="A1:G1"/>
  </mergeCells>
  <conditionalFormatting sqref="F4:F20">
    <cfRule type="cellIs" priority="1" operator="lessThan" dxfId="12">
      <formula>0</formula>
    </cfRule>
  </conditionalFormatting>
  <conditionalFormatting sqref="G4:G20">
    <cfRule type="cellIs" priority="2" operator="lessThan" dxfId="12">
      <formula>0</formula>
    </cfRule>
    <cfRule type="cellIs" priority="3" operator="greaterThan" dxfId="13">
      <formula>0</formula>
    </cfRule>
  </conditionalFormatting>
  <pageMargins left="0.75" right="0.75" top="1" bottom="1" header="0.5" footer="0.5"/>
  <drawing xmlns:r="http://schemas.openxmlformats.org/officeDocument/2006/relationships" r:id="rId1"/>
</worksheet>
</file>

<file path=xl/worksheets/sheet3.xml><?xml version="1.0" encoding="utf-8"?>
<worksheet xmlns="http://schemas.openxmlformats.org/spreadsheetml/2006/main">
  <sheetPr>
    <tabColor rgb="00B85C38"/>
    <outlinePr summaryBelow="1" summaryRight="1"/>
    <pageSetUpPr/>
  </sheetPr>
  <dimension ref="A1:G25"/>
  <sheetViews>
    <sheetView workbookViewId="0">
      <pane ySplit="5" topLeftCell="A6" activePane="bottomLeft" state="frozen"/>
      <selection pane="bottomLeft" activeCell="H24" sqref="H24"/>
    </sheetView>
  </sheetViews>
  <sheetFormatPr baseColWidth="8" defaultColWidth="9" defaultRowHeight="13.5"/>
  <cols>
    <col width="8" customWidth="1" style="65" min="1" max="1"/>
    <col width="16" customWidth="1" style="65" min="2" max="2"/>
    <col width="12" customWidth="1" style="65" min="3" max="3"/>
    <col width="42" customWidth="1" style="65" min="4" max="4"/>
    <col width="12" customWidth="1" style="65" min="5" max="6"/>
    <col width="12" customWidth="1" style="65" min="6" max="6"/>
    <col width="12" customWidth="1" style="65" min="7" max="7"/>
  </cols>
  <sheetData>
    <row r="1" ht="30" customHeight="1" s="65">
      <c r="A1" s="82" t="inlineStr">
        <is>
          <t>近周利润回落归因（7.6-7.12 → 7.13-7.19）</t>
        </is>
      </c>
      <c r="B1" s="82" t="n"/>
      <c r="C1" s="82" t="n"/>
      <c r="D1" s="82" t="n"/>
      <c r="E1" s="82" t="n"/>
      <c r="F1" s="82" t="n"/>
      <c r="G1" s="82" t="n"/>
    </row>
    <row r="2" ht="22" customHeight="1" s="65">
      <c r="A2" s="83" t="inlineStr">
        <is>
          <t>金额SUMIFS自数据源；变化=后周−前周；定位/名称与数据源当周一致</t>
        </is>
      </c>
      <c r="B2" s="83" t="n"/>
      <c r="C2" s="83" t="n"/>
      <c r="D2" s="83" t="n"/>
      <c r="E2" s="83" t="n"/>
      <c r="F2" s="83" t="n"/>
      <c r="G2" s="83" t="n"/>
    </row>
    <row r="3" ht="18" customHeight="1" s="65"/>
    <row r="4" ht="24" customHeight="1" s="65">
      <c r="A4" s="84" t="inlineStr">
        <is>
          <t>拖累 TOP10（变化越负，拖累越大）</t>
        </is>
      </c>
      <c r="B4" s="84" t="n"/>
      <c r="C4" s="84" t="n"/>
      <c r="D4" s="84" t="n"/>
      <c r="E4" s="84" t="n"/>
      <c r="F4" s="84" t="n"/>
      <c r="G4" s="84" t="n"/>
    </row>
    <row r="5" ht="24" customHeight="1" s="65">
      <c r="A5" s="87" t="inlineStr">
        <is>
          <t>排名</t>
        </is>
      </c>
      <c r="B5" s="87" t="inlineStr">
        <is>
          <t>商品ID</t>
        </is>
      </c>
      <c r="C5" s="87" t="inlineStr">
        <is>
          <t>定位</t>
        </is>
      </c>
      <c r="D5" s="87" t="inlineStr">
        <is>
          <t>商品名称</t>
        </is>
      </c>
      <c r="E5" s="87" t="inlineStr">
        <is>
          <t>7.6-7.12</t>
        </is>
      </c>
      <c r="F5" s="87" t="inlineStr">
        <is>
          <t>7.13-7.19</t>
        </is>
      </c>
      <c r="G5" s="87" t="inlineStr">
        <is>
          <t>变化</t>
        </is>
      </c>
    </row>
    <row r="6" ht="16.5" customHeight="1" s="65">
      <c r="A6" s="108" t="n">
        <v>1</v>
      </c>
      <c r="B6" s="109" t="inlineStr">
        <is>
          <t>668566625747</t>
        </is>
      </c>
      <c r="C6" s="110" t="inlineStr">
        <is>
          <t>袋面主链接</t>
        </is>
      </c>
      <c r="D6" s="110" t="inlineStr">
        <is>
          <t>印尼营多捞面进口网红泡面袋装方便面速食食品拉面火鸡面拌面整箱</t>
        </is>
      </c>
      <c r="E6" s="111">
        <f>SUMIFS(数据源!AB:AB,数据源!B:B,B6,数据源!A:A,"7.6-7.12")</f>
        <v/>
      </c>
      <c r="F6" s="111">
        <f>SUMIFS(数据源!AB:AB,数据源!B:B,B6,数据源!A:A,"7.13-7.19")</f>
        <v/>
      </c>
      <c r="G6" s="111">
        <f>F6-E6</f>
        <v/>
      </c>
    </row>
    <row r="7" ht="16.5" customHeight="1" s="65">
      <c r="A7" s="108" t="n">
        <v>2</v>
      </c>
      <c r="B7" s="109" t="inlineStr">
        <is>
          <t>648600900806</t>
        </is>
      </c>
      <c r="C7" s="110" t="inlineStr">
        <is>
          <t>30包</t>
        </is>
      </c>
      <c r="D7" s="110" t="inlineStr">
        <is>
          <t>进口营多捞面一整箱30包网红速食方便面宿舍速食泡面干拌面拉面</t>
        </is>
      </c>
      <c r="E7" s="111">
        <f>SUMIFS(数据源!AB:AB,数据源!B:B,B7,数据源!A:A,"7.6-7.12")</f>
        <v/>
      </c>
      <c r="F7" s="111">
        <f>SUMIFS(数据源!AB:AB,数据源!B:B,B7,数据源!A:A,"7.13-7.19")</f>
        <v/>
      </c>
      <c r="G7" s="111">
        <f>F7-E7</f>
        <v/>
      </c>
    </row>
    <row r="8" ht="16.5" customHeight="1" s="65">
      <c r="A8" s="108" t="n">
        <v>3</v>
      </c>
      <c r="B8" s="109" t="inlineStr">
        <is>
          <t>649369494424</t>
        </is>
      </c>
      <c r="C8" s="110" t="inlineStr">
        <is>
          <t>24包经典/牛系列</t>
        </is>
      </c>
      <c r="D8" s="110" t="inlineStr">
        <is>
          <t>营多捞面干拌面一整箱24袋装批发泡面混搭宿舍速食方便面火鸡面</t>
        </is>
      </c>
      <c r="E8" s="111">
        <f>SUMIFS(数据源!AB:AB,数据源!B:B,B8,数据源!A:A,"7.6-7.12")</f>
        <v/>
      </c>
      <c r="F8" s="111">
        <f>SUMIFS(数据源!AB:AB,数据源!B:B,B8,数据源!A:A,"7.13-7.19")</f>
        <v/>
      </c>
      <c r="G8" s="111">
        <f>F8-E8</f>
        <v/>
      </c>
    </row>
    <row r="9" ht="16.5" customHeight="1" s="65">
      <c r="A9" s="112" t="n">
        <v>4</v>
      </c>
      <c r="B9" s="101" t="inlineStr">
        <is>
          <t>766165464414</t>
        </is>
      </c>
      <c r="C9" s="93" t="inlineStr">
        <is>
          <t>12包</t>
        </is>
      </c>
      <c r="D9" s="93" t="inlineStr">
        <is>
          <t>营多印尼进口营多捞面方便面火鸡面干拌面12包宿舍速食泡面夜宵</t>
        </is>
      </c>
      <c r="E9" s="102">
        <f>SUMIFS(数据源!AB:AB,数据源!B:B,B9,数据源!A:A,"7.6-7.12")</f>
        <v/>
      </c>
      <c r="F9" s="102">
        <f>SUMIFS(数据源!AB:AB,数据源!B:B,B9,数据源!A:A,"7.13-7.19")</f>
        <v/>
      </c>
      <c r="G9" s="102">
        <f>F9-E9</f>
        <v/>
      </c>
    </row>
    <row r="10" ht="16.5" customHeight="1" s="65">
      <c r="A10" s="113" t="n">
        <v>5</v>
      </c>
      <c r="B10" s="99" t="inlineStr">
        <is>
          <t>648598580775</t>
        </is>
      </c>
      <c r="C10" s="91" t="inlineStr">
        <is>
          <t>15包</t>
        </is>
      </c>
      <c r="D10" s="91" t="inlineStr">
        <is>
          <t>进口营多捞面15包Indomie方便面干拌面夜宵方便速食五连包85g*5</t>
        </is>
      </c>
      <c r="E10" s="100">
        <f>SUMIFS(数据源!AB:AB,数据源!B:B,B10,数据源!A:A,"7.6-7.12")</f>
        <v/>
      </c>
      <c r="F10" s="100">
        <f>SUMIFS(数据源!AB:AB,数据源!B:B,B10,数据源!A:A,"7.13-7.19")</f>
        <v/>
      </c>
      <c r="G10" s="100">
        <f>F10-E10</f>
        <v/>
      </c>
    </row>
    <row r="11" ht="16.5" customHeight="1" s="65">
      <c r="A11" s="112" t="n">
        <v>6</v>
      </c>
      <c r="B11" s="101" t="inlineStr">
        <is>
          <t>1059563993918</t>
        </is>
      </c>
      <c r="C11" s="93" t="inlineStr">
        <is>
          <t>原味大包</t>
        </is>
      </c>
      <c r="D11" s="93" t="inlineStr">
        <is>
          <t>indomie印尼进口营多原味大大包129g捞面方便面速食食品宵夜小吃</t>
        </is>
      </c>
      <c r="E11" s="102">
        <f>SUMIFS(数据源!AB:AB,数据源!B:B,B11,数据源!A:A,"7.6-7.12")</f>
        <v/>
      </c>
      <c r="F11" s="102">
        <f>SUMIFS(数据源!AB:AB,数据源!B:B,B11,数据源!A:A,"7.13-7.19")</f>
        <v/>
      </c>
      <c r="G11" s="102">
        <f>F11-E11</f>
        <v/>
      </c>
    </row>
    <row r="12" ht="16.5" customHeight="1" s="65">
      <c r="A12" s="113" t="n">
        <v>7</v>
      </c>
      <c r="B12" s="99" t="inlineStr">
        <is>
          <t>649014937782</t>
        </is>
      </c>
      <c r="C12" s="91" t="inlineStr">
        <is>
          <t>24包</t>
        </is>
      </c>
      <c r="D12" s="91" t="inlineStr">
        <is>
          <t>印尼营多捞面干拌面一整箱24袋装批发泡面宿舍速食方便面火鸡面</t>
        </is>
      </c>
      <c r="E12" s="100">
        <f>SUMIFS(数据源!AB:AB,数据源!B:B,B12,数据源!A:A,"7.6-7.12")</f>
        <v/>
      </c>
      <c r="F12" s="100">
        <f>SUMIFS(数据源!AB:AB,数据源!B:B,B12,数据源!A:A,"7.13-7.19")</f>
        <v/>
      </c>
      <c r="G12" s="100">
        <f>F12-E12</f>
        <v/>
      </c>
    </row>
    <row r="13" ht="16.5" customHeight="1" s="65">
      <c r="A13" s="112" t="n">
        <v>8</v>
      </c>
      <c r="B13" s="101" t="inlineStr">
        <is>
          <t>1013887677295</t>
        </is>
      </c>
      <c r="C13" s="93" t="inlineStr">
        <is>
          <t>混搭5杯</t>
        </is>
      </c>
      <c r="D13" s="93" t="inlineStr">
        <is>
          <t>进口营多原味杯面日式杯面韩式杯面泡面方便面汤面宿舍速食夜宵</t>
        </is>
      </c>
      <c r="E13" s="102">
        <f>SUMIFS(数据源!AB:AB,数据源!B:B,B13,数据源!A:A,"7.6-7.12")</f>
        <v/>
      </c>
      <c r="F13" s="102">
        <f>SUMIFS(数据源!AB:AB,数据源!B:B,B13,数据源!A:A,"7.13-7.19")</f>
        <v/>
      </c>
      <c r="G13" s="102">
        <f>F13-E13</f>
        <v/>
      </c>
    </row>
    <row r="14" ht="16.5" customHeight="1" s="65">
      <c r="A14" s="113" t="n">
        <v>9</v>
      </c>
      <c r="B14" s="99" t="inlineStr">
        <is>
          <t>648604228786</t>
        </is>
      </c>
      <c r="C14" s="91" t="inlineStr">
        <is>
          <t>杯面混搭</t>
        </is>
      </c>
      <c r="D14" s="91" t="inlineStr">
        <is>
          <t>INDOMIE营多日式杯面原味经典泡面整箱批发速食宿舍旅行宵夜宿舍</t>
        </is>
      </c>
      <c r="E14" s="100">
        <f>SUMIFS(数据源!AB:AB,数据源!B:B,B14,数据源!A:A,"7.6-7.12")</f>
        <v/>
      </c>
      <c r="F14" s="100">
        <f>SUMIFS(数据源!AB:AB,数据源!B:B,B14,数据源!A:A,"7.13-7.19")</f>
        <v/>
      </c>
      <c r="G14" s="100">
        <f>F14-E14</f>
        <v/>
      </c>
    </row>
    <row r="15">
      <c r="A15" s="112" t="n">
        <v>10</v>
      </c>
      <c r="B15" s="101" t="inlineStr">
        <is>
          <t>735014804839</t>
        </is>
      </c>
      <c r="C15" s="93" t="inlineStr">
        <is>
          <t>24/30包</t>
        </is>
      </c>
      <c r="D15" s="93" t="inlineStr">
        <is>
          <t>进口营多捞面多口味Indomie网红方便面干拌面泡面30包整箱批发面</t>
        </is>
      </c>
      <c r="E15" s="102">
        <f>SUMIFS(数据源!AB:AB,数据源!B:B,B15,数据源!A:A,"7.6-7.12")</f>
        <v/>
      </c>
      <c r="F15" s="102">
        <f>SUMIFS(数据源!AB:AB,数据源!B:B,B15,数据源!A:A,"7.13-7.19")</f>
        <v/>
      </c>
      <c r="G15" s="102">
        <f>F15-E15</f>
        <v/>
      </c>
    </row>
    <row r="17" ht="24" customHeight="1" s="65">
      <c r="A17" s="84" t="inlineStr">
        <is>
          <t>改善 TOP5（变化越正，改善越大）</t>
        </is>
      </c>
      <c r="B17" s="84" t="n"/>
      <c r="C17" s="84" t="n"/>
      <c r="D17" s="84" t="n"/>
      <c r="E17" s="84" t="n"/>
      <c r="F17" s="84" t="n"/>
      <c r="G17" s="84" t="n"/>
    </row>
    <row r="18" ht="24" customHeight="1" s="65">
      <c r="A18" s="87" t="inlineStr">
        <is>
          <t>排名</t>
        </is>
      </c>
      <c r="B18" s="87" t="inlineStr">
        <is>
          <t>商品ID</t>
        </is>
      </c>
      <c r="C18" s="87" t="inlineStr">
        <is>
          <t>定位</t>
        </is>
      </c>
      <c r="D18" s="87" t="inlineStr">
        <is>
          <t>商品名称</t>
        </is>
      </c>
      <c r="E18" s="87" t="inlineStr">
        <is>
          <t>7.6-7.12</t>
        </is>
      </c>
      <c r="F18" s="87" t="inlineStr">
        <is>
          <t>7.13-7.19</t>
        </is>
      </c>
      <c r="G18" s="87" t="inlineStr">
        <is>
          <t>变化</t>
        </is>
      </c>
    </row>
    <row r="19" ht="16.5" customHeight="1" s="65">
      <c r="A19" s="114" t="n">
        <v>1</v>
      </c>
      <c r="B19" s="115" t="inlineStr">
        <is>
          <t>649361890551</t>
        </is>
      </c>
      <c r="C19" s="95" t="inlineStr">
        <is>
          <t>袋面次链接</t>
        </is>
      </c>
      <c r="D19" s="95" t="inlineStr">
        <is>
          <t>营多捞面印尼进口Indomie网红夜宵早餐方便面火鸡面泡面拌面</t>
        </is>
      </c>
      <c r="E19" s="116">
        <f>SUMIFS(数据源!AB:AB,数据源!B:B,B19,数据源!A:A,"7.6-7.12")</f>
        <v/>
      </c>
      <c r="F19" s="116">
        <f>SUMIFS(数据源!AB:AB,数据源!B:B,B19,数据源!A:A,"7.13-7.19")</f>
        <v/>
      </c>
      <c r="G19" s="116">
        <f>F19-E19</f>
        <v/>
      </c>
    </row>
    <row r="20" ht="16.5" customHeight="1" s="65">
      <c r="A20" s="114" t="n">
        <v>2</v>
      </c>
      <c r="B20" s="115" t="inlineStr">
        <is>
          <t>649735171438</t>
        </is>
      </c>
      <c r="C20" s="95" t="inlineStr">
        <is>
          <t>杯面主链接</t>
        </is>
      </c>
      <c r="D20" s="95" t="inlineStr">
        <is>
          <t>印尼进口indomie营多捞面杯面速食泡面干拌面盒桶装方便面火鸡面</t>
        </is>
      </c>
      <c r="E20" s="116">
        <f>SUMIFS(数据源!AB:AB,数据源!B:B,B20,数据源!A:A,"7.6-7.12")</f>
        <v/>
      </c>
      <c r="F20" s="116">
        <f>SUMIFS(数据源!AB:AB,数据源!B:B,B20,数据源!A:A,"7.13-7.19")</f>
        <v/>
      </c>
      <c r="G20" s="116">
        <f>F20-E20</f>
        <v/>
      </c>
    </row>
    <row r="21" ht="16.5" customHeight="1" s="65">
      <c r="A21" s="114" t="n">
        <v>3</v>
      </c>
      <c r="B21" s="115" t="inlineStr">
        <is>
          <t>648681860568</t>
        </is>
      </c>
      <c r="C21" s="95" t="inlineStr">
        <is>
          <t>杯面次链接</t>
        </is>
      </c>
      <c r="D21" s="95" t="inlineStr">
        <is>
          <t>营多捞面杯装方便面泡面速食干拌面原味整箱批发印尼进口桶装拌面</t>
        </is>
      </c>
      <c r="E21" s="116">
        <f>SUMIFS(数据源!AB:AB,数据源!B:B,B21,数据源!A:A,"7.6-7.12")</f>
        <v/>
      </c>
      <c r="F21" s="116">
        <f>SUMIFS(数据源!AB:AB,数据源!B:B,B21,数据源!A:A,"7.13-7.19")</f>
        <v/>
      </c>
      <c r="G21" s="116">
        <f>F21-E21</f>
        <v/>
      </c>
    </row>
    <row r="22" ht="16.5" customHeight="1" s="65">
      <c r="A22" s="114" t="n">
        <v>4</v>
      </c>
      <c r="B22" s="115" t="inlineStr">
        <is>
          <t>971242260371</t>
        </is>
      </c>
      <c r="C22" s="95" t="inlineStr">
        <is>
          <t>韩式袋面</t>
        </is>
      </c>
      <c r="D22" s="95" t="inlineStr">
        <is>
          <t>新品营多捞面韩式辣蘑菇汤面泡面方便面速食干拌面宿舍宵夜旅行</t>
        </is>
      </c>
      <c r="E22" s="116">
        <f>SUMIFS(数据源!AB:AB,数据源!B:B,B22,数据源!A:A,"7.6-7.12")</f>
        <v/>
      </c>
      <c r="F22" s="116">
        <f>SUMIFS(数据源!AB:AB,数据源!B:B,B22,数据源!A:A,"7.13-7.19")</f>
        <v/>
      </c>
      <c r="G22" s="116">
        <f>F22-E22</f>
        <v/>
      </c>
    </row>
    <row r="23" ht="16.5" customHeight="1" s="65">
      <c r="A23" s="114" t="n">
        <v>5</v>
      </c>
      <c r="B23" s="115" t="inlineStr">
        <is>
          <t>1058280415678</t>
        </is>
      </c>
      <c r="C23" s="95" t="inlineStr">
        <is>
          <t>巴东牛肉</t>
        </is>
      </c>
      <c r="D23" s="95" t="inlineStr">
        <is>
          <t>【新口味】印尼进口营多捞面巴东炖牛肉味泡面方便面宿舍速食宵夜</t>
        </is>
      </c>
      <c r="E23" s="116">
        <f>SUMIFS(数据源!AB:AB,数据源!B:B,B23,数据源!A:A,"7.6-7.12")</f>
        <v/>
      </c>
      <c r="F23" s="116">
        <f>SUMIFS(数据源!AB:AB,数据源!B:B,B23,数据源!A:A,"7.13-7.19")</f>
        <v/>
      </c>
      <c r="G23" s="116">
        <f>F23-E23</f>
        <v/>
      </c>
    </row>
    <row r="25" ht="24" customHeight="1" s="65">
      <c r="A25" s="117" t="inlineStr">
        <is>
          <t>本阶段合计变化</t>
        </is>
      </c>
      <c r="B25" s="117" t="n"/>
      <c r="C25" s="118">
        <f>SUMIF(数据源!A:A,"7.13-7.19",数据源!AB:AB)-SUMIF(数据源!A:A,"7.6-7.12",数据源!AB:AB)</f>
        <v/>
      </c>
      <c r="D25" s="119" t="n"/>
      <c r="E25" s="119" t="n"/>
      <c r="F25" s="119" t="n"/>
      <c r="G25" s="119" t="n"/>
    </row>
  </sheetData>
  <mergeCells count="5">
    <mergeCell ref="A1:G1"/>
    <mergeCell ref="A17:G17"/>
    <mergeCell ref="A25:B25"/>
    <mergeCell ref="A4:G4"/>
    <mergeCell ref="A2:G2"/>
  </mergeCells>
  <conditionalFormatting sqref="G6:G15">
    <cfRule type="cellIs" priority="1" operator="lessThan" dxfId="14">
      <formula>0</formula>
    </cfRule>
  </conditionalFormatting>
  <conditionalFormatting sqref="G19:G23">
    <cfRule type="cellIs" priority="2" operator="greaterThan" dxfId="15">
      <formula>0</formula>
    </cfRule>
  </conditionalFormatting>
  <pageMargins left="0.75" right="0.75" top="1" bottom="1" header="0.5" footer="0.5"/>
  <pageSetup orientation="portrait" paperSize="9"/>
  <drawing xmlns:r="http://schemas.openxmlformats.org/officeDocument/2006/relationships" r:id="rId1"/>
</worksheet>
</file>

<file path=xl/worksheets/sheet4.xml><?xml version="1.0" encoding="utf-8"?>
<worksheet xmlns="http://schemas.openxmlformats.org/spreadsheetml/2006/main">
  <sheetPr>
    <tabColor rgb="00C62828"/>
    <outlinePr summaryBelow="1" summaryRight="1"/>
    <pageSetUpPr/>
  </sheetPr>
  <dimension ref="A1:H48"/>
  <sheetViews>
    <sheetView workbookViewId="0">
      <pane ySplit="3" topLeftCell="A4" activePane="bottomLeft" state="frozen"/>
      <selection pane="bottomLeft" activeCell="A1" sqref="A1"/>
      <selection pane="bottomLeft" activeCell="C51" sqref="C51"/>
    </sheetView>
  </sheetViews>
  <sheetFormatPr baseColWidth="8" defaultColWidth="9" defaultRowHeight="13.5"/>
  <cols>
    <col width="12" customWidth="1" style="65" min="1" max="1"/>
    <col width="8" customWidth="1" style="65" min="2" max="2"/>
    <col width="16" customWidth="1" style="65" min="3" max="3"/>
    <col width="12" customWidth="1" style="65" min="4" max="4"/>
    <col hidden="1" width="40" customWidth="1" style="65" min="5" max="5"/>
    <col width="14" customWidth="1" style="65" min="6" max="6"/>
    <col width="12" customWidth="1" style="65" min="7" max="7"/>
    <col width="12" customWidth="1" style="65" min="8" max="8"/>
  </cols>
  <sheetData>
    <row r="1" ht="30" customHeight="1" s="65">
      <c r="A1" s="82" t="inlineStr">
        <is>
          <t>各周亏损最大的前5个ID</t>
        </is>
      </c>
      <c r="B1" s="82" t="n"/>
      <c r="C1" s="82" t="n"/>
      <c r="D1" s="82" t="n"/>
      <c r="E1" s="82" t="n"/>
      <c r="F1" s="82" t="n"/>
      <c r="G1" s="82" t="n"/>
      <c r="H1" s="82" t="n"/>
    </row>
    <row r="2" ht="22" customHeight="1" s="65">
      <c r="A2" s="83" t="inlineStr">
        <is>
          <t>净利润/成交/占比均SUMIFS自本文件数据源；占比=该ID推广后/当周推广后合计</t>
        </is>
      </c>
      <c r="B2" s="83" t="n"/>
      <c r="C2" s="83" t="n"/>
      <c r="D2" s="83" t="n"/>
      <c r="E2" s="83" t="n"/>
      <c r="F2" s="83" t="n"/>
      <c r="G2" s="83" t="n"/>
      <c r="H2" s="83" t="n"/>
    </row>
    <row r="3" ht="24" customHeight="1" s="65">
      <c r="A3" s="87" t="inlineStr">
        <is>
          <t>周次</t>
        </is>
      </c>
      <c r="B3" s="87" t="inlineStr">
        <is>
          <t>排名</t>
        </is>
      </c>
      <c r="C3" s="87" t="inlineStr">
        <is>
          <t>商品ID</t>
        </is>
      </c>
      <c r="D3" s="87" t="inlineStr">
        <is>
          <t>定位</t>
        </is>
      </c>
      <c r="E3" s="87" t="inlineStr">
        <is>
          <t>商品名称</t>
        </is>
      </c>
      <c r="F3" s="87" t="inlineStr">
        <is>
          <t>净利润(推广后)</t>
        </is>
      </c>
      <c r="G3" s="87" t="inlineStr">
        <is>
          <t>成交金额</t>
        </is>
      </c>
      <c r="H3" s="87" t="inlineStr">
        <is>
          <t>占当周总净利</t>
        </is>
      </c>
    </row>
    <row r="4" ht="16.5" customHeight="1" s="65">
      <c r="A4" s="120" t="inlineStr">
        <is>
          <t>5.11-5.17</t>
        </is>
      </c>
      <c r="B4" s="121" t="n">
        <v>1</v>
      </c>
      <c r="C4" s="120" t="inlineStr">
        <is>
          <t>649361890551</t>
        </is>
      </c>
      <c r="D4" s="122" t="inlineStr">
        <is>
          <t>袋面次链接</t>
        </is>
      </c>
      <c r="E4" s="122" t="inlineStr">
        <is>
          <t>营多捞面印尼进口Indomie网红夜宵早餐方便面火鸡面泡面拌面</t>
        </is>
      </c>
      <c r="F4" s="123">
        <f>SUMIFS(数据源!AB:AB,数据源!B:B,C4,数据源!A:A,A4)</f>
        <v/>
      </c>
      <c r="G4" s="123">
        <f>SUMIFS(数据源!E:E,数据源!B:B,C4,数据源!A:A,A4)</f>
        <v/>
      </c>
      <c r="H4" s="124">
        <f>IFERROR(F4/SUMIF(数据源!A:A,A4,数据源!AB:AB),0)</f>
        <v/>
      </c>
    </row>
    <row r="5" ht="16.5" customHeight="1" s="65">
      <c r="A5" s="120" t="n"/>
      <c r="B5" s="120" t="n">
        <v>2</v>
      </c>
      <c r="C5" s="120" t="inlineStr">
        <is>
          <t>668566625747</t>
        </is>
      </c>
      <c r="D5" s="122" t="inlineStr">
        <is>
          <t>袋面主链接</t>
        </is>
      </c>
      <c r="E5" s="122" t="inlineStr">
        <is>
          <t>印尼营多捞面进口网红泡面袋装方便面速食食品拉面火鸡面拌面整箱</t>
        </is>
      </c>
      <c r="F5" s="123">
        <f>SUMIFS(数据源!AB:AB,数据源!B:B,C5,数据源!A:A,A4)</f>
        <v/>
      </c>
      <c r="G5" s="123">
        <f>SUMIFS(数据源!E:E,数据源!B:B,C5,数据源!A:A,A4)</f>
        <v/>
      </c>
      <c r="H5" s="124">
        <f>IFERROR(F5/SUMIF(数据源!A:A,A4,数据源!AB:AB),0)</f>
        <v/>
      </c>
    </row>
    <row r="6" ht="16.5" customHeight="1" s="65">
      <c r="A6" s="120" t="n"/>
      <c r="B6" s="120" t="n">
        <v>3</v>
      </c>
      <c r="C6" s="120" t="inlineStr">
        <is>
          <t>649735171438</t>
        </is>
      </c>
      <c r="D6" s="122" t="inlineStr">
        <is>
          <t>杯面主链接</t>
        </is>
      </c>
      <c r="E6" s="122" t="inlineStr">
        <is>
          <t>印尼进口indomie营多捞面杯面速食泡面干拌面盒桶装方便面火鸡面</t>
        </is>
      </c>
      <c r="F6" s="123">
        <f>SUMIFS(数据源!AB:AB,数据源!B:B,C6,数据源!A:A,A4)</f>
        <v/>
      </c>
      <c r="G6" s="123">
        <f>SUMIFS(数据源!E:E,数据源!B:B,C6,数据源!A:A,A4)</f>
        <v/>
      </c>
      <c r="H6" s="124">
        <f>IFERROR(F6/SUMIF(数据源!A:A,A4,数据源!AB:AB),0)</f>
        <v/>
      </c>
    </row>
    <row r="7" ht="16.5" customHeight="1" s="65">
      <c r="A7" s="120" t="n"/>
      <c r="B7" s="120" t="n">
        <v>4</v>
      </c>
      <c r="C7" s="120" t="inlineStr">
        <is>
          <t>649014937782</t>
        </is>
      </c>
      <c r="D7" s="122" t="inlineStr">
        <is>
          <t>24包</t>
        </is>
      </c>
      <c r="E7" s="122" t="inlineStr">
        <is>
          <t>印尼营多捞面干拌面一整箱24袋装批发泡面宿舍速食方便面火鸡面</t>
        </is>
      </c>
      <c r="F7" s="123">
        <f>SUMIFS(数据源!AB:AB,数据源!B:B,C7,数据源!A:A,A4)</f>
        <v/>
      </c>
      <c r="G7" s="123">
        <f>SUMIFS(数据源!E:E,数据源!B:B,C7,数据源!A:A,A4)</f>
        <v/>
      </c>
      <c r="H7" s="124">
        <f>IFERROR(F7/SUMIF(数据源!A:A,A4,数据源!AB:AB),0)</f>
        <v/>
      </c>
    </row>
    <row r="8" ht="17.25" customHeight="1" s="65">
      <c r="A8" s="120" t="n"/>
      <c r="B8" s="120" t="n">
        <v>5</v>
      </c>
      <c r="C8" s="120" t="inlineStr">
        <is>
          <t>937005385662</t>
        </is>
      </c>
      <c r="D8" s="122" t="inlineStr">
        <is>
          <t>日式袋面</t>
        </is>
      </c>
      <c r="E8" s="122" t="inlineStr">
        <is>
          <t>进口营多正品捞面日式鸡肉鸡汤辛辣味袋装泡面辣味速食方便面汤面</t>
        </is>
      </c>
      <c r="F8" s="123">
        <f>SUMIFS(数据源!AB:AB,数据源!B:B,C8,数据源!A:A,A4)</f>
        <v/>
      </c>
      <c r="G8" s="123">
        <f>SUMIFS(数据源!E:E,数据源!B:B,C8,数据源!A:A,A4)</f>
        <v/>
      </c>
      <c r="H8" s="124">
        <f>IFERROR(F8/SUMIF(数据源!A:A,A4,数据源!AB:AB),0)</f>
        <v/>
      </c>
    </row>
    <row r="9" ht="16.5" customHeight="1" s="65">
      <c r="A9" s="101" t="inlineStr">
        <is>
          <t>5.25-5.31</t>
        </is>
      </c>
      <c r="B9" s="125" t="n">
        <v>1</v>
      </c>
      <c r="C9" s="101" t="inlineStr">
        <is>
          <t>649361890551</t>
        </is>
      </c>
      <c r="D9" s="93" t="inlineStr">
        <is>
          <t>袋面次链接</t>
        </is>
      </c>
      <c r="E9" s="93" t="inlineStr">
        <is>
          <t>营多捞面印尼进口Indomie网红夜宵早餐方便面火鸡面泡面拌面</t>
        </is>
      </c>
      <c r="F9" s="102">
        <f>SUMIFS(数据源!AB:AB,数据源!B:B,C9,数据源!A:A,A9)</f>
        <v/>
      </c>
      <c r="G9" s="102">
        <f>SUMIFS(数据源!E:E,数据源!B:B,C9,数据源!A:A,A9)</f>
        <v/>
      </c>
      <c r="H9" s="126">
        <f>IFERROR(F9/SUMIF(数据源!A:A,A9,数据源!AB:AB),0)</f>
        <v/>
      </c>
    </row>
    <row r="10" ht="16.5" customHeight="1" s="65">
      <c r="A10" s="101" t="n"/>
      <c r="B10" s="101" t="n">
        <v>2</v>
      </c>
      <c r="C10" s="101" t="inlineStr">
        <is>
          <t>668566625747</t>
        </is>
      </c>
      <c r="D10" s="93" t="inlineStr">
        <is>
          <t>袋面主链接</t>
        </is>
      </c>
      <c r="E10" s="93" t="inlineStr">
        <is>
          <t>印尼营多捞面进口网红泡面袋装方便面速食食品拉面火鸡面拌面整箱</t>
        </is>
      </c>
      <c r="F10" s="102">
        <f>SUMIFS(数据源!AB:AB,数据源!B:B,C10,数据源!A:A,A9)</f>
        <v/>
      </c>
      <c r="G10" s="102">
        <f>SUMIFS(数据源!E:E,数据源!B:B,C10,数据源!A:A,A9)</f>
        <v/>
      </c>
      <c r="H10" s="126">
        <f>IFERROR(F10/SUMIF(数据源!A:A,A9,数据源!AB:AB),0)</f>
        <v/>
      </c>
    </row>
    <row r="11" ht="16.5" customHeight="1" s="65">
      <c r="A11" s="101" t="n"/>
      <c r="B11" s="101" t="n">
        <v>3</v>
      </c>
      <c r="C11" s="101" t="inlineStr">
        <is>
          <t>649735171438</t>
        </is>
      </c>
      <c r="D11" s="93" t="inlineStr">
        <is>
          <t>杯面主链接</t>
        </is>
      </c>
      <c r="E11" s="93" t="inlineStr">
        <is>
          <t>印尼进口indomie营多捞面杯面速食泡面干拌面盒桶装方便面火鸡面</t>
        </is>
      </c>
      <c r="F11" s="102">
        <f>SUMIFS(数据源!AB:AB,数据源!B:B,C11,数据源!A:A,A9)</f>
        <v/>
      </c>
      <c r="G11" s="102">
        <f>SUMIFS(数据源!E:E,数据源!B:B,C11,数据源!A:A,A9)</f>
        <v/>
      </c>
      <c r="H11" s="126">
        <f>IFERROR(F11/SUMIF(数据源!A:A,A9,数据源!AB:AB),0)</f>
        <v/>
      </c>
    </row>
    <row r="12" ht="16.5" customHeight="1" s="65">
      <c r="A12" s="101" t="n"/>
      <c r="B12" s="101" t="n">
        <v>4</v>
      </c>
      <c r="C12" s="101" t="inlineStr">
        <is>
          <t>649014937782</t>
        </is>
      </c>
      <c r="D12" s="93" t="inlineStr">
        <is>
          <t>24包</t>
        </is>
      </c>
      <c r="E12" s="93" t="inlineStr">
        <is>
          <t>印尼营多捞面干拌面一整箱24袋装批发泡面宿舍速食方便面火鸡面</t>
        </is>
      </c>
      <c r="F12" s="102">
        <f>SUMIFS(数据源!AB:AB,数据源!B:B,C12,数据源!A:A,A9)</f>
        <v/>
      </c>
      <c r="G12" s="102">
        <f>SUMIFS(数据源!E:E,数据源!B:B,C12,数据源!A:A,A9)</f>
        <v/>
      </c>
      <c r="H12" s="126">
        <f>IFERROR(F12/SUMIF(数据源!A:A,A9,数据源!AB:AB),0)</f>
        <v/>
      </c>
    </row>
    <row r="13" ht="17.25" customHeight="1" s="65">
      <c r="A13" s="101" t="n"/>
      <c r="B13" s="101" t="n">
        <v>5</v>
      </c>
      <c r="C13" s="101" t="inlineStr">
        <is>
          <t>1013887677295</t>
        </is>
      </c>
      <c r="D13" s="93" t="inlineStr">
        <is>
          <t>混搭5杯</t>
        </is>
      </c>
      <c r="E13" s="93" t="inlineStr">
        <is>
          <t>进口营多原味杯面日式杯面韩式杯面泡面方便面汤面宿舍速食夜宵</t>
        </is>
      </c>
      <c r="F13" s="102">
        <f>SUMIFS(数据源!AB:AB,数据源!B:B,C13,数据源!A:A,A9)</f>
        <v/>
      </c>
      <c r="G13" s="102">
        <f>SUMIFS(数据源!E:E,数据源!B:B,C13,数据源!A:A,A9)</f>
        <v/>
      </c>
      <c r="H13" s="126">
        <f>IFERROR(F13/SUMIF(数据源!A:A,A9,数据源!AB:AB),0)</f>
        <v/>
      </c>
    </row>
    <row r="14" ht="16.5" customHeight="1" s="65">
      <c r="A14" s="120" t="inlineStr">
        <is>
          <t>6.15-6.21</t>
        </is>
      </c>
      <c r="B14" s="121" t="n">
        <v>1</v>
      </c>
      <c r="C14" s="120" t="inlineStr">
        <is>
          <t>649361890551</t>
        </is>
      </c>
      <c r="D14" s="122" t="inlineStr">
        <is>
          <t>袋面次链接</t>
        </is>
      </c>
      <c r="E14" s="122" t="inlineStr">
        <is>
          <t>营多捞面印尼进口Indomie网红夜宵早餐方便面火鸡面泡面拌面</t>
        </is>
      </c>
      <c r="F14" s="123">
        <f>SUMIFS(数据源!AB:AB,数据源!B:B,C14,数据源!A:A,A14)</f>
        <v/>
      </c>
      <c r="G14" s="123">
        <f>SUMIFS(数据源!E:E,数据源!B:B,C14,数据源!A:A,A14)</f>
        <v/>
      </c>
      <c r="H14" s="124">
        <f>IFERROR(F14/SUMIF(数据源!A:A,A14,数据源!AB:AB),0)</f>
        <v/>
      </c>
    </row>
    <row r="15" ht="16.5" customHeight="1" s="65">
      <c r="A15" s="120" t="n"/>
      <c r="B15" s="120" t="n">
        <v>2</v>
      </c>
      <c r="C15" s="120" t="inlineStr">
        <is>
          <t>649735171438</t>
        </is>
      </c>
      <c r="D15" s="122" t="inlineStr">
        <is>
          <t>杯面主链接</t>
        </is>
      </c>
      <c r="E15" s="122" t="inlineStr">
        <is>
          <t>印尼进口indomie营多捞面杯面速食泡面干拌面盒桶装方便面火鸡面</t>
        </is>
      </c>
      <c r="F15" s="123">
        <f>SUMIFS(数据源!AB:AB,数据源!B:B,C15,数据源!A:A,A14)</f>
        <v/>
      </c>
      <c r="G15" s="123">
        <f>SUMIFS(数据源!E:E,数据源!B:B,C15,数据源!A:A,A14)</f>
        <v/>
      </c>
      <c r="H15" s="124">
        <f>IFERROR(F15/SUMIF(数据源!A:A,A14,数据源!AB:AB),0)</f>
        <v/>
      </c>
    </row>
    <row r="16" ht="16.5" customHeight="1" s="65">
      <c r="A16" s="120" t="n"/>
      <c r="B16" s="120" t="n">
        <v>3</v>
      </c>
      <c r="C16" s="120" t="inlineStr">
        <is>
          <t>668566625747</t>
        </is>
      </c>
      <c r="D16" s="122" t="inlineStr">
        <is>
          <t>袋面主链接</t>
        </is>
      </c>
      <c r="E16" s="122" t="inlineStr">
        <is>
          <t>印尼营多捞面进口网红泡面袋装方便面速食食品拉面火鸡面拌面整箱</t>
        </is>
      </c>
      <c r="F16" s="123">
        <f>SUMIFS(数据源!AB:AB,数据源!B:B,C16,数据源!A:A,A14)</f>
        <v/>
      </c>
      <c r="G16" s="123">
        <f>SUMIFS(数据源!E:E,数据源!B:B,C16,数据源!A:A,A14)</f>
        <v/>
      </c>
      <c r="H16" s="124">
        <f>IFERROR(F16/SUMIF(数据源!A:A,A14,数据源!AB:AB),0)</f>
        <v/>
      </c>
    </row>
    <row r="17" ht="16.5" customHeight="1" s="65">
      <c r="A17" s="120" t="n"/>
      <c r="B17" s="120" t="n">
        <v>4</v>
      </c>
      <c r="C17" s="120" t="inlineStr">
        <is>
          <t>929504658691</t>
        </is>
      </c>
      <c r="D17" s="122" t="inlineStr">
        <is>
          <t>日式袋面</t>
        </is>
      </c>
      <c r="E17" s="122" t="inlineStr">
        <is>
          <t>营多捞面日式鸡肉汤面原味辛辣味袋装泡面方便面速食宿舍夜宵食品</t>
        </is>
      </c>
      <c r="F17" s="123">
        <f>SUMIFS(数据源!AB:AB,数据源!B:B,C17,数据源!A:A,A14)</f>
        <v/>
      </c>
      <c r="G17" s="123">
        <f>SUMIFS(数据源!E:E,数据源!B:B,C17,数据源!A:A,A14)</f>
        <v/>
      </c>
      <c r="H17" s="124">
        <f>IFERROR(F17/SUMIF(数据源!A:A,A14,数据源!AB:AB),0)</f>
        <v/>
      </c>
    </row>
    <row r="18" ht="17.25" customHeight="1" s="65">
      <c r="A18" s="120" t="n"/>
      <c r="B18" s="120" t="n">
        <v>5</v>
      </c>
      <c r="C18" s="120" t="inlineStr">
        <is>
          <t>648600900806</t>
        </is>
      </c>
      <c r="D18" s="122" t="inlineStr">
        <is>
          <t>30包</t>
        </is>
      </c>
      <c r="E18" s="122" t="inlineStr">
        <is>
          <t>进口营多捞面一整箱30包网红速食方便面宿舍速食泡面干拌面拉面</t>
        </is>
      </c>
      <c r="F18" s="123">
        <f>SUMIFS(数据源!AB:AB,数据源!B:B,C18,数据源!A:A,A14)</f>
        <v/>
      </c>
      <c r="G18" s="123">
        <f>SUMIFS(数据源!E:E,数据源!B:B,C18,数据源!A:A,A14)</f>
        <v/>
      </c>
      <c r="H18" s="124">
        <f>IFERROR(F18/SUMIF(数据源!A:A,A14,数据源!AB:AB),0)</f>
        <v/>
      </c>
    </row>
    <row r="19" ht="16.5" customHeight="1" s="65">
      <c r="A19" s="101" t="inlineStr">
        <is>
          <t>6.22-6.28</t>
        </is>
      </c>
      <c r="B19" s="125" t="n">
        <v>1</v>
      </c>
      <c r="C19" s="101" t="inlineStr">
        <is>
          <t>649361890551</t>
        </is>
      </c>
      <c r="D19" s="93" t="inlineStr">
        <is>
          <t>袋面次链接</t>
        </is>
      </c>
      <c r="E19" s="93" t="inlineStr">
        <is>
          <t>营多捞面印尼进口Indomie网红夜宵早餐方便面火鸡面泡面拌面</t>
        </is>
      </c>
      <c r="F19" s="102">
        <f>SUMIFS(数据源!AB:AB,数据源!B:B,C19,数据源!A:A,A19)</f>
        <v/>
      </c>
      <c r="G19" s="102">
        <f>SUMIFS(数据源!E:E,数据源!B:B,C19,数据源!A:A,A19)</f>
        <v/>
      </c>
      <c r="H19" s="126">
        <f>IFERROR(F19/SUMIF(数据源!A:A,A19,数据源!AB:AB),0)</f>
        <v/>
      </c>
    </row>
    <row r="20" ht="16.5" customHeight="1" s="65">
      <c r="A20" s="101" t="n"/>
      <c r="B20" s="101" t="n">
        <v>2</v>
      </c>
      <c r="C20" s="101" t="inlineStr">
        <is>
          <t>668566625747</t>
        </is>
      </c>
      <c r="D20" s="93" t="inlineStr">
        <is>
          <t>袋面主链接</t>
        </is>
      </c>
      <c r="E20" s="93" t="inlineStr">
        <is>
          <t>印尼营多捞面进口网红泡面袋装方便面速食食品拉面火鸡面拌面整箱</t>
        </is>
      </c>
      <c r="F20" s="102">
        <f>SUMIFS(数据源!AB:AB,数据源!B:B,C20,数据源!A:A,A19)</f>
        <v/>
      </c>
      <c r="G20" s="102">
        <f>SUMIFS(数据源!E:E,数据源!B:B,C20,数据源!A:A,A19)</f>
        <v/>
      </c>
      <c r="H20" s="126">
        <f>IFERROR(F20/SUMIF(数据源!A:A,A19,数据源!AB:AB),0)</f>
        <v/>
      </c>
    </row>
    <row r="21" ht="16.5" customHeight="1" s="65">
      <c r="A21" s="101" t="n"/>
      <c r="B21" s="101" t="n">
        <v>3</v>
      </c>
      <c r="C21" s="101" t="inlineStr">
        <is>
          <t>649735171438</t>
        </is>
      </c>
      <c r="D21" s="93" t="inlineStr">
        <is>
          <t>杯面主链接</t>
        </is>
      </c>
      <c r="E21" s="93" t="inlineStr">
        <is>
          <t>印尼进口indomie营多捞面杯面速食泡面干拌面盒桶装方便面火鸡面</t>
        </is>
      </c>
      <c r="F21" s="102">
        <f>SUMIFS(数据源!AB:AB,数据源!B:B,C21,数据源!A:A,A19)</f>
        <v/>
      </c>
      <c r="G21" s="102">
        <f>SUMIFS(数据源!E:E,数据源!B:B,C21,数据源!A:A,A19)</f>
        <v/>
      </c>
      <c r="H21" s="126">
        <f>IFERROR(F21/SUMIF(数据源!A:A,A19,数据源!AB:AB),0)</f>
        <v/>
      </c>
    </row>
    <row r="22" ht="16.5" customHeight="1" s="65">
      <c r="A22" s="101" t="n"/>
      <c r="B22" s="101" t="n">
        <v>4</v>
      </c>
      <c r="C22" s="101" t="inlineStr">
        <is>
          <t>929504658691</t>
        </is>
      </c>
      <c r="D22" s="93" t="inlineStr">
        <is>
          <t>日韩袋面</t>
        </is>
      </c>
      <c r="E22" s="93" t="inlineStr">
        <is>
          <t>营多捞面日式鸡肉汤面原味辛辣味袋装泡面方便面速食宿舍夜宵食品</t>
        </is>
      </c>
      <c r="F22" s="102">
        <f>SUMIFS(数据源!AB:AB,数据源!B:B,C22,数据源!A:A,A19)</f>
        <v/>
      </c>
      <c r="G22" s="102">
        <f>SUMIFS(数据源!E:E,数据源!B:B,C22,数据源!A:A,A19)</f>
        <v/>
      </c>
      <c r="H22" s="126">
        <f>IFERROR(F22/SUMIF(数据源!A:A,A19,数据源!AB:AB),0)</f>
        <v/>
      </c>
    </row>
    <row r="23" ht="17.25" customHeight="1" s="65">
      <c r="A23" s="101" t="n"/>
      <c r="B23" s="101" t="n">
        <v>5</v>
      </c>
      <c r="C23" s="101" t="inlineStr">
        <is>
          <t>648600900806</t>
        </is>
      </c>
      <c r="D23" s="93" t="inlineStr">
        <is>
          <t>30包</t>
        </is>
      </c>
      <c r="E23" s="93" t="inlineStr">
        <is>
          <t>进口营多捞面一整箱30包网红速食方便面宿舍速食泡面干拌面拉面</t>
        </is>
      </c>
      <c r="F23" s="102">
        <f>SUMIFS(数据源!AB:AB,数据源!B:B,C23,数据源!A:A,A19)</f>
        <v/>
      </c>
      <c r="G23" s="102">
        <f>SUMIFS(数据源!E:E,数据源!B:B,C23,数据源!A:A,A19)</f>
        <v/>
      </c>
      <c r="H23" s="126">
        <f>IFERROR(F23/SUMIF(数据源!A:A,A19,数据源!AB:AB),0)</f>
        <v/>
      </c>
    </row>
    <row r="24" ht="16.5" customHeight="1" s="65">
      <c r="A24" s="120" t="inlineStr">
        <is>
          <t>6.29-7.5</t>
        </is>
      </c>
      <c r="B24" s="121" t="n">
        <v>1</v>
      </c>
      <c r="C24" s="120" t="inlineStr">
        <is>
          <t>649361890551</t>
        </is>
      </c>
      <c r="D24" s="122" t="inlineStr">
        <is>
          <t>袋面次链接</t>
        </is>
      </c>
      <c r="E24" s="122" t="inlineStr">
        <is>
          <t>营多捞面印尼进口Indomie网红夜宵早餐方便面火鸡面泡面拌面</t>
        </is>
      </c>
      <c r="F24" s="123">
        <f>SUMIFS(数据源!AB:AB,数据源!B:B,C24,数据源!A:A,A24)</f>
        <v/>
      </c>
      <c r="G24" s="123">
        <f>SUMIFS(数据源!E:E,数据源!B:B,C24,数据源!A:A,A24)</f>
        <v/>
      </c>
      <c r="H24" s="124">
        <f>IFERROR(F24/SUMIF(数据源!A:A,A24,数据源!AB:AB),0)</f>
        <v/>
      </c>
    </row>
    <row r="25" ht="16.5" customHeight="1" s="65">
      <c r="A25" s="120" t="n"/>
      <c r="B25" s="120" t="n">
        <v>2</v>
      </c>
      <c r="C25" s="120" t="inlineStr">
        <is>
          <t>649735171438</t>
        </is>
      </c>
      <c r="D25" s="122" t="inlineStr">
        <is>
          <t>杯面主链接</t>
        </is>
      </c>
      <c r="E25" s="122" t="inlineStr">
        <is>
          <t>印尼进口indomie营多捞面杯面速食泡面干拌面盒桶装方便面火鸡面</t>
        </is>
      </c>
      <c r="F25" s="123">
        <f>SUMIFS(数据源!AB:AB,数据源!B:B,C25,数据源!A:A,A24)</f>
        <v/>
      </c>
      <c r="G25" s="123">
        <f>SUMIFS(数据源!E:E,数据源!B:B,C25,数据源!A:A,A24)</f>
        <v/>
      </c>
      <c r="H25" s="124">
        <f>IFERROR(F25/SUMIF(数据源!A:A,A24,数据源!AB:AB),0)</f>
        <v/>
      </c>
    </row>
    <row r="26" ht="16.5" customHeight="1" s="65">
      <c r="A26" s="120" t="n"/>
      <c r="B26" s="120" t="n">
        <v>3</v>
      </c>
      <c r="C26" s="120" t="inlineStr">
        <is>
          <t>668566625747</t>
        </is>
      </c>
      <c r="D26" s="122" t="inlineStr">
        <is>
          <t>袋面主链接</t>
        </is>
      </c>
      <c r="E26" s="122" t="inlineStr">
        <is>
          <t>印尼营多捞面进口网红泡面袋装方便面速食食品拉面火鸡面拌面整箱</t>
        </is>
      </c>
      <c r="F26" s="123">
        <f>SUMIFS(数据源!AB:AB,数据源!B:B,C26,数据源!A:A,A24)</f>
        <v/>
      </c>
      <c r="G26" s="123">
        <f>SUMIFS(数据源!E:E,数据源!B:B,C26,数据源!A:A,A24)</f>
        <v/>
      </c>
      <c r="H26" s="124">
        <f>IFERROR(F26/SUMIF(数据源!A:A,A24,数据源!AB:AB),0)</f>
        <v/>
      </c>
    </row>
    <row r="27" ht="16.5" customHeight="1" s="65">
      <c r="A27" s="120" t="n"/>
      <c r="B27" s="120" t="n">
        <v>4</v>
      </c>
      <c r="C27" s="120" t="inlineStr">
        <is>
          <t>1057479227624</t>
        </is>
      </c>
      <c r="D27" s="122" t="inlineStr">
        <is>
          <t>巴东牛肉</t>
        </is>
      </c>
      <c r="E27" s="122" t="inlineStr">
        <is>
          <t>【新口味】印尼进口营多捞面巴东炖牛肉味泡面方便面宿舍速食宵夜</t>
        </is>
      </c>
      <c r="F27" s="123">
        <f>SUMIFS(数据源!AB:AB,数据源!B:B,C27,数据源!A:A,A24)</f>
        <v/>
      </c>
      <c r="G27" s="123">
        <f>SUMIFS(数据源!E:E,数据源!B:B,C27,数据源!A:A,A24)</f>
        <v/>
      </c>
      <c r="H27" s="124">
        <f>IFERROR(F27/SUMIF(数据源!A:A,A24,数据源!AB:AB),0)</f>
        <v/>
      </c>
    </row>
    <row r="28" ht="17.25" customHeight="1" s="65">
      <c r="A28" s="120" t="n"/>
      <c r="B28" s="120" t="n">
        <v>5</v>
      </c>
      <c r="C28" s="120" t="inlineStr">
        <is>
          <t>1059563993918</t>
        </is>
      </c>
      <c r="D28" s="122" t="inlineStr">
        <is>
          <t>巴东牛肉</t>
        </is>
      </c>
      <c r="E28" s="122" t="inlineStr">
        <is>
          <t>营多进口新口味巴东炖牛肉味捞面印尼料理方便面泡面捞面夜宵速食</t>
        </is>
      </c>
      <c r="F28" s="123">
        <f>SUMIFS(数据源!AB:AB,数据源!B:B,C28,数据源!A:A,A24)</f>
        <v/>
      </c>
      <c r="G28" s="123">
        <f>SUMIFS(数据源!E:E,数据源!B:B,C28,数据源!A:A,A24)</f>
        <v/>
      </c>
      <c r="H28" s="124">
        <f>IFERROR(F28/SUMIF(数据源!A:A,A24,数据源!AB:AB),0)</f>
        <v/>
      </c>
    </row>
    <row r="29" ht="16.5" customHeight="1" s="65">
      <c r="A29" s="103" t="inlineStr">
        <is>
          <t>7.6-7.12</t>
        </is>
      </c>
      <c r="B29" s="127" t="n">
        <v>1</v>
      </c>
      <c r="C29" s="103" t="inlineStr">
        <is>
          <t>649361890551</t>
        </is>
      </c>
      <c r="D29" s="128" t="inlineStr">
        <is>
          <t>袋面次链接</t>
        </is>
      </c>
      <c r="E29" s="128" t="inlineStr">
        <is>
          <t>营多捞面印尼进口Indomie网红夜宵早餐方便面火鸡面泡面拌面</t>
        </is>
      </c>
      <c r="F29" s="104">
        <f>SUMIFS(数据源!AB:AB,数据源!B:B,C29,数据源!A:A,A29)</f>
        <v/>
      </c>
      <c r="G29" s="104">
        <f>SUMIFS(数据源!E:E,数据源!B:B,C29,数据源!A:A,A29)</f>
        <v/>
      </c>
      <c r="H29" s="129">
        <f>IFERROR(F29/SUMIF(数据源!A:A,A29,数据源!AB:AB),0)</f>
        <v/>
      </c>
    </row>
    <row r="30" ht="16.5" customHeight="1" s="65">
      <c r="A30" s="103" t="n"/>
      <c r="B30" s="103" t="n">
        <v>2</v>
      </c>
      <c r="C30" s="103" t="inlineStr">
        <is>
          <t>649735171438</t>
        </is>
      </c>
      <c r="D30" s="128" t="inlineStr">
        <is>
          <t>杯面主链接</t>
        </is>
      </c>
      <c r="E30" s="128" t="inlineStr">
        <is>
          <t>印尼进口indomie营多捞面杯面速食泡面干拌面盒桶装方便面火鸡面</t>
        </is>
      </c>
      <c r="F30" s="104">
        <f>SUMIFS(数据源!AB:AB,数据源!B:B,C30,数据源!A:A,A29)</f>
        <v/>
      </c>
      <c r="G30" s="104">
        <f>SUMIFS(数据源!E:E,数据源!B:B,C30,数据源!A:A,A29)</f>
        <v/>
      </c>
      <c r="H30" s="129">
        <f>IFERROR(F30/SUMIF(数据源!A:A,A29,数据源!AB:AB),0)</f>
        <v/>
      </c>
    </row>
    <row r="31" ht="16.5" customHeight="1" s="65">
      <c r="A31" s="103" t="n"/>
      <c r="B31" s="103" t="n">
        <v>3</v>
      </c>
      <c r="C31" s="103" t="inlineStr">
        <is>
          <t>668566625747</t>
        </is>
      </c>
      <c r="D31" s="128" t="inlineStr">
        <is>
          <t>袋面主链接</t>
        </is>
      </c>
      <c r="E31" s="128" t="inlineStr">
        <is>
          <t>印尼营多捞面进口网红泡面袋装方便面速食食品拉面火鸡面拌面整箱</t>
        </is>
      </c>
      <c r="F31" s="104">
        <f>SUMIFS(数据源!AB:AB,数据源!B:B,C31,数据源!A:A,A29)</f>
        <v/>
      </c>
      <c r="G31" s="104">
        <f>SUMIFS(数据源!E:E,数据源!B:B,C31,数据源!A:A,A29)</f>
        <v/>
      </c>
      <c r="H31" s="129">
        <f>IFERROR(F31/SUMIF(数据源!A:A,A29,数据源!AB:AB),0)</f>
        <v/>
      </c>
    </row>
    <row r="32" ht="16.5" customHeight="1" s="65">
      <c r="A32" s="103" t="n"/>
      <c r="B32" s="103" t="n">
        <v>4</v>
      </c>
      <c r="C32" s="103" t="inlineStr">
        <is>
          <t>1057479227624</t>
        </is>
      </c>
      <c r="D32" s="128" t="inlineStr">
        <is>
          <t>巴东牛肉</t>
        </is>
      </c>
      <c r="E32" s="128" t="inlineStr">
        <is>
          <t>【新口味】印尼进口营多捞面巴东炖牛肉味泡面方便面宿舍速食宵夜</t>
        </is>
      </c>
      <c r="F32" s="104">
        <f>SUMIFS(数据源!AB:AB,数据源!B:B,C32,数据源!A:A,A29)</f>
        <v/>
      </c>
      <c r="G32" s="104">
        <f>SUMIFS(数据源!E:E,数据源!B:B,C32,数据源!A:A,A29)</f>
        <v/>
      </c>
      <c r="H32" s="129">
        <f>IFERROR(F32/SUMIF(数据源!A:A,A29,数据源!AB:AB),0)</f>
        <v/>
      </c>
    </row>
    <row r="33" ht="17.25" customHeight="1" s="65">
      <c r="A33" s="103" t="n"/>
      <c r="B33" s="103" t="n">
        <v>5</v>
      </c>
      <c r="C33" s="103" t="inlineStr">
        <is>
          <t>648681860568</t>
        </is>
      </c>
      <c r="D33" s="128" t="inlineStr">
        <is>
          <t>杯面次链接</t>
        </is>
      </c>
      <c r="E33" s="128" t="inlineStr">
        <is>
          <t>营多捞面杯装方便面泡面速食干拌面原味整箱批发印尼进口桶装拌面</t>
        </is>
      </c>
      <c r="F33" s="104">
        <f>SUMIFS(数据源!AB:AB,数据源!B:B,C33,数据源!A:A,A29)</f>
        <v/>
      </c>
      <c r="G33" s="104">
        <f>SUMIFS(数据源!E:E,数据源!B:B,C33,数据源!A:A,A29)</f>
        <v/>
      </c>
      <c r="H33" s="129">
        <f>IFERROR(F33/SUMIF(数据源!A:A,A29,数据源!AB:AB),0)</f>
        <v/>
      </c>
    </row>
    <row r="34" ht="16.5" customHeight="1" s="65">
      <c r="A34" s="130" t="inlineStr">
        <is>
          <t>7.13-7.19</t>
        </is>
      </c>
      <c r="B34" s="131" t="n">
        <v>1</v>
      </c>
      <c r="C34" s="130" t="inlineStr">
        <is>
          <t>668566625747</t>
        </is>
      </c>
      <c r="D34" s="132" t="inlineStr">
        <is>
          <t>袋面主链接</t>
        </is>
      </c>
      <c r="E34" s="132" t="inlineStr">
        <is>
          <t>印尼营多捞面进口网红泡面袋装方便面速食食品拉面火鸡面拌面整箱</t>
        </is>
      </c>
      <c r="F34" s="133">
        <f>SUMIFS(数据源!AB:AB,数据源!B:B,C34,数据源!A:A,A34)</f>
        <v/>
      </c>
      <c r="G34" s="133">
        <f>SUMIFS(数据源!E:E,数据源!B:B,C34,数据源!A:A,A34)</f>
        <v/>
      </c>
      <c r="H34" s="134">
        <f>IFERROR(F34/SUMIF(数据源!A:A,A34,数据源!AB:AB),0)</f>
        <v/>
      </c>
    </row>
    <row r="35" ht="16.5" customHeight="1" s="65">
      <c r="A35" s="130" t="n"/>
      <c r="B35" s="130" t="n">
        <v>2</v>
      </c>
      <c r="C35" s="130" t="inlineStr">
        <is>
          <t>649361890551</t>
        </is>
      </c>
      <c r="D35" s="132" t="inlineStr">
        <is>
          <t>袋面次链接</t>
        </is>
      </c>
      <c r="E35" s="132" t="inlineStr">
        <is>
          <t>营多捞面印尼进口Indomie网红夜宵早餐方便面火鸡面泡面拌面</t>
        </is>
      </c>
      <c r="F35" s="133">
        <f>SUMIFS(数据源!AB:AB,数据源!B:B,C35,数据源!A:A,A34)</f>
        <v/>
      </c>
      <c r="G35" s="133">
        <f>SUMIFS(数据源!E:E,数据源!B:B,C35,数据源!A:A,A34)</f>
        <v/>
      </c>
      <c r="H35" s="134">
        <f>IFERROR(F35/SUMIF(数据源!A:A,A34,数据源!AB:AB),0)</f>
        <v/>
      </c>
    </row>
    <row r="36" ht="16.5" customHeight="1" s="65">
      <c r="A36" s="130" t="n"/>
      <c r="B36" s="130" t="n">
        <v>3</v>
      </c>
      <c r="C36" s="130" t="inlineStr">
        <is>
          <t>649735171438</t>
        </is>
      </c>
      <c r="D36" s="132" t="inlineStr">
        <is>
          <t>杯面主链接</t>
        </is>
      </c>
      <c r="E36" s="132" t="inlineStr">
        <is>
          <t>印尼进口indomie营多捞面杯面速食泡面干拌面盒桶装方便面火鸡面</t>
        </is>
      </c>
      <c r="F36" s="133">
        <f>SUMIFS(数据源!AB:AB,数据源!B:B,C36,数据源!A:A,A34)</f>
        <v/>
      </c>
      <c r="G36" s="133">
        <f>SUMIFS(数据源!E:E,数据源!B:B,C36,数据源!A:A,A34)</f>
        <v/>
      </c>
      <c r="H36" s="134">
        <f>IFERROR(F36/SUMIF(数据源!A:A,A34,数据源!AB:AB),0)</f>
        <v/>
      </c>
    </row>
    <row r="37" ht="16.5" customHeight="1" s="65">
      <c r="A37" s="130" t="n"/>
      <c r="B37" s="130" t="n">
        <v>4</v>
      </c>
      <c r="C37" s="130" t="inlineStr">
        <is>
          <t>1057479227624</t>
        </is>
      </c>
      <c r="D37" s="132" t="inlineStr">
        <is>
          <t>巴东牛肉</t>
        </is>
      </c>
      <c r="E37" s="132" t="inlineStr">
        <is>
          <t>【新口味】印尼进口营多捞面巴东炖牛肉味泡面方便面宿舍速食宵夜</t>
        </is>
      </c>
      <c r="F37" s="133">
        <f>SUMIFS(数据源!AB:AB,数据源!B:B,C37,数据源!A:A,A34)</f>
        <v/>
      </c>
      <c r="G37" s="133">
        <f>SUMIFS(数据源!E:E,数据源!B:B,C37,数据源!A:A,A34)</f>
        <v/>
      </c>
      <c r="H37" s="134">
        <f>IFERROR(F37/SUMIF(数据源!A:A,A34,数据源!AB:AB),0)</f>
        <v/>
      </c>
    </row>
    <row r="38" ht="17.25" customHeight="1" s="65">
      <c r="A38" s="130" t="n"/>
      <c r="B38" s="130" t="n">
        <v>5</v>
      </c>
      <c r="C38" s="130" t="inlineStr">
        <is>
          <t>648600900806</t>
        </is>
      </c>
      <c r="D38" s="132" t="inlineStr">
        <is>
          <t>30包</t>
        </is>
      </c>
      <c r="E38" s="132" t="inlineStr">
        <is>
          <t>进口营多捞面一整箱30包网红速食方便面宿舍速食泡面干拌面拉面</t>
        </is>
      </c>
      <c r="F38" s="133">
        <f>SUMIFS(数据源!AB:AB,数据源!B:B,C38,数据源!A:A,A34)</f>
        <v/>
      </c>
      <c r="G38" s="133">
        <f>SUMIFS(数据源!E:E,数据源!B:B,C38,数据源!A:A,A34)</f>
        <v/>
      </c>
      <c r="H38" s="134">
        <f>IFERROR(F38/SUMIF(数据源!A:A,A34,数据源!AB:AB),0)</f>
        <v/>
      </c>
    </row>
    <row r="39" ht="16.5" customHeight="1" s="65">
      <c r="A39" s="130" t="inlineStr">
        <is>
          <t>7.20-7.26</t>
        </is>
      </c>
      <c r="B39" s="131" t="n">
        <v>1</v>
      </c>
      <c r="C39" s="130" t="inlineStr">
        <is>
          <t>649361890551</t>
        </is>
      </c>
      <c r="D39" s="132" t="inlineStr">
        <is>
          <t>袋面次链接</t>
        </is>
      </c>
      <c r="E39" s="132" t="inlineStr">
        <is>
          <t>营多捞面印尼进口Indomie网红夜宵早餐方便面火鸡面泡面拌面</t>
        </is>
      </c>
      <c r="F39" s="133">
        <f>SUMIFS(数据源!AB:AB,数据源!B:B,C39,数据源!A:A,A39)</f>
        <v/>
      </c>
      <c r="G39" s="133">
        <f>SUMIFS(数据源!E:E,数据源!B:B,C39,数据源!A:A,A39)</f>
        <v/>
      </c>
      <c r="H39" s="134">
        <f>IFERROR(F39/SUMIF(数据源!A:A,A39,数据源!AB:AB),0)</f>
        <v/>
      </c>
    </row>
    <row r="40" ht="16.5" customHeight="1" s="65">
      <c r="A40" s="130" t="n"/>
      <c r="B40" s="130" t="n">
        <v>2</v>
      </c>
      <c r="C40" s="130" t="inlineStr">
        <is>
          <t>668566625747</t>
        </is>
      </c>
      <c r="D40" s="132" t="inlineStr">
        <is>
          <t>袋面主链接</t>
        </is>
      </c>
      <c r="E40" s="132" t="inlineStr">
        <is>
          <t>印尼营多捞面进口网红泡面袋装方便面速食食品拉面火鸡面拌面整箱</t>
        </is>
      </c>
      <c r="F40" s="133">
        <f>SUMIFS(数据源!AB:AB,数据源!B:B,C40,数据源!A:A,A39)</f>
        <v/>
      </c>
      <c r="G40" s="133">
        <f>SUMIFS(数据源!E:E,数据源!B:B,C40,数据源!A:A,A39)</f>
        <v/>
      </c>
      <c r="H40" s="134">
        <f>IFERROR(F40/SUMIF(数据源!A:A,A39,数据源!AB:AB),0)</f>
        <v/>
      </c>
    </row>
    <row r="41" ht="16.5" customHeight="1" s="65">
      <c r="A41" s="130" t="n"/>
      <c r="B41" s="130" t="n">
        <v>3</v>
      </c>
      <c r="C41" s="130" t="inlineStr">
        <is>
          <t>649735171438</t>
        </is>
      </c>
      <c r="D41" s="132" t="inlineStr">
        <is>
          <t>杯面主链接</t>
        </is>
      </c>
      <c r="E41" s="132" t="inlineStr">
        <is>
          <t>印尼进口indomie营多捞面杯面速食泡面干拌面盒桶装方便面火鸡面</t>
        </is>
      </c>
      <c r="F41" s="133">
        <f>SUMIFS(数据源!AB:AB,数据源!B:B,C41,数据源!A:A,A39)</f>
        <v/>
      </c>
      <c r="G41" s="133">
        <f>SUMIFS(数据源!E:E,数据源!B:B,C41,数据源!A:A,A39)</f>
        <v/>
      </c>
      <c r="H41" s="134">
        <f>IFERROR(F41/SUMIF(数据源!A:A,A39,数据源!AB:AB),0)</f>
        <v/>
      </c>
    </row>
    <row r="42" ht="16.5" customHeight="1" s="65">
      <c r="A42" s="130" t="n"/>
      <c r="B42" s="130" t="n">
        <v>4</v>
      </c>
      <c r="C42" s="130" t="inlineStr">
        <is>
          <t>1057479227624</t>
        </is>
      </c>
      <c r="D42" s="132" t="inlineStr">
        <is>
          <t>巴东牛肉</t>
        </is>
      </c>
      <c r="E42" s="132" t="inlineStr">
        <is>
          <t>【新口味】印尼进口营多捞面巴东炖牛肉味泡面方便面宿舍速食宵夜</t>
        </is>
      </c>
      <c r="F42" s="133">
        <f>SUMIFS(数据源!AB:AB,数据源!B:B,C42,数据源!A:A,A39)</f>
        <v/>
      </c>
      <c r="G42" s="133">
        <f>SUMIFS(数据源!E:E,数据源!B:B,C42,数据源!A:A,A39)</f>
        <v/>
      </c>
      <c r="H42" s="134">
        <f>IFERROR(F42/SUMIF(数据源!A:A,A39,数据源!AB:AB),0)</f>
        <v/>
      </c>
    </row>
    <row r="43" ht="17.25" customHeight="1" s="65">
      <c r="A43" s="130" t="n"/>
      <c r="B43" s="130" t="n">
        <v>5</v>
      </c>
      <c r="C43" s="130" t="inlineStr">
        <is>
          <t>648600900806</t>
        </is>
      </c>
      <c r="D43" s="132" t="inlineStr">
        <is>
          <t>30包</t>
        </is>
      </c>
      <c r="E43" s="132" t="inlineStr">
        <is>
          <t>进口营多捞面一整箱30包网红速食方便面宿舍速食泡面干拌面拉面</t>
        </is>
      </c>
      <c r="F43" s="133">
        <f>SUMIFS(数据源!AB:AB,数据源!B:B,C43,数据源!A:A,A39)</f>
        <v/>
      </c>
      <c r="G43" s="133">
        <f>SUMIFS(数据源!E:E,数据源!B:B,C43,数据源!A:A,A39)</f>
        <v/>
      </c>
      <c r="H43" s="134">
        <f>IFERROR(F43/SUMIF(数据源!A:A,A39,数据源!AB:AB),0)</f>
        <v/>
      </c>
    </row>
    <row r="44" ht="16.5" customHeight="1" s="65">
      <c r="A44" s="120" t="inlineStr">
        <is>
          <t>7.27-8.2</t>
        </is>
      </c>
      <c r="B44" s="121" t="n">
        <v>1</v>
      </c>
      <c r="C44" s="120" t="inlineStr">
        <is>
          <t>649361890551</t>
        </is>
      </c>
      <c r="D44" s="122" t="inlineStr">
        <is>
          <t>袋面次链接</t>
        </is>
      </c>
      <c r="E44" s="122" t="inlineStr">
        <is>
          <t>营多捞面印尼进口Indomie网红夜宵早餐方便面火鸡面泡面拌面</t>
        </is>
      </c>
      <c r="F44" s="123">
        <f>SUMIFS(数据源!AB:AB,数据源!B:B,C44,数据源!A:A,A44)</f>
        <v/>
      </c>
      <c r="G44" s="123">
        <f>SUMIFS(数据源!E:E,数据源!B:B,C44,数据源!A:A,A44)</f>
        <v/>
      </c>
      <c r="H44" s="124">
        <f>IFERROR(F44/SUMIF(数据源!A:A,A44,数据源!AB:AB),0)</f>
        <v/>
      </c>
    </row>
    <row r="45" ht="16.5" customHeight="1" s="65">
      <c r="A45" s="120" t="n"/>
      <c r="B45" s="120" t="n">
        <v>2</v>
      </c>
      <c r="C45" s="120" t="inlineStr">
        <is>
          <t>649735171438</t>
        </is>
      </c>
      <c r="D45" s="122" t="inlineStr">
        <is>
          <t>杯面主链接</t>
        </is>
      </c>
      <c r="E45" s="122" t="inlineStr">
        <is>
          <t>印尼进口indomie营多捞面杯面速食泡面干拌面盒桶装方便面火鸡面</t>
        </is>
      </c>
      <c r="F45" s="123">
        <f>SUMIFS(数据源!AB:AB,数据源!B:B,C45,数据源!A:A,A44)</f>
        <v/>
      </c>
      <c r="G45" s="123">
        <f>SUMIFS(数据源!E:E,数据源!B:B,C45,数据源!A:A,A44)</f>
        <v/>
      </c>
      <c r="H45" s="124">
        <f>IFERROR(F45/SUMIF(数据源!A:A,A44,数据源!AB:AB),0)</f>
        <v/>
      </c>
    </row>
    <row r="46" ht="16.5" customHeight="1" s="65">
      <c r="A46" s="120" t="n"/>
      <c r="B46" s="120" t="n">
        <v>3</v>
      </c>
      <c r="C46" s="120" t="inlineStr">
        <is>
          <t>668566625747</t>
        </is>
      </c>
      <c r="D46" s="122" t="inlineStr">
        <is>
          <t>袋面主链接</t>
        </is>
      </c>
      <c r="E46" s="122" t="inlineStr">
        <is>
          <t>印尼营多捞面进口网红泡面袋装方便面速食食品拉面火鸡面拌面整箱</t>
        </is>
      </c>
      <c r="F46" s="123">
        <f>SUMIFS(数据源!AB:AB,数据源!B:B,C46,数据源!A:A,A44)</f>
        <v/>
      </c>
      <c r="G46" s="123">
        <f>SUMIFS(数据源!E:E,数据源!B:B,C46,数据源!A:A,A44)</f>
        <v/>
      </c>
      <c r="H46" s="124">
        <f>IFERROR(F46/SUMIF(数据源!A:A,A44,数据源!AB:AB),0)</f>
        <v/>
      </c>
    </row>
    <row r="47" ht="16.5" customHeight="1" s="65">
      <c r="A47" s="120" t="n"/>
      <c r="B47" s="120" t="n">
        <v>4</v>
      </c>
      <c r="C47" s="120" t="inlineStr">
        <is>
          <t>1057479227624</t>
        </is>
      </c>
      <c r="D47" s="122" t="inlineStr">
        <is>
          <t>巴东牛肉</t>
        </is>
      </c>
      <c r="E47" s="122" t="inlineStr">
        <is>
          <t>【新口味】印尼进口营多捞面巴东炖牛肉味泡面方便面宿舍速食宵夜</t>
        </is>
      </c>
      <c r="F47" s="123">
        <f>SUMIFS(数据源!AB:AB,数据源!B:B,C47,数据源!A:A,A44)</f>
        <v/>
      </c>
      <c r="G47" s="123">
        <f>SUMIFS(数据源!E:E,数据源!B:B,C47,数据源!A:A,A44)</f>
        <v/>
      </c>
      <c r="H47" s="124">
        <f>IFERROR(F47/SUMIF(数据源!A:A,A44,数据源!AB:AB),0)</f>
        <v/>
      </c>
    </row>
    <row r="48" ht="17.25" customHeight="1" s="65">
      <c r="A48" s="120" t="n"/>
      <c r="B48" s="120" t="n">
        <v>5</v>
      </c>
      <c r="C48" s="120" t="inlineStr">
        <is>
          <t>648600900806</t>
        </is>
      </c>
      <c r="D48" s="122" t="inlineStr">
        <is>
          <t>30包</t>
        </is>
      </c>
      <c r="E48" s="122" t="inlineStr">
        <is>
          <t>进口营多捞面一整箱30包网红速食方便面宿舍速食泡面干拌面拉面</t>
        </is>
      </c>
      <c r="F48" s="123">
        <f>SUMIFS(数据源!AB:AB,数据源!B:B,C48,数据源!A:A,A44)</f>
        <v/>
      </c>
      <c r="G48" s="123">
        <f>SUMIFS(数据源!E:E,数据源!B:B,C48,数据源!A:A,A44)</f>
        <v/>
      </c>
      <c r="H48" s="124">
        <f>IFERROR(F48/SUMIF(数据源!A:A,A44,数据源!AB:AB),0)</f>
        <v/>
      </c>
    </row>
  </sheetData>
  <autoFilter ref="A3:H48"/>
  <mergeCells count="2">
    <mergeCell ref="A2:H2"/>
    <mergeCell ref="A1:H1"/>
  </mergeCells>
  <conditionalFormatting sqref="F4:F48">
    <cfRule type="cellIs" priority="1" operator="lessThan" dxfId="12">
      <formula>0</formula>
    </cfRule>
  </conditionalFormatting>
  <pageMargins left="0.75" right="0.75" top="1" bottom="1" header="0.5" footer="0.5"/>
</worksheet>
</file>

<file path=xl/worksheets/sheet5.xml><?xml version="1.0" encoding="utf-8"?>
<worksheet xmlns="http://schemas.openxmlformats.org/spreadsheetml/2006/main">
  <sheetPr>
    <tabColor rgb="001B6B4A"/>
    <outlinePr summaryBelow="1" summaryRight="1"/>
    <pageSetUpPr/>
  </sheetPr>
  <dimension ref="A1:H28"/>
  <sheetViews>
    <sheetView tabSelected="1" workbookViewId="0">
      <pane ySplit="5" topLeftCell="A6" activePane="bottomLeft" state="frozen"/>
      <selection pane="bottomLeft" activeCell="A1" sqref="A1"/>
      <selection pane="bottomLeft" activeCell="H12" sqref="H12"/>
    </sheetView>
  </sheetViews>
  <sheetFormatPr baseColWidth="8" defaultColWidth="9" defaultRowHeight="13.5"/>
  <cols>
    <col width="12" customWidth="1" style="65" min="1" max="1"/>
    <col width="16" customWidth="1" style="65" min="2" max="2"/>
    <col width="12" customWidth="1" style="65" min="3" max="3"/>
    <col width="36" customWidth="1" style="65" min="4" max="4"/>
    <col width="12" customWidth="1" style="65" min="5" max="5"/>
    <col width="12" customWidth="1" style="65" min="6" max="7"/>
    <col width="12" customWidth="1" style="65" min="7" max="7"/>
    <col width="12" customWidth="1" style="65" min="8" max="8"/>
  </cols>
  <sheetData>
    <row r="1" ht="30" customHeight="1" s="65">
      <c r="A1" s="82" t="inlineStr">
        <is>
          <t>原味大大包专题</t>
        </is>
      </c>
      <c r="B1" s="82" t="n"/>
      <c r="C1" s="82" t="n"/>
      <c r="D1" s="82" t="n"/>
      <c r="E1" s="82" t="n"/>
      <c r="F1" s="82" t="n"/>
      <c r="G1" s="82" t="n"/>
      <c r="H1" s="82" t="n"/>
    </row>
    <row r="2" ht="22" customHeight="1" s="65">
      <c r="A2" s="83" t="inlineStr">
        <is>
          <t>按数据源当周定位=原味大包；已与修订标签对齐。改回15包/杯面次的ID不再计入。</t>
        </is>
      </c>
      <c r="B2" s="83" t="n"/>
      <c r="C2" s="83" t="n"/>
      <c r="D2" s="83" t="n"/>
      <c r="E2" s="83" t="n"/>
      <c r="F2" s="83" t="n"/>
      <c r="G2" s="83" t="n"/>
      <c r="H2" s="83" t="n"/>
    </row>
    <row r="3" ht="18" customHeight="1" s="65"/>
    <row r="4" ht="24" customHeight="1" s="65">
      <c r="A4" s="84" t="inlineStr">
        <is>
          <t>汇总按周</t>
        </is>
      </c>
      <c r="B4" s="84" t="n"/>
      <c r="C4" s="84" t="n"/>
      <c r="D4" s="84" t="n"/>
      <c r="E4" s="84" t="n"/>
      <c r="F4" s="84" t="n"/>
      <c r="G4" s="84" t="n"/>
      <c r="H4" s="84" t="n"/>
    </row>
    <row r="5" ht="24" customHeight="1" s="65">
      <c r="A5" s="87" t="inlineStr">
        <is>
          <t>周次</t>
        </is>
      </c>
      <c r="B5" s="87" t="inlineStr">
        <is>
          <t>成交金额</t>
        </is>
      </c>
      <c r="C5" s="87" t="inlineStr">
        <is>
          <t>推广前净利润</t>
        </is>
      </c>
      <c r="D5" s="87" t="inlineStr">
        <is>
          <t>推广花费</t>
        </is>
      </c>
      <c r="E5" s="87" t="inlineStr">
        <is>
          <t>其他费用</t>
        </is>
      </c>
      <c r="F5" s="87" t="inlineStr">
        <is>
          <t>推广后净利润</t>
        </is>
      </c>
      <c r="G5" s="87" t="inlineStr">
        <is>
          <t>推广侵蚀</t>
        </is>
      </c>
      <c r="H5" s="87" t="inlineStr">
        <is>
          <t>链接数</t>
        </is>
      </c>
    </row>
    <row r="6" ht="16.5" customHeight="1" s="65">
      <c r="A6" s="99" t="inlineStr">
        <is>
          <t>6.22-6.28</t>
        </is>
      </c>
      <c r="B6" s="100">
        <f>SUMIFS(数据源!E:E,数据源!A:A,A6,数据源!C:C,"原味大包")</f>
        <v/>
      </c>
      <c r="C6" s="100">
        <f>SUMIFS(数据源!X:X,数据源!A:A,A6,数据源!C:C,"原味大包")</f>
        <v/>
      </c>
      <c r="D6" s="100">
        <f>SUMIFS(数据源!P:P,数据源!A:A,A6,数据源!C:C,"原味大包")</f>
        <v/>
      </c>
      <c r="E6" s="100">
        <f>SUMIFS(数据源!W:W,数据源!A:A,A6,数据源!C:C,"原味大包")</f>
        <v/>
      </c>
      <c r="F6" s="100">
        <f>SUMIFS(数据源!AB:AB,数据源!A:A,A6,数据源!C:C,"原味大包")</f>
        <v/>
      </c>
      <c r="G6" s="100">
        <f>C6-F6</f>
        <v/>
      </c>
      <c r="H6" s="99">
        <f>COUNTIFS(数据源!A:A,A6,数据源!C:C,"原味大包")</f>
        <v/>
      </c>
    </row>
    <row r="7" ht="16.5" customHeight="1" s="65">
      <c r="A7" s="101" t="inlineStr">
        <is>
          <t>6.29-7.5</t>
        </is>
      </c>
      <c r="B7" s="102">
        <f>SUMIFS(数据源!E:E,数据源!A:A,A7,数据源!C:C,"原味大包")</f>
        <v/>
      </c>
      <c r="C7" s="102">
        <f>SUMIFS(数据源!X:X,数据源!A:A,A7,数据源!C:C,"原味大包")</f>
        <v/>
      </c>
      <c r="D7" s="102">
        <f>SUMIFS(数据源!P:P,数据源!A:A,A7,数据源!C:C,"原味大包")</f>
        <v/>
      </c>
      <c r="E7" s="102">
        <f>SUMIFS(数据源!W:W,数据源!A:A,A7,数据源!C:C,"原味大包")</f>
        <v/>
      </c>
      <c r="F7" s="102">
        <f>SUMIFS(数据源!AB:AB,数据源!A:A,A7,数据源!C:C,"原味大包")</f>
        <v/>
      </c>
      <c r="G7" s="102">
        <f>C7-F7</f>
        <v/>
      </c>
      <c r="H7" s="101">
        <f>COUNTIFS(数据源!A:A,A7,数据源!C:C,"原味大包")</f>
        <v/>
      </c>
    </row>
    <row r="8" ht="16.5" customHeight="1" s="65">
      <c r="A8" s="99" t="inlineStr">
        <is>
          <t>7.6-7.12</t>
        </is>
      </c>
      <c r="B8" s="100">
        <f>SUMIFS(数据源!E:E,数据源!A:A,A8,数据源!C:C,"原味大包")</f>
        <v/>
      </c>
      <c r="C8" s="100">
        <f>SUMIFS(数据源!X:X,数据源!A:A,A8,数据源!C:C,"原味大包")</f>
        <v/>
      </c>
      <c r="D8" s="100">
        <f>SUMIFS(数据源!P:P,数据源!A:A,A8,数据源!C:C,"原味大包")</f>
        <v/>
      </c>
      <c r="E8" s="100">
        <f>SUMIFS(数据源!W:W,数据源!A:A,A8,数据源!C:C,"原味大包")</f>
        <v/>
      </c>
      <c r="F8" s="100">
        <f>SUMIFS(数据源!AB:AB,数据源!A:A,A8,数据源!C:C,"原味大包")</f>
        <v/>
      </c>
      <c r="G8" s="100">
        <f>C8-F8</f>
        <v/>
      </c>
      <c r="H8" s="99">
        <f>COUNTIFS(数据源!A:A,A8,数据源!C:C,"原味大包")</f>
        <v/>
      </c>
    </row>
    <row r="9" ht="16.5" customHeight="1" s="65">
      <c r="A9" s="101" t="inlineStr">
        <is>
          <t>7.13-7.19</t>
        </is>
      </c>
      <c r="B9" s="102">
        <f>SUMIFS(数据源!E:E,数据源!A:A,A9,数据源!C:C,"原味大包")</f>
        <v/>
      </c>
      <c r="C9" s="102">
        <f>SUMIFS(数据源!X:X,数据源!A:A,A9,数据源!C:C,"原味大包")</f>
        <v/>
      </c>
      <c r="D9" s="102">
        <f>SUMIFS(数据源!P:P,数据源!A:A,A9,数据源!C:C,"原味大包")</f>
        <v/>
      </c>
      <c r="E9" s="102">
        <f>SUMIFS(数据源!W:W,数据源!A:A,A9,数据源!C:C,"原味大包")</f>
        <v/>
      </c>
      <c r="F9" s="102">
        <f>SUMIFS(数据源!AB:AB,数据源!A:A,A9,数据源!C:C,"原味大包")</f>
        <v/>
      </c>
      <c r="G9" s="102">
        <f>C9-F9</f>
        <v/>
      </c>
      <c r="H9" s="101">
        <f>COUNTIFS(数据源!A:A,A9,数据源!C:C,"原味大包")</f>
        <v/>
      </c>
    </row>
    <row r="10">
      <c r="A10" s="99" t="inlineStr">
        <is>
          <t>7.20-7.26</t>
        </is>
      </c>
      <c r="B10" s="100">
        <f>SUMIFS(数据源!E:E,数据源!A:A,A10,数据源!C:C,"原味大包")</f>
        <v/>
      </c>
      <c r="C10" s="100">
        <f>SUMIFS(数据源!X:X,数据源!A:A,A10,数据源!C:C,"原味大包")</f>
        <v/>
      </c>
      <c r="D10" s="100">
        <f>SUMIFS(数据源!P:P,数据源!A:A,A10,数据源!C:C,"原味大包")</f>
        <v/>
      </c>
      <c r="E10" s="100">
        <f>SUMIFS(数据源!W:W,数据源!A:A,A10,数据源!C:C,"原味大包")</f>
        <v/>
      </c>
      <c r="F10" s="100">
        <f>SUMIFS(数据源!AB:AB,数据源!A:A,A10,数据源!C:C,"原味大包")</f>
        <v/>
      </c>
      <c r="G10" s="100">
        <f>C10-F10</f>
        <v/>
      </c>
      <c r="H10" s="99">
        <f>COUNTIFS(数据源!A:A,A10,数据源!C:C,"原味大包")</f>
        <v/>
      </c>
    </row>
    <row r="11">
      <c r="A11" s="101" t="inlineStr">
        <is>
          <t>7.27-8.2</t>
        </is>
      </c>
      <c r="B11" s="102">
        <f>SUMIFS(数据源!E:E,数据源!A:A,A11,数据源!C:C,"原味大包")</f>
        <v/>
      </c>
      <c r="C11" s="102">
        <f>SUMIFS(数据源!X:X,数据源!A:A,A11,数据源!C:C,"原味大包")</f>
        <v/>
      </c>
      <c r="D11" s="102">
        <f>SUMIFS(数据源!P:P,数据源!A:A,A11,数据源!C:C,"原味大包")</f>
        <v/>
      </c>
      <c r="E11" s="102">
        <f>SUMIFS(数据源!W:W,数据源!A:A,A11,数据源!C:C,"原味大包")</f>
        <v/>
      </c>
      <c r="F11" s="102">
        <f>SUMIFS(数据源!AB:AB,数据源!A:A,A11,数据源!C:C,"原味大包")</f>
        <v/>
      </c>
      <c r="G11" s="102">
        <f>C11-F11</f>
        <v/>
      </c>
      <c r="H11" s="101">
        <f>COUNTIFS(数据源!A:A,A11,数据源!C:C,"原味大包")</f>
        <v/>
      </c>
    </row>
    <row r="14" ht="24" customHeight="1" s="65">
      <c r="A14" s="84" t="inlineStr">
        <is>
          <t>明细 ID × 周</t>
        </is>
      </c>
      <c r="B14" s="84" t="n"/>
      <c r="C14" s="84" t="n"/>
      <c r="D14" s="84" t="n"/>
      <c r="E14" s="84" t="n"/>
      <c r="F14" s="84" t="n"/>
      <c r="G14" s="84" t="n"/>
      <c r="H14" s="84" t="n"/>
    </row>
    <row r="15" ht="24" customHeight="1" s="65">
      <c r="A15" s="87" t="inlineStr">
        <is>
          <t>周次</t>
        </is>
      </c>
      <c r="B15" s="87" t="inlineStr">
        <is>
          <t>商品ID</t>
        </is>
      </c>
      <c r="C15" s="87" t="inlineStr">
        <is>
          <t>定位</t>
        </is>
      </c>
      <c r="D15" s="87" t="inlineStr">
        <is>
          <t>商品名称</t>
        </is>
      </c>
      <c r="E15" s="87" t="inlineStr">
        <is>
          <t>成交金额</t>
        </is>
      </c>
      <c r="F15" s="87" t="inlineStr">
        <is>
          <t>推广前</t>
        </is>
      </c>
      <c r="G15" s="87" t="inlineStr">
        <is>
          <t>推广花费</t>
        </is>
      </c>
      <c r="H15" s="87" t="inlineStr">
        <is>
          <t>推广后</t>
        </is>
      </c>
    </row>
    <row r="16" ht="15" customHeight="1" s="65">
      <c r="A16" s="99" t="inlineStr">
        <is>
          <t>6.22-6.28</t>
        </is>
      </c>
      <c r="B16" s="99" t="inlineStr">
        <is>
          <t>1058280415678</t>
        </is>
      </c>
      <c r="C16" s="91" t="inlineStr">
        <is>
          <t>原味大包</t>
        </is>
      </c>
      <c r="D16" s="91" t="inlineStr">
        <is>
          <t>印尼进口大大包营多原味捞面5包干拌面速食超大包方便面速食宵夜</t>
        </is>
      </c>
      <c r="E16" s="100">
        <f>SUMIFS(数据源!E:E,数据源!A:A,A16,数据源!B:B,B16)</f>
        <v/>
      </c>
      <c r="F16" s="100">
        <f>SUMIFS(数据源!X:X,数据源!A:A,A16,数据源!B:B,B16)</f>
        <v/>
      </c>
      <c r="G16" s="100">
        <f>SUMIFS(数据源!P:P,数据源!A:A,A16,数据源!B:B,B16)</f>
        <v/>
      </c>
      <c r="H16" s="100">
        <f>SUMIFS(数据源!AB:AB,数据源!A:A,A16,数据源!B:B,B16)</f>
        <v/>
      </c>
    </row>
    <row r="17" ht="16.5" customHeight="1" s="65">
      <c r="A17" s="101" t="inlineStr">
        <is>
          <t>6.22-6.28</t>
        </is>
      </c>
      <c r="B17" s="101" t="inlineStr">
        <is>
          <t>1060999732877</t>
        </is>
      </c>
      <c r="C17" s="93" t="inlineStr">
        <is>
          <t>原味大包</t>
        </is>
      </c>
      <c r="D17" s="93" t="inlineStr">
        <is>
          <t>indomie印尼进口营多原味大大包129g捞面方便面速食食品宵夜小吃</t>
        </is>
      </c>
      <c r="E17" s="102">
        <f>SUMIFS(数据源!E:E,数据源!A:A,A17,数据源!B:B,B17)</f>
        <v/>
      </c>
      <c r="F17" s="102">
        <f>SUMIFS(数据源!X:X,数据源!A:A,A17,数据源!B:B,B17)</f>
        <v/>
      </c>
      <c r="G17" s="102">
        <f>SUMIFS(数据源!P:P,数据源!A:A,A17,数据源!B:B,B17)</f>
        <v/>
      </c>
      <c r="H17" s="102">
        <f>SUMIFS(数据源!AB:AB,数据源!A:A,A17,数据源!B:B,B17)</f>
        <v/>
      </c>
    </row>
    <row r="18" ht="16.5" customHeight="1" s="65">
      <c r="A18" s="99" t="inlineStr">
        <is>
          <t>6.29-7.5</t>
        </is>
      </c>
      <c r="B18" s="99" t="inlineStr">
        <is>
          <t>1058280415678</t>
        </is>
      </c>
      <c r="C18" s="91" t="inlineStr">
        <is>
          <t>原味大包</t>
        </is>
      </c>
      <c r="D18" s="91" t="inlineStr">
        <is>
          <t>印尼进口大大包营多原味捞面5包干拌面速食超大包方便面速食宵夜</t>
        </is>
      </c>
      <c r="E18" s="100">
        <f>SUMIFS(数据源!E:E,数据源!A:A,A18,数据源!B:B,B18)</f>
        <v/>
      </c>
      <c r="F18" s="100">
        <f>SUMIFS(数据源!X:X,数据源!A:A,A18,数据源!B:B,B18)</f>
        <v/>
      </c>
      <c r="G18" s="100">
        <f>SUMIFS(数据源!P:P,数据源!A:A,A18,数据源!B:B,B18)</f>
        <v/>
      </c>
      <c r="H18" s="100">
        <f>SUMIFS(数据源!AB:AB,数据源!A:A,A18,数据源!B:B,B18)</f>
        <v/>
      </c>
    </row>
    <row r="19" ht="16.5" customHeight="1" s="65">
      <c r="A19" s="101" t="inlineStr">
        <is>
          <t>6.29-7.5</t>
        </is>
      </c>
      <c r="B19" s="101" t="inlineStr">
        <is>
          <t>1060999732877</t>
        </is>
      </c>
      <c r="C19" s="93" t="inlineStr">
        <is>
          <t>原味大包</t>
        </is>
      </c>
      <c r="D19" s="93" t="inlineStr">
        <is>
          <t>indomie印尼进口营多原味大大包129g捞面方便面速食食品宵夜小吃</t>
        </is>
      </c>
      <c r="E19" s="102">
        <f>SUMIFS(数据源!E:E,数据源!A:A,A19,数据源!B:B,B19)</f>
        <v/>
      </c>
      <c r="F19" s="102">
        <f>SUMIFS(数据源!X:X,数据源!A:A,A19,数据源!B:B,B19)</f>
        <v/>
      </c>
      <c r="G19" s="102">
        <f>SUMIFS(数据源!P:P,数据源!A:A,A19,数据源!B:B,B19)</f>
        <v/>
      </c>
      <c r="H19" s="102">
        <f>SUMIFS(数据源!AB:AB,数据源!A:A,A19,数据源!B:B,B19)</f>
        <v/>
      </c>
    </row>
    <row r="20" ht="16.5" customHeight="1" s="65">
      <c r="A20" s="99" t="inlineStr">
        <is>
          <t>7.6-7.12</t>
        </is>
      </c>
      <c r="B20" s="99" t="inlineStr">
        <is>
          <t>1058280415678</t>
        </is>
      </c>
      <c r="C20" s="91" t="inlineStr">
        <is>
          <t>原味大包</t>
        </is>
      </c>
      <c r="D20" s="91" t="inlineStr">
        <is>
          <t>印尼进口大大包营多原味捞面5包干拌面速食超大包方便面速食宵夜</t>
        </is>
      </c>
      <c r="E20" s="100">
        <f>SUMIFS(数据源!E:E,数据源!A:A,A20,数据源!B:B,B20)</f>
        <v/>
      </c>
      <c r="F20" s="100">
        <f>SUMIFS(数据源!X:X,数据源!A:A,A20,数据源!B:B,B20)</f>
        <v/>
      </c>
      <c r="G20" s="100">
        <f>SUMIFS(数据源!P:P,数据源!A:A,A20,数据源!B:B,B20)</f>
        <v/>
      </c>
      <c r="H20" s="100">
        <f>SUMIFS(数据源!AB:AB,数据源!A:A,A20,数据源!B:B,B20)</f>
        <v/>
      </c>
    </row>
    <row r="21" ht="16.5" customHeight="1" s="65">
      <c r="A21" s="101" t="inlineStr">
        <is>
          <t>7.6-7.12</t>
        </is>
      </c>
      <c r="B21" s="101" t="inlineStr">
        <is>
          <t>1060999732877</t>
        </is>
      </c>
      <c r="C21" s="93" t="inlineStr">
        <is>
          <t>原味大包</t>
        </is>
      </c>
      <c r="D21" s="93" t="inlineStr">
        <is>
          <t>印尼进口大大包营多原味捞面5包干拌面速食超大包方便面速食宵夜</t>
        </is>
      </c>
      <c r="E21" s="102">
        <f>SUMIFS(数据源!E:E,数据源!A:A,A21,数据源!B:B,B21)</f>
        <v/>
      </c>
      <c r="F21" s="102">
        <f>SUMIFS(数据源!X:X,数据源!A:A,A21,数据源!B:B,B21)</f>
        <v/>
      </c>
      <c r="G21" s="102">
        <f>SUMIFS(数据源!P:P,数据源!A:A,A21,数据源!B:B,B21)</f>
        <v/>
      </c>
      <c r="H21" s="102">
        <f>SUMIFS(数据源!AB:AB,数据源!A:A,A21,数据源!B:B,B21)</f>
        <v/>
      </c>
    </row>
    <row r="22" ht="16.5" customHeight="1" s="65">
      <c r="A22" s="99" t="inlineStr">
        <is>
          <t>7.13-7.19</t>
        </is>
      </c>
      <c r="B22" s="99" t="inlineStr">
        <is>
          <t>1059563993918</t>
        </is>
      </c>
      <c r="C22" s="91" t="inlineStr">
        <is>
          <t>原味大包</t>
        </is>
      </c>
      <c r="D22" s="91" t="inlineStr">
        <is>
          <t>indomie印尼进口营多原味大大包129g捞面方便面速食食品宵夜小吃</t>
        </is>
      </c>
      <c r="E22" s="100">
        <f>SUMIFS(数据源!E:E,数据源!A:A,A22,数据源!B:B,B22)</f>
        <v/>
      </c>
      <c r="F22" s="100">
        <f>SUMIFS(数据源!X:X,数据源!A:A,A22,数据源!B:B,B22)</f>
        <v/>
      </c>
      <c r="G22" s="100">
        <f>SUMIFS(数据源!P:P,数据源!A:A,A22,数据源!B:B,B22)</f>
        <v/>
      </c>
      <c r="H22" s="100">
        <f>SUMIFS(数据源!AB:AB,数据源!A:A,A22,数据源!B:B,B22)</f>
        <v/>
      </c>
    </row>
    <row r="23" ht="16.5" customHeight="1" s="65">
      <c r="A23" s="101" t="inlineStr">
        <is>
          <t>7.13-7.19</t>
        </is>
      </c>
      <c r="B23" s="101" t="inlineStr">
        <is>
          <t>1060999732877</t>
        </is>
      </c>
      <c r="C23" s="93" t="inlineStr">
        <is>
          <t>原味大包</t>
        </is>
      </c>
      <c r="D23" s="93" t="inlineStr">
        <is>
          <t>indomie印尼进口营多原味大大包129g捞面方便面速食食品宵夜小吃</t>
        </is>
      </c>
      <c r="E23" s="102">
        <f>SUMIFS(数据源!E:E,数据源!A:A,A23,数据源!B:B,B23)</f>
        <v/>
      </c>
      <c r="F23" s="102">
        <f>SUMIFS(数据源!X:X,数据源!A:A,A23,数据源!B:B,B23)</f>
        <v/>
      </c>
      <c r="G23" s="102">
        <f>SUMIFS(数据源!P:P,数据源!A:A,A23,数据源!B:B,B23)</f>
        <v/>
      </c>
      <c r="H23" s="102">
        <f>SUMIFS(数据源!AB:AB,数据源!A:A,A23,数据源!B:B,B23)</f>
        <v/>
      </c>
    </row>
    <row r="24" ht="16.5" customHeight="1" s="65">
      <c r="A24" s="99" t="inlineStr">
        <is>
          <t>7.20-7.26</t>
        </is>
      </c>
      <c r="B24" s="99" t="inlineStr">
        <is>
          <t>1013887677295</t>
        </is>
      </c>
      <c r="C24" s="91" t="inlineStr">
        <is>
          <t>原味大包</t>
        </is>
      </c>
      <c r="D24" s="91" t="inlineStr">
        <is>
          <t>indomie印尼进口营多原味大大包129g捞面方便面速食食品宵夜小吃</t>
        </is>
      </c>
      <c r="E24" s="100">
        <f>SUMIFS(数据源!E:E,数据源!A:A,A24,数据源!B:B,B24)</f>
        <v/>
      </c>
      <c r="F24" s="100">
        <f>SUMIFS(数据源!X:X,数据源!A:A,A24,数据源!B:B,B24)</f>
        <v/>
      </c>
      <c r="G24" s="100">
        <f>SUMIFS(数据源!P:P,数据源!A:A,A24,数据源!B:B,B24)</f>
        <v/>
      </c>
      <c r="H24" s="100">
        <f>SUMIFS(数据源!AB:AB,数据源!A:A,A24,数据源!B:B,B24)</f>
        <v/>
      </c>
    </row>
    <row r="25" ht="16.5" customHeight="1" s="65">
      <c r="A25" s="101" t="inlineStr">
        <is>
          <t>7.20-7.26</t>
        </is>
      </c>
      <c r="B25" s="101" t="inlineStr">
        <is>
          <t>1060999732877</t>
        </is>
      </c>
      <c r="C25" s="93" t="inlineStr">
        <is>
          <t>原味大包</t>
        </is>
      </c>
      <c r="D25" s="93" t="inlineStr">
        <is>
          <t>indomie印尼进口营多原味大大包129g捞面方便面速食食品宵夜小吃</t>
        </is>
      </c>
      <c r="E25" s="102">
        <f>SUMIFS(数据源!E:E,数据源!A:A,A25,数据源!B:B,B25)</f>
        <v/>
      </c>
      <c r="F25" s="102">
        <f>SUMIFS(数据源!X:X,数据源!A:A,A25,数据源!B:B,B25)</f>
        <v/>
      </c>
      <c r="G25" s="102">
        <f>SUMIFS(数据源!P:P,数据源!A:A,A25,数据源!B:B,B25)</f>
        <v/>
      </c>
      <c r="H25" s="102">
        <f>SUMIFS(数据源!AB:AB,数据源!A:A,A25,数据源!B:B,B25)</f>
        <v/>
      </c>
    </row>
    <row r="26" ht="16.5" customHeight="1" s="65">
      <c r="A26" s="99" t="inlineStr">
        <is>
          <t>7.27-8.2</t>
        </is>
      </c>
      <c r="B26" s="99" t="inlineStr">
        <is>
          <t>1013887677295</t>
        </is>
      </c>
      <c r="C26" s="91" t="inlineStr">
        <is>
          <t>原味大包</t>
        </is>
      </c>
      <c r="D26" s="91" t="inlineStr">
        <is>
          <t>indomie印尼进口营多原味大大包129g捞面方便面速食食品宵夜小吃</t>
        </is>
      </c>
      <c r="E26" s="100">
        <f>SUMIFS(数据源!E:E,数据源!A:A,A26,数据源!B:B,B26)</f>
        <v/>
      </c>
      <c r="F26" s="100">
        <f>SUMIFS(数据源!X:X,数据源!A:A,A26,数据源!B:B,B26)</f>
        <v/>
      </c>
      <c r="G26" s="100">
        <f>SUMIFS(数据源!P:P,数据源!A:A,A26,数据源!B:B,B26)</f>
        <v/>
      </c>
      <c r="H26" s="100">
        <f>SUMIFS(数据源!AB:AB,数据源!A:A,A26,数据源!B:B,B26)</f>
        <v/>
      </c>
    </row>
    <row r="27" ht="16.5" customHeight="1" s="65">
      <c r="A27" s="101" t="inlineStr">
        <is>
          <t>7.27-8.2</t>
        </is>
      </c>
      <c r="B27" s="101" t="inlineStr">
        <is>
          <t>1058280415678</t>
        </is>
      </c>
      <c r="C27" s="93" t="inlineStr">
        <is>
          <t>原味大包</t>
        </is>
      </c>
      <c r="D27" s="93" t="inlineStr">
        <is>
          <t>印尼进口大大包营多原味捞面5包干拌面速食超大包方便面速食宵夜</t>
        </is>
      </c>
      <c r="E27" s="102">
        <f>SUMIFS(数据源!E:E,数据源!A:A,A27,数据源!B:B,B27)</f>
        <v/>
      </c>
      <c r="F27" s="102">
        <f>SUMIFS(数据源!X:X,数据源!A:A,A27,数据源!B:B,B27)</f>
        <v/>
      </c>
      <c r="G27" s="102">
        <f>SUMIFS(数据源!P:P,数据源!A:A,A27,数据源!B:B,B27)</f>
        <v/>
      </c>
      <c r="H27" s="102">
        <f>SUMIFS(数据源!AB:AB,数据源!A:A,A27,数据源!B:B,B27)</f>
        <v/>
      </c>
    </row>
    <row r="28" ht="16.5" customHeight="1" s="65">
      <c r="A28" s="99" t="inlineStr">
        <is>
          <t>7.27-8.2</t>
        </is>
      </c>
      <c r="B28" s="99" t="inlineStr">
        <is>
          <t>1060999732877</t>
        </is>
      </c>
      <c r="C28" s="91" t="inlineStr">
        <is>
          <t>原味大包</t>
        </is>
      </c>
      <c r="D28" s="91" t="inlineStr">
        <is>
          <t>indomie印尼进口营多原味大大包129g捞面方便面速食食品宵夜小吃</t>
        </is>
      </c>
      <c r="E28" s="100">
        <f>SUMIFS(数据源!E:E,数据源!A:A,A28,数据源!B:B,B28)</f>
        <v/>
      </c>
      <c r="F28" s="100">
        <f>SUMIFS(数据源!X:X,数据源!A:A,A28,数据源!B:B,B28)</f>
        <v/>
      </c>
      <c r="G28" s="100">
        <f>SUMIFS(数据源!P:P,数据源!A:A,A28,数据源!B:B,B28)</f>
        <v/>
      </c>
      <c r="H28" s="100">
        <f>SUMIFS(数据源!AB:AB,数据源!A:A,A28,数据源!B:B,B28)</f>
        <v/>
      </c>
    </row>
    <row r="29" ht="16.5" customHeight="1" s="65"/>
    <row r="30" ht="16.5" customHeight="1" s="65"/>
  </sheetData>
  <mergeCells count="4">
    <mergeCell ref="A4:H4"/>
    <mergeCell ref="A14:H14"/>
    <mergeCell ref="A2:H2"/>
    <mergeCell ref="A1:H1"/>
  </mergeCells>
  <conditionalFormatting sqref="F6:F20">
    <cfRule type="cellIs" priority="1" operator="lessThan" dxfId="12">
      <formula>0</formula>
    </cfRule>
  </conditionalFormatting>
  <conditionalFormatting sqref="H16:H28">
    <cfRule type="cellIs" priority="2" operator="lessThan" dxfId="12">
      <formula>0</formula>
    </cfRule>
  </conditionalFormatting>
  <pageMargins left="0.75" right="0.75" top="1" bottom="1" header="0.5" footer="0.5"/>
</worksheet>
</file>

<file path=xl/worksheets/sheet6.xml><?xml version="1.0" encoding="utf-8"?>
<worksheet xmlns="http://schemas.openxmlformats.org/spreadsheetml/2006/main">
  <sheetPr>
    <tabColor rgb="001F4E5F"/>
    <outlinePr summaryBelow="1" summaryRight="1"/>
    <pageSetUpPr/>
  </sheetPr>
  <dimension ref="A1:N56"/>
  <sheetViews>
    <sheetView workbookViewId="0">
      <pane xSplit="3" ySplit="4" topLeftCell="D5" activePane="bottomRight" state="frozen"/>
      <selection pane="topRight"/>
      <selection pane="bottomLeft"/>
      <selection pane="bottomRight" activeCell="A1" sqref="A1"/>
      <selection pane="topRight" activeCell="A1" sqref="A1"/>
      <selection pane="bottomLeft" activeCell="A1" sqref="A1"/>
      <selection pane="bottomRight" activeCell="O1" sqref="O$1:Z$1048576"/>
    </sheetView>
  </sheetViews>
  <sheetFormatPr baseColWidth="8" defaultColWidth="9" defaultRowHeight="13.5"/>
  <cols>
    <col width="16" customWidth="1" style="78" min="1" max="1"/>
    <col width="12" customWidth="1" style="65" min="2" max="2"/>
    <col width="36" customWidth="1" style="65" min="3" max="3"/>
    <col width="11" customWidth="1" style="65" min="4" max="12"/>
    <col width="11" customWidth="1" style="65" min="5" max="5"/>
    <col width="11" customWidth="1" style="65" min="6" max="6"/>
    <col width="11" customWidth="1" style="65" min="7" max="7"/>
    <col width="11" customWidth="1" style="65" min="8" max="8"/>
    <col width="11" customWidth="1" style="65" min="9" max="9"/>
    <col width="11" customWidth="1" style="65" min="10" max="10"/>
    <col width="11" customWidth="1" style="65" min="11" max="11"/>
    <col width="11" customWidth="1" style="65" min="12" max="12"/>
    <col width="12" customWidth="1" style="65" min="13" max="13"/>
    <col width="12" customWidth="1" style="65" min="14" max="14"/>
  </cols>
  <sheetData>
    <row r="1" ht="30" customHeight="1" s="65">
      <c r="A1" s="82" t="inlineStr">
        <is>
          <t>全量商品ID · 每周推广后净利润</t>
        </is>
      </c>
      <c r="B1" s="82" t="n"/>
      <c r="C1" s="82" t="n"/>
      <c r="D1" s="82" t="n"/>
      <c r="E1" s="82" t="n"/>
      <c r="F1" s="82" t="n"/>
      <c r="G1" s="82" t="n"/>
      <c r="H1" s="82" t="n"/>
      <c r="I1" s="82" t="n"/>
      <c r="J1" s="82" t="n"/>
      <c r="K1" s="82" t="n"/>
      <c r="L1" s="82" t="n"/>
      <c r="M1" s="82" t="n"/>
      <c r="N1" s="82" t="n"/>
    </row>
    <row r="2" ht="22" customHeight="1" s="65">
      <c r="A2" s="83" t="inlineStr">
        <is>
          <t>定位/名称=成交加权主标签｜各周与变化列为SUMIFS公式｜请开启Excel自动计算</t>
        </is>
      </c>
      <c r="B2" s="83" t="n"/>
      <c r="C2" s="83" t="n"/>
      <c r="D2" s="83" t="n"/>
      <c r="E2" s="83" t="n"/>
      <c r="F2" s="83" t="n"/>
      <c r="G2" s="83" t="n"/>
      <c r="H2" s="83" t="n"/>
      <c r="I2" s="83" t="n"/>
      <c r="J2" s="83" t="n"/>
      <c r="K2" s="83" t="n"/>
      <c r="L2" s="83" t="n"/>
      <c r="M2" s="83" t="n"/>
      <c r="N2" s="83" t="n"/>
    </row>
    <row r="3" ht="6" customHeight="1" s="65"/>
    <row r="4" ht="24" customHeight="1" s="65">
      <c r="A4" s="87" t="inlineStr">
        <is>
          <t>商品ID</t>
        </is>
      </c>
      <c r="B4" s="87" t="inlineStr">
        <is>
          <t>定位</t>
        </is>
      </c>
      <c r="C4" s="87" t="inlineStr">
        <is>
          <t>商品名称</t>
        </is>
      </c>
      <c r="D4" s="87" t="inlineStr">
        <is>
          <t>5.11-5.17</t>
        </is>
      </c>
      <c r="E4" s="87" t="inlineStr">
        <is>
          <t>5.25-5.31</t>
        </is>
      </c>
      <c r="F4" s="87" t="inlineStr">
        <is>
          <t>6.15-6.21</t>
        </is>
      </c>
      <c r="G4" s="87" t="inlineStr">
        <is>
          <t>6.22-6.28</t>
        </is>
      </c>
      <c r="H4" s="87" t="inlineStr">
        <is>
          <t>6.29-7.5</t>
        </is>
      </c>
      <c r="I4" s="87" t="inlineStr">
        <is>
          <t>7.6-7.12</t>
        </is>
      </c>
      <c r="J4" s="87" t="inlineStr">
        <is>
          <t>7.13-7.19</t>
        </is>
      </c>
      <c r="K4" s="87" t="inlineStr">
        <is>
          <t>7.20-7.26</t>
        </is>
      </c>
      <c r="L4" s="87" t="inlineStr">
        <is>
          <t>7.27-8.2</t>
        </is>
      </c>
      <c r="M4" s="87" t="inlineStr">
        <is>
          <t>7.6→7.13变化</t>
        </is>
      </c>
      <c r="N4" s="87" t="inlineStr">
        <is>
          <t>7.13→7.20变化</t>
        </is>
      </c>
    </row>
    <row r="5" ht="16.5" customHeight="1" s="65">
      <c r="A5" s="135" t="inlineStr">
        <is>
          <t>649361890551</t>
        </is>
      </c>
      <c r="B5" s="136" t="inlineStr">
        <is>
          <t>袋面次链接</t>
        </is>
      </c>
      <c r="C5" s="91" t="inlineStr">
        <is>
          <t>营多捞面印尼进口Indomie网红夜宵早餐方便面火鸡面泡面拌面</t>
        </is>
      </c>
      <c r="D5" s="100">
        <f>IFERROR(SUMIFS(数据源!AB:AB,数据源!B:B,$A5,数据源!A:A,"5.11-5.17"),0)</f>
        <v/>
      </c>
      <c r="E5" s="100">
        <f>IFERROR(SUMIFS(数据源!AB:AB,数据源!B:B,$A5,数据源!A:A,"5.25-5.31"),0)</f>
        <v/>
      </c>
      <c r="F5" s="100">
        <f>IFERROR(SUMIFS(数据源!AB:AB,数据源!B:B,$A5,数据源!A:A,"6.15-6.21"),0)</f>
        <v/>
      </c>
      <c r="G5" s="100">
        <f>IFERROR(SUMIFS(数据源!AB:AB,数据源!B:B,$A5,数据源!A:A,"6.22-6.28"),0)</f>
        <v/>
      </c>
      <c r="H5" s="100">
        <f>IFERROR(SUMIFS(数据源!AB:AB,数据源!B:B,$A5,数据源!A:A,"6.29-7.5"),0)</f>
        <v/>
      </c>
      <c r="I5" s="100">
        <f>IFERROR(SUMIFS(数据源!AB:AB,数据源!B:B,$A5,数据源!A:A,"7.6-7.12"),0)</f>
        <v/>
      </c>
      <c r="J5" s="100">
        <f>IFERROR(SUMIFS(数据源!AB:AB,数据源!B:B,$A5,数据源!A:A,"7.13-7.19"),0)</f>
        <v/>
      </c>
      <c r="K5" s="100">
        <f>IFERROR(SUMIFS(数据源!AB:AB,数据源!B:B,$A5,数据源!A:A,"7.20-7.26"),0)</f>
        <v/>
      </c>
      <c r="L5" s="100">
        <f>IFERROR(SUMIFS(数据源!AB:AB,数据源!B:B,$A5,数据源!A:A,"7.27-8.2"),0)</f>
        <v/>
      </c>
      <c r="M5" s="100">
        <f>J5-I5</f>
        <v/>
      </c>
      <c r="N5" s="100">
        <f>K5-J5</f>
        <v/>
      </c>
    </row>
    <row r="6" ht="16.5" customHeight="1" s="65">
      <c r="A6" s="125" t="inlineStr">
        <is>
          <t>668566625747</t>
        </is>
      </c>
      <c r="B6" s="137" t="inlineStr">
        <is>
          <t>袋面主链接</t>
        </is>
      </c>
      <c r="C6" s="93" t="inlineStr">
        <is>
          <t>印尼营多捞面进口网红泡面袋装方便面速食食品拉面火鸡面拌面整箱</t>
        </is>
      </c>
      <c r="D6" s="102">
        <f>IFERROR(SUMIFS(数据源!AB:AB,数据源!B:B,$A6,数据源!A:A,"5.11-5.17"),0)</f>
        <v/>
      </c>
      <c r="E6" s="102">
        <f>IFERROR(SUMIFS(数据源!AB:AB,数据源!B:B,$A6,数据源!A:A,"5.25-5.31"),0)</f>
        <v/>
      </c>
      <c r="F6" s="102">
        <f>IFERROR(SUMIFS(数据源!AB:AB,数据源!B:B,$A6,数据源!A:A,"6.15-6.21"),0)</f>
        <v/>
      </c>
      <c r="G6" s="102">
        <f>IFERROR(SUMIFS(数据源!AB:AB,数据源!B:B,$A6,数据源!A:A,"6.22-6.28"),0)</f>
        <v/>
      </c>
      <c r="H6" s="102">
        <f>IFERROR(SUMIFS(数据源!AB:AB,数据源!B:B,$A6,数据源!A:A,"6.29-7.5"),0)</f>
        <v/>
      </c>
      <c r="I6" s="102">
        <f>IFERROR(SUMIFS(数据源!AB:AB,数据源!B:B,$A6,数据源!A:A,"7.6-7.12"),0)</f>
        <v/>
      </c>
      <c r="J6" s="102">
        <f>IFERROR(SUMIFS(数据源!AB:AB,数据源!B:B,$A6,数据源!A:A,"7.13-7.19"),0)</f>
        <v/>
      </c>
      <c r="K6" s="102">
        <f>IFERROR(SUMIFS(数据源!AB:AB,数据源!B:B,$A6,数据源!A:A,"7.20-7.26"),0)</f>
        <v/>
      </c>
      <c r="L6" s="102">
        <f>IFERROR(SUMIFS(数据源!AB:AB,数据源!B:B,$A6,数据源!A:A,"7.27-8.2"),0)</f>
        <v/>
      </c>
      <c r="M6" s="102">
        <f>J6-I6</f>
        <v/>
      </c>
      <c r="N6" s="102">
        <f>K6-J6</f>
        <v/>
      </c>
    </row>
    <row r="7" ht="16.5" customHeight="1" s="65">
      <c r="A7" s="135" t="inlineStr">
        <is>
          <t>649735171438</t>
        </is>
      </c>
      <c r="B7" s="136" t="inlineStr">
        <is>
          <t>杯面主链接</t>
        </is>
      </c>
      <c r="C7" s="91" t="inlineStr">
        <is>
          <t>印尼进口indomie营多捞面杯面速食泡面干拌面盒桶装方便面火鸡面</t>
        </is>
      </c>
      <c r="D7" s="100">
        <f>IFERROR(SUMIFS(数据源!AB:AB,数据源!B:B,$A7,数据源!A:A,"5.11-5.17"),0)</f>
        <v/>
      </c>
      <c r="E7" s="100">
        <f>IFERROR(SUMIFS(数据源!AB:AB,数据源!B:B,$A7,数据源!A:A,"5.25-5.31"),0)</f>
        <v/>
      </c>
      <c r="F7" s="100">
        <f>IFERROR(SUMIFS(数据源!AB:AB,数据源!B:B,$A7,数据源!A:A,"6.15-6.21"),0)</f>
        <v/>
      </c>
      <c r="G7" s="100">
        <f>IFERROR(SUMIFS(数据源!AB:AB,数据源!B:B,$A7,数据源!A:A,"6.22-6.28"),0)</f>
        <v/>
      </c>
      <c r="H7" s="100">
        <f>IFERROR(SUMIFS(数据源!AB:AB,数据源!B:B,$A7,数据源!A:A,"6.29-7.5"),0)</f>
        <v/>
      </c>
      <c r="I7" s="100">
        <f>IFERROR(SUMIFS(数据源!AB:AB,数据源!B:B,$A7,数据源!A:A,"7.6-7.12"),0)</f>
        <v/>
      </c>
      <c r="J7" s="100">
        <f>IFERROR(SUMIFS(数据源!AB:AB,数据源!B:B,$A7,数据源!A:A,"7.13-7.19"),0)</f>
        <v/>
      </c>
      <c r="K7" s="100">
        <f>IFERROR(SUMIFS(数据源!AB:AB,数据源!B:B,$A7,数据源!A:A,"7.20-7.26"),0)</f>
        <v/>
      </c>
      <c r="L7" s="100">
        <f>IFERROR(SUMIFS(数据源!AB:AB,数据源!B:B,$A7,数据源!A:A,"7.27-8.2"),0)</f>
        <v/>
      </c>
      <c r="M7" s="100">
        <f>J7-I7</f>
        <v/>
      </c>
      <c r="N7" s="100">
        <f>K7-J7</f>
        <v/>
      </c>
    </row>
    <row r="8" ht="16.5" customHeight="1" s="65">
      <c r="A8" s="101" t="inlineStr">
        <is>
          <t>1057479227624</t>
        </is>
      </c>
      <c r="B8" s="93" t="inlineStr">
        <is>
          <t>巴东牛肉</t>
        </is>
      </c>
      <c r="C8" s="93" t="inlineStr">
        <is>
          <t>【新口味】印尼进口营多捞面巴东炖牛肉味泡面方便面宿舍速食宵夜</t>
        </is>
      </c>
      <c r="D8" s="102">
        <f>IFERROR(SUMIFS(数据源!AB:AB,数据源!B:B,$A8,数据源!A:A,"5.11-5.17"),0)</f>
        <v/>
      </c>
      <c r="E8" s="102">
        <f>IFERROR(SUMIFS(数据源!AB:AB,数据源!B:B,$A8,数据源!A:A,"5.25-5.31"),0)</f>
        <v/>
      </c>
      <c r="F8" s="102">
        <f>IFERROR(SUMIFS(数据源!AB:AB,数据源!B:B,$A8,数据源!A:A,"6.15-6.21"),0)</f>
        <v/>
      </c>
      <c r="G8" s="102">
        <f>IFERROR(SUMIFS(数据源!AB:AB,数据源!B:B,$A8,数据源!A:A,"6.22-6.28"),0)</f>
        <v/>
      </c>
      <c r="H8" s="102">
        <f>IFERROR(SUMIFS(数据源!AB:AB,数据源!B:B,$A8,数据源!A:A,"6.29-7.5"),0)</f>
        <v/>
      </c>
      <c r="I8" s="102">
        <f>IFERROR(SUMIFS(数据源!AB:AB,数据源!B:B,$A8,数据源!A:A,"7.6-7.12"),0)</f>
        <v/>
      </c>
      <c r="J8" s="102">
        <f>IFERROR(SUMIFS(数据源!AB:AB,数据源!B:B,$A8,数据源!A:A,"7.13-7.19"),0)</f>
        <v/>
      </c>
      <c r="K8" s="102">
        <f>IFERROR(SUMIFS(数据源!AB:AB,数据源!B:B,$A8,数据源!A:A,"7.20-7.26"),0)</f>
        <v/>
      </c>
      <c r="L8" s="102">
        <f>IFERROR(SUMIFS(数据源!AB:AB,数据源!B:B,$A8,数据源!A:A,"7.27-8.2"),0)</f>
        <v/>
      </c>
      <c r="M8" s="102">
        <f>J8-I8</f>
        <v/>
      </c>
      <c r="N8" s="102">
        <f>K8-J8</f>
        <v/>
      </c>
    </row>
    <row r="9" ht="16.5" customHeight="1" s="65">
      <c r="A9" s="99" t="inlineStr">
        <is>
          <t>648600900806</t>
        </is>
      </c>
      <c r="B9" s="91" t="inlineStr">
        <is>
          <t>30包</t>
        </is>
      </c>
      <c r="C9" s="91" t="inlineStr">
        <is>
          <t>进口营多捞面一整箱30包网红速食方便面宿舍速食泡面干拌面拉面</t>
        </is>
      </c>
      <c r="D9" s="100">
        <f>IFERROR(SUMIFS(数据源!AB:AB,数据源!B:B,$A9,数据源!A:A,"5.11-5.17"),0)</f>
        <v/>
      </c>
      <c r="E9" s="100">
        <f>IFERROR(SUMIFS(数据源!AB:AB,数据源!B:B,$A9,数据源!A:A,"5.25-5.31"),0)</f>
        <v/>
      </c>
      <c r="F9" s="100">
        <f>IFERROR(SUMIFS(数据源!AB:AB,数据源!B:B,$A9,数据源!A:A,"6.15-6.21"),0)</f>
        <v/>
      </c>
      <c r="G9" s="100">
        <f>IFERROR(SUMIFS(数据源!AB:AB,数据源!B:B,$A9,数据源!A:A,"6.22-6.28"),0)</f>
        <v/>
      </c>
      <c r="H9" s="100">
        <f>IFERROR(SUMIFS(数据源!AB:AB,数据源!B:B,$A9,数据源!A:A,"6.29-7.5"),0)</f>
        <v/>
      </c>
      <c r="I9" s="100">
        <f>IFERROR(SUMIFS(数据源!AB:AB,数据源!B:B,$A9,数据源!A:A,"7.6-7.12"),0)</f>
        <v/>
      </c>
      <c r="J9" s="100">
        <f>IFERROR(SUMIFS(数据源!AB:AB,数据源!B:B,$A9,数据源!A:A,"7.13-7.19"),0)</f>
        <v/>
      </c>
      <c r="K9" s="100">
        <f>IFERROR(SUMIFS(数据源!AB:AB,数据源!B:B,$A9,数据源!A:A,"7.20-7.26"),0)</f>
        <v/>
      </c>
      <c r="L9" s="100">
        <f>IFERROR(SUMIFS(数据源!AB:AB,数据源!B:B,$A9,数据源!A:A,"7.27-8.2"),0)</f>
        <v/>
      </c>
      <c r="M9" s="100">
        <f>J9-I9</f>
        <v/>
      </c>
      <c r="N9" s="100">
        <f>K9-J9</f>
        <v/>
      </c>
    </row>
    <row r="10" ht="16.5" customHeight="1" s="65">
      <c r="A10" s="101" t="inlineStr">
        <is>
          <t>1013887677295</t>
        </is>
      </c>
      <c r="B10" s="93" t="inlineStr">
        <is>
          <t>混搭5杯</t>
        </is>
      </c>
      <c r="C10" s="93" t="inlineStr">
        <is>
          <t>进口营多原味杯面日式杯面韩式杯面泡面方便面汤面宿舍速食夜宵</t>
        </is>
      </c>
      <c r="D10" s="102">
        <f>IFERROR(SUMIFS(数据源!AB:AB,数据源!B:B,$A10,数据源!A:A,"5.11-5.17"),0)</f>
        <v/>
      </c>
      <c r="E10" s="102">
        <f>IFERROR(SUMIFS(数据源!AB:AB,数据源!B:B,$A10,数据源!A:A,"5.25-5.31"),0)</f>
        <v/>
      </c>
      <c r="F10" s="102">
        <f>IFERROR(SUMIFS(数据源!AB:AB,数据源!B:B,$A10,数据源!A:A,"6.15-6.21"),0)</f>
        <v/>
      </c>
      <c r="G10" s="102">
        <f>IFERROR(SUMIFS(数据源!AB:AB,数据源!B:B,$A10,数据源!A:A,"6.22-6.28"),0)</f>
        <v/>
      </c>
      <c r="H10" s="102">
        <f>IFERROR(SUMIFS(数据源!AB:AB,数据源!B:B,$A10,数据源!A:A,"6.29-7.5"),0)</f>
        <v/>
      </c>
      <c r="I10" s="102">
        <f>IFERROR(SUMIFS(数据源!AB:AB,数据源!B:B,$A10,数据源!A:A,"7.6-7.12"),0)</f>
        <v/>
      </c>
      <c r="J10" s="102">
        <f>IFERROR(SUMIFS(数据源!AB:AB,数据源!B:B,$A10,数据源!A:A,"7.13-7.19"),0)</f>
        <v/>
      </c>
      <c r="K10" s="102">
        <f>IFERROR(SUMIFS(数据源!AB:AB,数据源!B:B,$A10,数据源!A:A,"7.20-7.26"),0)</f>
        <v/>
      </c>
      <c r="L10" s="102">
        <f>IFERROR(SUMIFS(数据源!AB:AB,数据源!B:B,$A10,数据源!A:A,"7.27-8.2"),0)</f>
        <v/>
      </c>
      <c r="M10" s="102">
        <f>J10-I10</f>
        <v/>
      </c>
      <c r="N10" s="102">
        <f>K10-J10</f>
        <v/>
      </c>
    </row>
    <row r="11" ht="16.5" customHeight="1" s="65">
      <c r="A11" s="99" t="inlineStr">
        <is>
          <t>929504658691</t>
        </is>
      </c>
      <c r="B11" s="91" t="inlineStr">
        <is>
          <t>日式袋面</t>
        </is>
      </c>
      <c r="C11" s="91" t="inlineStr">
        <is>
          <t>营多捞面日式鸡肉汤面原味辛辣味袋装泡面方便面速食宿舍夜宵食品</t>
        </is>
      </c>
      <c r="D11" s="100">
        <f>IFERROR(SUMIFS(数据源!AB:AB,数据源!B:B,$A11,数据源!A:A,"5.11-5.17"),0)</f>
        <v/>
      </c>
      <c r="E11" s="100">
        <f>IFERROR(SUMIFS(数据源!AB:AB,数据源!B:B,$A11,数据源!A:A,"5.25-5.31"),0)</f>
        <v/>
      </c>
      <c r="F11" s="100">
        <f>IFERROR(SUMIFS(数据源!AB:AB,数据源!B:B,$A11,数据源!A:A,"6.15-6.21"),0)</f>
        <v/>
      </c>
      <c r="G11" s="100">
        <f>IFERROR(SUMIFS(数据源!AB:AB,数据源!B:B,$A11,数据源!A:A,"6.22-6.28"),0)</f>
        <v/>
      </c>
      <c r="H11" s="100">
        <f>IFERROR(SUMIFS(数据源!AB:AB,数据源!B:B,$A11,数据源!A:A,"6.29-7.5"),0)</f>
        <v/>
      </c>
      <c r="I11" s="100">
        <f>IFERROR(SUMIFS(数据源!AB:AB,数据源!B:B,$A11,数据源!A:A,"7.6-7.12"),0)</f>
        <v/>
      </c>
      <c r="J11" s="100">
        <f>IFERROR(SUMIFS(数据源!AB:AB,数据源!B:B,$A11,数据源!A:A,"7.13-7.19"),0)</f>
        <v/>
      </c>
      <c r="K11" s="100">
        <f>IFERROR(SUMIFS(数据源!AB:AB,数据源!B:B,$A11,数据源!A:A,"7.20-7.26"),0)</f>
        <v/>
      </c>
      <c r="L11" s="100">
        <f>IFERROR(SUMIFS(数据源!AB:AB,数据源!B:B,$A11,数据源!A:A,"7.27-8.2"),0)</f>
        <v/>
      </c>
      <c r="M11" s="100">
        <f>J11-I11</f>
        <v/>
      </c>
      <c r="N11" s="100">
        <f>K11-J11</f>
        <v/>
      </c>
    </row>
    <row r="12" ht="16.5" customHeight="1" s="65">
      <c r="A12" s="101" t="inlineStr">
        <is>
          <t>649014937782</t>
        </is>
      </c>
      <c r="B12" s="93" t="inlineStr">
        <is>
          <t>24包</t>
        </is>
      </c>
      <c r="C12" s="93" t="inlineStr">
        <is>
          <t>印尼营多捞面干拌面一整箱24袋装批发泡面宿舍速食方便面火鸡面</t>
        </is>
      </c>
      <c r="D12" s="102">
        <f>IFERROR(SUMIFS(数据源!AB:AB,数据源!B:B,$A12,数据源!A:A,"5.11-5.17"),0)</f>
        <v/>
      </c>
      <c r="E12" s="102">
        <f>IFERROR(SUMIFS(数据源!AB:AB,数据源!B:B,$A12,数据源!A:A,"5.25-5.31"),0)</f>
        <v/>
      </c>
      <c r="F12" s="102">
        <f>IFERROR(SUMIFS(数据源!AB:AB,数据源!B:B,$A12,数据源!A:A,"6.15-6.21"),0)</f>
        <v/>
      </c>
      <c r="G12" s="102">
        <f>IFERROR(SUMIFS(数据源!AB:AB,数据源!B:B,$A12,数据源!A:A,"6.22-6.28"),0)</f>
        <v/>
      </c>
      <c r="H12" s="102">
        <f>IFERROR(SUMIFS(数据源!AB:AB,数据源!B:B,$A12,数据源!A:A,"6.29-7.5"),0)</f>
        <v/>
      </c>
      <c r="I12" s="102">
        <f>IFERROR(SUMIFS(数据源!AB:AB,数据源!B:B,$A12,数据源!A:A,"7.6-7.12"),0)</f>
        <v/>
      </c>
      <c r="J12" s="102">
        <f>IFERROR(SUMIFS(数据源!AB:AB,数据源!B:B,$A12,数据源!A:A,"7.13-7.19"),0)</f>
        <v/>
      </c>
      <c r="K12" s="102">
        <f>IFERROR(SUMIFS(数据源!AB:AB,数据源!B:B,$A12,数据源!A:A,"7.20-7.26"),0)</f>
        <v/>
      </c>
      <c r="L12" s="102">
        <f>IFERROR(SUMIFS(数据源!AB:AB,数据源!B:B,$A12,数据源!A:A,"7.27-8.2"),0)</f>
        <v/>
      </c>
      <c r="M12" s="102">
        <f>J12-I12</f>
        <v/>
      </c>
      <c r="N12" s="102">
        <f>K12-J12</f>
        <v/>
      </c>
    </row>
    <row r="13" ht="16.5" customHeight="1" s="65">
      <c r="A13" s="99" t="inlineStr">
        <is>
          <t>648681860568</t>
        </is>
      </c>
      <c r="B13" s="91" t="inlineStr">
        <is>
          <t>杯面次链接</t>
        </is>
      </c>
      <c r="C13" s="91" t="inlineStr">
        <is>
          <t>营多捞面杯装方便面泡面速食干拌面原味整箱批发印尼进口桶装拌面</t>
        </is>
      </c>
      <c r="D13" s="100">
        <f>IFERROR(SUMIFS(数据源!AB:AB,数据源!B:B,$A13,数据源!A:A,"5.11-5.17"),0)</f>
        <v/>
      </c>
      <c r="E13" s="100">
        <f>IFERROR(SUMIFS(数据源!AB:AB,数据源!B:B,$A13,数据源!A:A,"5.25-5.31"),0)</f>
        <v/>
      </c>
      <c r="F13" s="100">
        <f>IFERROR(SUMIFS(数据源!AB:AB,数据源!B:B,$A13,数据源!A:A,"6.15-6.21"),0)</f>
        <v/>
      </c>
      <c r="G13" s="100">
        <f>IFERROR(SUMIFS(数据源!AB:AB,数据源!B:B,$A13,数据源!A:A,"6.22-6.28"),0)</f>
        <v/>
      </c>
      <c r="H13" s="100">
        <f>IFERROR(SUMIFS(数据源!AB:AB,数据源!B:B,$A13,数据源!A:A,"6.29-7.5"),0)</f>
        <v/>
      </c>
      <c r="I13" s="100">
        <f>IFERROR(SUMIFS(数据源!AB:AB,数据源!B:B,$A13,数据源!A:A,"7.6-7.12"),0)</f>
        <v/>
      </c>
      <c r="J13" s="100">
        <f>IFERROR(SUMIFS(数据源!AB:AB,数据源!B:B,$A13,数据源!A:A,"7.13-7.19"),0)</f>
        <v/>
      </c>
      <c r="K13" s="100">
        <f>IFERROR(SUMIFS(数据源!AB:AB,数据源!B:B,$A13,数据源!A:A,"7.20-7.26"),0)</f>
        <v/>
      </c>
      <c r="L13" s="100">
        <f>IFERROR(SUMIFS(数据源!AB:AB,数据源!B:B,$A13,数据源!A:A,"7.27-8.2"),0)</f>
        <v/>
      </c>
      <c r="M13" s="100">
        <f>J13-I13</f>
        <v/>
      </c>
      <c r="N13" s="100">
        <f>K13-J13</f>
        <v/>
      </c>
    </row>
    <row r="14" ht="16.5" customHeight="1" s="65">
      <c r="A14" s="101" t="inlineStr">
        <is>
          <t>648598580775</t>
        </is>
      </c>
      <c r="B14" s="93" t="inlineStr">
        <is>
          <t>15包</t>
        </is>
      </c>
      <c r="C14" s="93" t="inlineStr">
        <is>
          <t>进口营多捞面15包Indomie方便面干拌面夜宵方便速食五连包85g*5</t>
        </is>
      </c>
      <c r="D14" s="102">
        <f>IFERROR(SUMIFS(数据源!AB:AB,数据源!B:B,$A14,数据源!A:A,"5.11-5.17"),0)</f>
        <v/>
      </c>
      <c r="E14" s="102">
        <f>IFERROR(SUMIFS(数据源!AB:AB,数据源!B:B,$A14,数据源!A:A,"5.25-5.31"),0)</f>
        <v/>
      </c>
      <c r="F14" s="102">
        <f>IFERROR(SUMIFS(数据源!AB:AB,数据源!B:B,$A14,数据源!A:A,"6.15-6.21"),0)</f>
        <v/>
      </c>
      <c r="G14" s="102">
        <f>IFERROR(SUMIFS(数据源!AB:AB,数据源!B:B,$A14,数据源!A:A,"6.22-6.28"),0)</f>
        <v/>
      </c>
      <c r="H14" s="102">
        <f>IFERROR(SUMIFS(数据源!AB:AB,数据源!B:B,$A14,数据源!A:A,"6.29-7.5"),0)</f>
        <v/>
      </c>
      <c r="I14" s="102">
        <f>IFERROR(SUMIFS(数据源!AB:AB,数据源!B:B,$A14,数据源!A:A,"7.6-7.12"),0)</f>
        <v/>
      </c>
      <c r="J14" s="102">
        <f>IFERROR(SUMIFS(数据源!AB:AB,数据源!B:B,$A14,数据源!A:A,"7.13-7.19"),0)</f>
        <v/>
      </c>
      <c r="K14" s="102">
        <f>IFERROR(SUMIFS(数据源!AB:AB,数据源!B:B,$A14,数据源!A:A,"7.20-7.26"),0)</f>
        <v/>
      </c>
      <c r="L14" s="102">
        <f>IFERROR(SUMIFS(数据源!AB:AB,数据源!B:B,$A14,数据源!A:A,"7.27-8.2"),0)</f>
        <v/>
      </c>
      <c r="M14" s="102">
        <f>J14-I14</f>
        <v/>
      </c>
      <c r="N14" s="102">
        <f>K14-J14</f>
        <v/>
      </c>
    </row>
    <row r="15" ht="16.5" customHeight="1" s="65">
      <c r="A15" s="99" t="inlineStr">
        <is>
          <t>1059563993918</t>
        </is>
      </c>
      <c r="B15" s="91" t="inlineStr">
        <is>
          <t>巴东牛肉</t>
        </is>
      </c>
      <c r="C15" s="91" t="inlineStr">
        <is>
          <t>营多进口新口味巴东炖牛肉味捞面印尼料理方便面泡面捞面夜宵速食</t>
        </is>
      </c>
      <c r="D15" s="100">
        <f>IFERROR(SUMIFS(数据源!AB:AB,数据源!B:B,$A15,数据源!A:A,"5.11-5.17"),0)</f>
        <v/>
      </c>
      <c r="E15" s="100">
        <f>IFERROR(SUMIFS(数据源!AB:AB,数据源!B:B,$A15,数据源!A:A,"5.25-5.31"),0)</f>
        <v/>
      </c>
      <c r="F15" s="100">
        <f>IFERROR(SUMIFS(数据源!AB:AB,数据源!B:B,$A15,数据源!A:A,"6.15-6.21"),0)</f>
        <v/>
      </c>
      <c r="G15" s="100">
        <f>IFERROR(SUMIFS(数据源!AB:AB,数据源!B:B,$A15,数据源!A:A,"6.22-6.28"),0)</f>
        <v/>
      </c>
      <c r="H15" s="100">
        <f>IFERROR(SUMIFS(数据源!AB:AB,数据源!B:B,$A15,数据源!A:A,"6.29-7.5"),0)</f>
        <v/>
      </c>
      <c r="I15" s="100">
        <f>IFERROR(SUMIFS(数据源!AB:AB,数据源!B:B,$A15,数据源!A:A,"7.6-7.12"),0)</f>
        <v/>
      </c>
      <c r="J15" s="100">
        <f>IFERROR(SUMIFS(数据源!AB:AB,数据源!B:B,$A15,数据源!A:A,"7.13-7.19"),0)</f>
        <v/>
      </c>
      <c r="K15" s="100">
        <f>IFERROR(SUMIFS(数据源!AB:AB,数据源!B:B,$A15,数据源!A:A,"7.20-7.26"),0)</f>
        <v/>
      </c>
      <c r="L15" s="100">
        <f>IFERROR(SUMIFS(数据源!AB:AB,数据源!B:B,$A15,数据源!A:A,"7.27-8.2"),0)</f>
        <v/>
      </c>
      <c r="M15" s="100">
        <f>J15-I15</f>
        <v/>
      </c>
      <c r="N15" s="100">
        <f>K15-J15</f>
        <v/>
      </c>
    </row>
    <row r="16" ht="16.5" customHeight="1" s="65">
      <c r="A16" s="101" t="inlineStr">
        <is>
          <t>969423151512</t>
        </is>
      </c>
      <c r="B16" s="93" t="inlineStr">
        <is>
          <t>日韩混搭</t>
        </is>
      </c>
      <c r="C16" s="93" t="inlineStr">
        <is>
          <t>营多捞面甜辣炸鸡火鸡面辣蘑菇泡面方便面速食干拌面宿舍宵夜旅行</t>
        </is>
      </c>
      <c r="D16" s="102">
        <f>IFERROR(SUMIFS(数据源!AB:AB,数据源!B:B,$A16,数据源!A:A,"5.11-5.17"),0)</f>
        <v/>
      </c>
      <c r="E16" s="102">
        <f>IFERROR(SUMIFS(数据源!AB:AB,数据源!B:B,$A16,数据源!A:A,"5.25-5.31"),0)</f>
        <v/>
      </c>
      <c r="F16" s="102">
        <f>IFERROR(SUMIFS(数据源!AB:AB,数据源!B:B,$A16,数据源!A:A,"6.15-6.21"),0)</f>
        <v/>
      </c>
      <c r="G16" s="102">
        <f>IFERROR(SUMIFS(数据源!AB:AB,数据源!B:B,$A16,数据源!A:A,"6.22-6.28"),0)</f>
        <v/>
      </c>
      <c r="H16" s="102">
        <f>IFERROR(SUMIFS(数据源!AB:AB,数据源!B:B,$A16,数据源!A:A,"6.29-7.5"),0)</f>
        <v/>
      </c>
      <c r="I16" s="102">
        <f>IFERROR(SUMIFS(数据源!AB:AB,数据源!B:B,$A16,数据源!A:A,"7.6-7.12"),0)</f>
        <v/>
      </c>
      <c r="J16" s="102">
        <f>IFERROR(SUMIFS(数据源!AB:AB,数据源!B:B,$A16,数据源!A:A,"7.13-7.19"),0)</f>
        <v/>
      </c>
      <c r="K16" s="102">
        <f>IFERROR(SUMIFS(数据源!AB:AB,数据源!B:B,$A16,数据源!A:A,"7.20-7.26"),0)</f>
        <v/>
      </c>
      <c r="L16" s="102">
        <f>IFERROR(SUMIFS(数据源!AB:AB,数据源!B:B,$A16,数据源!A:A,"7.27-8.2"),0)</f>
        <v/>
      </c>
      <c r="M16" s="102">
        <f>J16-I16</f>
        <v/>
      </c>
      <c r="N16" s="102">
        <f>K16-J16</f>
        <v/>
      </c>
    </row>
    <row r="17" ht="16.5" customHeight="1" s="65">
      <c r="A17" s="99" t="inlineStr">
        <is>
          <t>971242260371</t>
        </is>
      </c>
      <c r="B17" s="91" t="inlineStr">
        <is>
          <t>韩式袋面</t>
        </is>
      </c>
      <c r="C17" s="91" t="inlineStr">
        <is>
          <t>新品营多捞面韩式辣蘑菇汤面泡面方便面速食干拌面宿舍宵夜旅行</t>
        </is>
      </c>
      <c r="D17" s="100">
        <f>IFERROR(SUMIFS(数据源!AB:AB,数据源!B:B,$A17,数据源!A:A,"5.11-5.17"),0)</f>
        <v/>
      </c>
      <c r="E17" s="100">
        <f>IFERROR(SUMIFS(数据源!AB:AB,数据源!B:B,$A17,数据源!A:A,"5.25-5.31"),0)</f>
        <v/>
      </c>
      <c r="F17" s="100">
        <f>IFERROR(SUMIFS(数据源!AB:AB,数据源!B:B,$A17,数据源!A:A,"6.15-6.21"),0)</f>
        <v/>
      </c>
      <c r="G17" s="100">
        <f>IFERROR(SUMIFS(数据源!AB:AB,数据源!B:B,$A17,数据源!A:A,"6.22-6.28"),0)</f>
        <v/>
      </c>
      <c r="H17" s="100">
        <f>IFERROR(SUMIFS(数据源!AB:AB,数据源!B:B,$A17,数据源!A:A,"6.29-7.5"),0)</f>
        <v/>
      </c>
      <c r="I17" s="100">
        <f>IFERROR(SUMIFS(数据源!AB:AB,数据源!B:B,$A17,数据源!A:A,"7.6-7.12"),0)</f>
        <v/>
      </c>
      <c r="J17" s="100">
        <f>IFERROR(SUMIFS(数据源!AB:AB,数据源!B:B,$A17,数据源!A:A,"7.13-7.19"),0)</f>
        <v/>
      </c>
      <c r="K17" s="100">
        <f>IFERROR(SUMIFS(数据源!AB:AB,数据源!B:B,$A17,数据源!A:A,"7.20-7.26"),0)</f>
        <v/>
      </c>
      <c r="L17" s="100">
        <f>IFERROR(SUMIFS(数据源!AB:AB,数据源!B:B,$A17,数据源!A:A,"7.27-8.2"),0)</f>
        <v/>
      </c>
      <c r="M17" s="100">
        <f>J17-I17</f>
        <v/>
      </c>
      <c r="N17" s="100">
        <f>K17-J17</f>
        <v/>
      </c>
    </row>
    <row r="18" ht="16.5" customHeight="1" s="65">
      <c r="A18" s="101" t="inlineStr">
        <is>
          <t>937005385662</t>
        </is>
      </c>
      <c r="B18" s="93" t="inlineStr">
        <is>
          <t>日式袋面</t>
        </is>
      </c>
      <c r="C18" s="93" t="inlineStr">
        <is>
          <t>进口营多正品捞面日式鸡肉鸡汤辛辣味袋装泡面辣味速食方便面汤面</t>
        </is>
      </c>
      <c r="D18" s="102">
        <f>IFERROR(SUMIFS(数据源!AB:AB,数据源!B:B,$A18,数据源!A:A,"5.11-5.17"),0)</f>
        <v/>
      </c>
      <c r="E18" s="102">
        <f>IFERROR(SUMIFS(数据源!AB:AB,数据源!B:B,$A18,数据源!A:A,"5.25-5.31"),0)</f>
        <v/>
      </c>
      <c r="F18" s="102">
        <f>IFERROR(SUMIFS(数据源!AB:AB,数据源!B:B,$A18,数据源!A:A,"6.15-6.21"),0)</f>
        <v/>
      </c>
      <c r="G18" s="102">
        <f>IFERROR(SUMIFS(数据源!AB:AB,数据源!B:B,$A18,数据源!A:A,"6.22-6.28"),0)</f>
        <v/>
      </c>
      <c r="H18" s="102">
        <f>IFERROR(SUMIFS(数据源!AB:AB,数据源!B:B,$A18,数据源!A:A,"6.29-7.5"),0)</f>
        <v/>
      </c>
      <c r="I18" s="102">
        <f>IFERROR(SUMIFS(数据源!AB:AB,数据源!B:B,$A18,数据源!A:A,"7.6-7.12"),0)</f>
        <v/>
      </c>
      <c r="J18" s="102">
        <f>IFERROR(SUMIFS(数据源!AB:AB,数据源!B:B,$A18,数据源!A:A,"7.13-7.19"),0)</f>
        <v/>
      </c>
      <c r="K18" s="102">
        <f>IFERROR(SUMIFS(数据源!AB:AB,数据源!B:B,$A18,数据源!A:A,"7.20-7.26"),0)</f>
        <v/>
      </c>
      <c r="L18" s="102">
        <f>IFERROR(SUMIFS(数据源!AB:AB,数据源!B:B,$A18,数据源!A:A,"7.27-8.2"),0)</f>
        <v/>
      </c>
      <c r="M18" s="102">
        <f>J18-I18</f>
        <v/>
      </c>
      <c r="N18" s="102">
        <f>K18-J18</f>
        <v/>
      </c>
    </row>
    <row r="19" ht="16.5" customHeight="1" s="65">
      <c r="A19" s="99" t="inlineStr">
        <is>
          <t>976479938842</t>
        </is>
      </c>
      <c r="B19" s="91" t="inlineStr">
        <is>
          <t>【U选】原味5</t>
        </is>
      </c>
      <c r="C19" s="91" t="inlineStr">
        <is>
          <t>【天猫U选】indomie营多大骨牛肉味捞面拌面5包</t>
        </is>
      </c>
      <c r="D19" s="100">
        <f>IFERROR(SUMIFS(数据源!AB:AB,数据源!B:B,$A19,数据源!A:A,"5.11-5.17"),0)</f>
        <v/>
      </c>
      <c r="E19" s="100">
        <f>IFERROR(SUMIFS(数据源!AB:AB,数据源!B:B,$A19,数据源!A:A,"5.25-5.31"),0)</f>
        <v/>
      </c>
      <c r="F19" s="100">
        <f>IFERROR(SUMIFS(数据源!AB:AB,数据源!B:B,$A19,数据源!A:A,"6.15-6.21"),0)</f>
        <v/>
      </c>
      <c r="G19" s="100">
        <f>IFERROR(SUMIFS(数据源!AB:AB,数据源!B:B,$A19,数据源!A:A,"6.22-6.28"),0)</f>
        <v/>
      </c>
      <c r="H19" s="100">
        <f>IFERROR(SUMIFS(数据源!AB:AB,数据源!B:B,$A19,数据源!A:A,"6.29-7.5"),0)</f>
        <v/>
      </c>
      <c r="I19" s="100">
        <f>IFERROR(SUMIFS(数据源!AB:AB,数据源!B:B,$A19,数据源!A:A,"7.6-7.12"),0)</f>
        <v/>
      </c>
      <c r="J19" s="100">
        <f>IFERROR(SUMIFS(数据源!AB:AB,数据源!B:B,$A19,数据源!A:A,"7.13-7.19"),0)</f>
        <v/>
      </c>
      <c r="K19" s="100">
        <f>IFERROR(SUMIFS(数据源!AB:AB,数据源!B:B,$A19,数据源!A:A,"7.20-7.26"),0)</f>
        <v/>
      </c>
      <c r="L19" s="100">
        <f>IFERROR(SUMIFS(数据源!AB:AB,数据源!B:B,$A19,数据源!A:A,"7.27-8.2"),0)</f>
        <v/>
      </c>
      <c r="M19" s="100">
        <f>J19-I19</f>
        <v/>
      </c>
      <c r="N19" s="100">
        <f>K19-J19</f>
        <v/>
      </c>
    </row>
    <row r="20" ht="16.5" customHeight="1" s="65">
      <c r="A20" s="101" t="inlineStr">
        <is>
          <t>949962665617</t>
        </is>
      </c>
      <c r="B20" s="93" t="inlineStr">
        <is>
          <t>组合</t>
        </is>
      </c>
      <c r="C20" s="93" t="inlineStr">
        <is>
          <t>营多捞面多口味袋装泡面拌面速食面干拌面方便面宿舍宵夜速食旅行</t>
        </is>
      </c>
      <c r="D20" s="102">
        <f>IFERROR(SUMIFS(数据源!AB:AB,数据源!B:B,$A20,数据源!A:A,"5.11-5.17"),0)</f>
        <v/>
      </c>
      <c r="E20" s="102">
        <f>IFERROR(SUMIFS(数据源!AB:AB,数据源!B:B,$A20,数据源!A:A,"5.25-5.31"),0)</f>
        <v/>
      </c>
      <c r="F20" s="102">
        <f>IFERROR(SUMIFS(数据源!AB:AB,数据源!B:B,$A20,数据源!A:A,"6.15-6.21"),0)</f>
        <v/>
      </c>
      <c r="G20" s="102">
        <f>IFERROR(SUMIFS(数据源!AB:AB,数据源!B:B,$A20,数据源!A:A,"6.22-6.28"),0)</f>
        <v/>
      </c>
      <c r="H20" s="102">
        <f>IFERROR(SUMIFS(数据源!AB:AB,数据源!B:B,$A20,数据源!A:A,"6.29-7.5"),0)</f>
        <v/>
      </c>
      <c r="I20" s="102">
        <f>IFERROR(SUMIFS(数据源!AB:AB,数据源!B:B,$A20,数据源!A:A,"7.6-7.12"),0)</f>
        <v/>
      </c>
      <c r="J20" s="102">
        <f>IFERROR(SUMIFS(数据源!AB:AB,数据源!B:B,$A20,数据源!A:A,"7.13-7.19"),0)</f>
        <v/>
      </c>
      <c r="K20" s="102">
        <f>IFERROR(SUMIFS(数据源!AB:AB,数据源!B:B,$A20,数据源!A:A,"7.20-7.26"),0)</f>
        <v/>
      </c>
      <c r="L20" s="102">
        <f>IFERROR(SUMIFS(数据源!AB:AB,数据源!B:B,$A20,数据源!A:A,"7.27-8.2"),0)</f>
        <v/>
      </c>
      <c r="M20" s="102">
        <f>J20-I20</f>
        <v/>
      </c>
      <c r="N20" s="102">
        <f>K20-J20</f>
        <v/>
      </c>
    </row>
    <row r="21" ht="16.5" customHeight="1" s="65">
      <c r="A21" s="99" t="inlineStr">
        <is>
          <t>898076297965</t>
        </is>
      </c>
      <c r="B21" s="91" t="inlineStr">
        <is>
          <t>番茄牛肉</t>
        </is>
      </c>
      <c r="C21" s="91" t="inlineStr">
        <is>
          <t>进口正品意面风味奶香番茄牛肉味意式拌面营多捞面早餐儿童宝妈餐</t>
        </is>
      </c>
      <c r="D21" s="100">
        <f>IFERROR(SUMIFS(数据源!AB:AB,数据源!B:B,$A21,数据源!A:A,"5.11-5.17"),0)</f>
        <v/>
      </c>
      <c r="E21" s="100">
        <f>IFERROR(SUMIFS(数据源!AB:AB,数据源!B:B,$A21,数据源!A:A,"5.25-5.31"),0)</f>
        <v/>
      </c>
      <c r="F21" s="100">
        <f>IFERROR(SUMIFS(数据源!AB:AB,数据源!B:B,$A21,数据源!A:A,"6.15-6.21"),0)</f>
        <v/>
      </c>
      <c r="G21" s="100">
        <f>IFERROR(SUMIFS(数据源!AB:AB,数据源!B:B,$A21,数据源!A:A,"6.22-6.28"),0)</f>
        <v/>
      </c>
      <c r="H21" s="100">
        <f>IFERROR(SUMIFS(数据源!AB:AB,数据源!B:B,$A21,数据源!A:A,"6.29-7.5"),0)</f>
        <v/>
      </c>
      <c r="I21" s="100">
        <f>IFERROR(SUMIFS(数据源!AB:AB,数据源!B:B,$A21,数据源!A:A,"7.6-7.12"),0)</f>
        <v/>
      </c>
      <c r="J21" s="100">
        <f>IFERROR(SUMIFS(数据源!AB:AB,数据源!B:B,$A21,数据源!A:A,"7.13-7.19"),0)</f>
        <v/>
      </c>
      <c r="K21" s="100">
        <f>IFERROR(SUMIFS(数据源!AB:AB,数据源!B:B,$A21,数据源!A:A,"7.20-7.26"),0)</f>
        <v/>
      </c>
      <c r="L21" s="100">
        <f>IFERROR(SUMIFS(数据源!AB:AB,数据源!B:B,$A21,数据源!A:A,"7.27-8.2"),0)</f>
        <v/>
      </c>
      <c r="M21" s="100">
        <f>J21-I21</f>
        <v/>
      </c>
      <c r="N21" s="100">
        <f>K21-J21</f>
        <v/>
      </c>
    </row>
    <row r="22" ht="16.5" customHeight="1" s="65">
      <c r="A22" s="101" t="inlineStr">
        <is>
          <t>1060999732877</t>
        </is>
      </c>
      <c r="B22" s="93" t="inlineStr">
        <is>
          <t>原味大包</t>
        </is>
      </c>
      <c r="C22" s="93" t="inlineStr">
        <is>
          <t>indomie印尼进口营多原味大大包129g捞面方便面速食食品宵夜小吃</t>
        </is>
      </c>
      <c r="D22" s="102">
        <f>IFERROR(SUMIFS(数据源!AB:AB,数据源!B:B,$A22,数据源!A:A,"5.11-5.17"),0)</f>
        <v/>
      </c>
      <c r="E22" s="102">
        <f>IFERROR(SUMIFS(数据源!AB:AB,数据源!B:B,$A22,数据源!A:A,"5.25-5.31"),0)</f>
        <v/>
      </c>
      <c r="F22" s="102">
        <f>IFERROR(SUMIFS(数据源!AB:AB,数据源!B:B,$A22,数据源!A:A,"6.15-6.21"),0)</f>
        <v/>
      </c>
      <c r="G22" s="102">
        <f>IFERROR(SUMIFS(数据源!AB:AB,数据源!B:B,$A22,数据源!A:A,"6.22-6.28"),0)</f>
        <v/>
      </c>
      <c r="H22" s="102">
        <f>IFERROR(SUMIFS(数据源!AB:AB,数据源!B:B,$A22,数据源!A:A,"6.29-7.5"),0)</f>
        <v/>
      </c>
      <c r="I22" s="102">
        <f>IFERROR(SUMIFS(数据源!AB:AB,数据源!B:B,$A22,数据源!A:A,"7.6-7.12"),0)</f>
        <v/>
      </c>
      <c r="J22" s="102">
        <f>IFERROR(SUMIFS(数据源!AB:AB,数据源!B:B,$A22,数据源!A:A,"7.13-7.19"),0)</f>
        <v/>
      </c>
      <c r="K22" s="102">
        <f>IFERROR(SUMIFS(数据源!AB:AB,数据源!B:B,$A22,数据源!A:A,"7.20-7.26"),0)</f>
        <v/>
      </c>
      <c r="L22" s="102">
        <f>IFERROR(SUMIFS(数据源!AB:AB,数据源!B:B,$A22,数据源!A:A,"7.27-8.2"),0)</f>
        <v/>
      </c>
      <c r="M22" s="102">
        <f>J22-I22</f>
        <v/>
      </c>
      <c r="N22" s="102">
        <f>K22-J22</f>
        <v/>
      </c>
    </row>
    <row r="23" ht="16.5" customHeight="1" s="65">
      <c r="A23" s="99" t="inlineStr">
        <is>
          <t>969433743398</t>
        </is>
      </c>
      <c r="B23" s="91" t="inlineStr">
        <is>
          <t>韩蘑菇</t>
        </is>
      </c>
      <c r="C23" s="91" t="inlineStr">
        <is>
          <t>新品营多捞面韩式辣蘑菇汤面泡面方便面速食干拌面宿舍宵夜旅行</t>
        </is>
      </c>
      <c r="D23" s="100">
        <f>IFERROR(SUMIFS(数据源!AB:AB,数据源!B:B,$A23,数据源!A:A,"5.11-5.17"),0)</f>
        <v/>
      </c>
      <c r="E23" s="100">
        <f>IFERROR(SUMIFS(数据源!AB:AB,数据源!B:B,$A23,数据源!A:A,"5.25-5.31"),0)</f>
        <v/>
      </c>
      <c r="F23" s="100">
        <f>IFERROR(SUMIFS(数据源!AB:AB,数据源!B:B,$A23,数据源!A:A,"6.15-6.21"),0)</f>
        <v/>
      </c>
      <c r="G23" s="100">
        <f>IFERROR(SUMIFS(数据源!AB:AB,数据源!B:B,$A23,数据源!A:A,"6.22-6.28"),0)</f>
        <v/>
      </c>
      <c r="H23" s="100">
        <f>IFERROR(SUMIFS(数据源!AB:AB,数据源!B:B,$A23,数据源!A:A,"6.29-7.5"),0)</f>
        <v/>
      </c>
      <c r="I23" s="100">
        <f>IFERROR(SUMIFS(数据源!AB:AB,数据源!B:B,$A23,数据源!A:A,"7.6-7.12"),0)</f>
        <v/>
      </c>
      <c r="J23" s="100">
        <f>IFERROR(SUMIFS(数据源!AB:AB,数据源!B:B,$A23,数据源!A:A,"7.13-7.19"),0)</f>
        <v/>
      </c>
      <c r="K23" s="100">
        <f>IFERROR(SUMIFS(数据源!AB:AB,数据源!B:B,$A23,数据源!A:A,"7.20-7.26"),0)</f>
        <v/>
      </c>
      <c r="L23" s="100">
        <f>IFERROR(SUMIFS(数据源!AB:AB,数据源!B:B,$A23,数据源!A:A,"7.27-8.2"),0)</f>
        <v/>
      </c>
      <c r="M23" s="100">
        <f>J23-I23</f>
        <v/>
      </c>
      <c r="N23" s="100">
        <f>K23-J23</f>
        <v/>
      </c>
    </row>
    <row r="24" ht="16.5" customHeight="1" s="65">
      <c r="A24" s="101" t="inlineStr">
        <is>
          <t>744317232690</t>
        </is>
      </c>
      <c r="B24" s="93" t="inlineStr">
        <is>
          <t>多规格</t>
        </is>
      </c>
      <c r="C24" s="93" t="inlineStr">
        <is>
          <t>营多捞面汤面清香牛肉味方便面泡面速食食品泡面拉面整箱旅行宿舍</t>
        </is>
      </c>
      <c r="D24" s="102">
        <f>IFERROR(SUMIFS(数据源!AB:AB,数据源!B:B,$A24,数据源!A:A,"5.11-5.17"),0)</f>
        <v/>
      </c>
      <c r="E24" s="102">
        <f>IFERROR(SUMIFS(数据源!AB:AB,数据源!B:B,$A24,数据源!A:A,"5.25-5.31"),0)</f>
        <v/>
      </c>
      <c r="F24" s="102">
        <f>IFERROR(SUMIFS(数据源!AB:AB,数据源!B:B,$A24,数据源!A:A,"6.15-6.21"),0)</f>
        <v/>
      </c>
      <c r="G24" s="102">
        <f>IFERROR(SUMIFS(数据源!AB:AB,数据源!B:B,$A24,数据源!A:A,"6.22-6.28"),0)</f>
        <v/>
      </c>
      <c r="H24" s="102">
        <f>IFERROR(SUMIFS(数据源!AB:AB,数据源!B:B,$A24,数据源!A:A,"6.29-7.5"),0)</f>
        <v/>
      </c>
      <c r="I24" s="102">
        <f>IFERROR(SUMIFS(数据源!AB:AB,数据源!B:B,$A24,数据源!A:A,"7.6-7.12"),0)</f>
        <v/>
      </c>
      <c r="J24" s="102">
        <f>IFERROR(SUMIFS(数据源!AB:AB,数据源!B:B,$A24,数据源!A:A,"7.13-7.19"),0)</f>
        <v/>
      </c>
      <c r="K24" s="102">
        <f>IFERROR(SUMIFS(数据源!AB:AB,数据源!B:B,$A24,数据源!A:A,"7.20-7.26"),0)</f>
        <v/>
      </c>
      <c r="L24" s="102">
        <f>IFERROR(SUMIFS(数据源!AB:AB,数据源!B:B,$A24,数据源!A:A,"7.27-8.2"),0)</f>
        <v/>
      </c>
      <c r="M24" s="102">
        <f>J24-I24</f>
        <v/>
      </c>
      <c r="N24" s="102">
        <f>K24-J24</f>
        <v/>
      </c>
    </row>
    <row r="25" ht="16.5" customHeight="1" s="65">
      <c r="A25" s="99" t="inlineStr">
        <is>
          <t>976466902934</t>
        </is>
      </c>
      <c r="B25" s="91" t="inlineStr">
        <is>
          <t>【U选】日式原杯1+日式辣杯1</t>
        </is>
      </c>
      <c r="C25" s="91" t="inlineStr">
        <is>
          <t>【天猫U选】indomie营多捞面辣火鸡味日式鸡肉原味杯面</t>
        </is>
      </c>
      <c r="D25" s="100">
        <f>IFERROR(SUMIFS(数据源!AB:AB,数据源!B:B,$A25,数据源!A:A,"5.11-5.17"),0)</f>
        <v/>
      </c>
      <c r="E25" s="100">
        <f>IFERROR(SUMIFS(数据源!AB:AB,数据源!B:B,$A25,数据源!A:A,"5.25-5.31"),0)</f>
        <v/>
      </c>
      <c r="F25" s="100">
        <f>IFERROR(SUMIFS(数据源!AB:AB,数据源!B:B,$A25,数据源!A:A,"6.15-6.21"),0)</f>
        <v/>
      </c>
      <c r="G25" s="100">
        <f>IFERROR(SUMIFS(数据源!AB:AB,数据源!B:B,$A25,数据源!A:A,"6.22-6.28"),0)</f>
        <v/>
      </c>
      <c r="H25" s="100">
        <f>IFERROR(SUMIFS(数据源!AB:AB,数据源!B:B,$A25,数据源!A:A,"6.29-7.5"),0)</f>
        <v/>
      </c>
      <c r="I25" s="100">
        <f>IFERROR(SUMIFS(数据源!AB:AB,数据源!B:B,$A25,数据源!A:A,"7.6-7.12"),0)</f>
        <v/>
      </c>
      <c r="J25" s="100">
        <f>IFERROR(SUMIFS(数据源!AB:AB,数据源!B:B,$A25,数据源!A:A,"7.13-7.19"),0)</f>
        <v/>
      </c>
      <c r="K25" s="100">
        <f>IFERROR(SUMIFS(数据源!AB:AB,数据源!B:B,$A25,数据源!A:A,"7.20-7.26"),0)</f>
        <v/>
      </c>
      <c r="L25" s="100">
        <f>IFERROR(SUMIFS(数据源!AB:AB,数据源!B:B,$A25,数据源!A:A,"7.27-8.2"),0)</f>
        <v/>
      </c>
      <c r="M25" s="100">
        <f>J25-I25</f>
        <v/>
      </c>
      <c r="N25" s="100">
        <f>K25-J25</f>
        <v/>
      </c>
    </row>
    <row r="26" ht="16.5" customHeight="1" s="65">
      <c r="A26" s="101" t="inlineStr">
        <is>
          <t>976467954327</t>
        </is>
      </c>
      <c r="B26" s="93" t="inlineStr">
        <is>
          <t>日韩杯面</t>
        </is>
      </c>
      <c r="C26" s="93" t="inlineStr">
        <is>
          <t>【天猫U选】indomie营多捞面辣蘑菇味日式辣味杯面</t>
        </is>
      </c>
      <c r="D26" s="102">
        <f>IFERROR(SUMIFS(数据源!AB:AB,数据源!B:B,$A26,数据源!A:A,"5.11-5.17"),0)</f>
        <v/>
      </c>
      <c r="E26" s="102">
        <f>IFERROR(SUMIFS(数据源!AB:AB,数据源!B:B,$A26,数据源!A:A,"5.25-5.31"),0)</f>
        <v/>
      </c>
      <c r="F26" s="102">
        <f>IFERROR(SUMIFS(数据源!AB:AB,数据源!B:B,$A26,数据源!A:A,"6.15-6.21"),0)</f>
        <v/>
      </c>
      <c r="G26" s="102">
        <f>IFERROR(SUMIFS(数据源!AB:AB,数据源!B:B,$A26,数据源!A:A,"6.22-6.28"),0)</f>
        <v/>
      </c>
      <c r="H26" s="102">
        <f>IFERROR(SUMIFS(数据源!AB:AB,数据源!B:B,$A26,数据源!A:A,"6.29-7.5"),0)</f>
        <v/>
      </c>
      <c r="I26" s="102">
        <f>IFERROR(SUMIFS(数据源!AB:AB,数据源!B:B,$A26,数据源!A:A,"7.6-7.12"),0)</f>
        <v/>
      </c>
      <c r="J26" s="102">
        <f>IFERROR(SUMIFS(数据源!AB:AB,数据源!B:B,$A26,数据源!A:A,"7.13-7.19"),0)</f>
        <v/>
      </c>
      <c r="K26" s="102">
        <f>IFERROR(SUMIFS(数据源!AB:AB,数据源!B:B,$A26,数据源!A:A,"7.20-7.26"),0)</f>
        <v/>
      </c>
      <c r="L26" s="102">
        <f>IFERROR(SUMIFS(数据源!AB:AB,数据源!B:B,$A26,数据源!A:A,"7.27-8.2"),0)</f>
        <v/>
      </c>
      <c r="M26" s="102">
        <f>J26-I26</f>
        <v/>
      </c>
      <c r="N26" s="102">
        <f>K26-J26</f>
        <v/>
      </c>
    </row>
    <row r="27" ht="16.5" customHeight="1" s="65">
      <c r="A27" s="99" t="inlineStr">
        <is>
          <t>885645733215</t>
        </is>
      </c>
      <c r="B27" s="91" t="inlineStr">
        <is>
          <t>大骨牛肉</t>
        </is>
      </c>
      <c r="C27" s="91" t="inlineStr">
        <is>
          <t>进口营多大骨番茄牛肉味营多捞面意式泡面宿舍宿舍宵夜速食方便面</t>
        </is>
      </c>
      <c r="D27" s="100">
        <f>IFERROR(SUMIFS(数据源!AB:AB,数据源!B:B,$A27,数据源!A:A,"5.11-5.17"),0)</f>
        <v/>
      </c>
      <c r="E27" s="100">
        <f>IFERROR(SUMIFS(数据源!AB:AB,数据源!B:B,$A27,数据源!A:A,"5.25-5.31"),0)</f>
        <v/>
      </c>
      <c r="F27" s="100">
        <f>IFERROR(SUMIFS(数据源!AB:AB,数据源!B:B,$A27,数据源!A:A,"6.15-6.21"),0)</f>
        <v/>
      </c>
      <c r="G27" s="100">
        <f>IFERROR(SUMIFS(数据源!AB:AB,数据源!B:B,$A27,数据源!A:A,"6.22-6.28"),0)</f>
        <v/>
      </c>
      <c r="H27" s="100">
        <f>IFERROR(SUMIFS(数据源!AB:AB,数据源!B:B,$A27,数据源!A:A,"6.29-7.5"),0)</f>
        <v/>
      </c>
      <c r="I27" s="100">
        <f>IFERROR(SUMIFS(数据源!AB:AB,数据源!B:B,$A27,数据源!A:A,"7.6-7.12"),0)</f>
        <v/>
      </c>
      <c r="J27" s="100">
        <f>IFERROR(SUMIFS(数据源!AB:AB,数据源!B:B,$A27,数据源!A:A,"7.13-7.19"),0)</f>
        <v/>
      </c>
      <c r="K27" s="100">
        <f>IFERROR(SUMIFS(数据源!AB:AB,数据源!B:B,$A27,数据源!A:A,"7.20-7.26"),0)</f>
        <v/>
      </c>
      <c r="L27" s="100">
        <f>IFERROR(SUMIFS(数据源!AB:AB,数据源!B:B,$A27,数据源!A:A,"7.27-8.2"),0)</f>
        <v/>
      </c>
      <c r="M27" s="100">
        <f>J27-I27</f>
        <v/>
      </c>
      <c r="N27" s="100">
        <f>K27-J27</f>
        <v/>
      </c>
    </row>
    <row r="28" ht="16.5" customHeight="1" s="65">
      <c r="A28" s="101" t="inlineStr">
        <is>
          <t>903183018417</t>
        </is>
      </c>
      <c r="B28" s="93" t="inlineStr">
        <is>
          <t>七口味混搭</t>
        </is>
      </c>
      <c r="C28" s="93" t="inlineStr">
        <is>
          <t>进口营多捞面汤面拌面七口味混合方便面速拉面宿舍拌面泡面食食品</t>
        </is>
      </c>
      <c r="D28" s="102">
        <f>IFERROR(SUMIFS(数据源!AB:AB,数据源!B:B,$A28,数据源!A:A,"5.11-5.17"),0)</f>
        <v/>
      </c>
      <c r="E28" s="102">
        <f>IFERROR(SUMIFS(数据源!AB:AB,数据源!B:B,$A28,数据源!A:A,"5.25-5.31"),0)</f>
        <v/>
      </c>
      <c r="F28" s="102">
        <f>IFERROR(SUMIFS(数据源!AB:AB,数据源!B:B,$A28,数据源!A:A,"6.15-6.21"),0)</f>
        <v/>
      </c>
      <c r="G28" s="102">
        <f>IFERROR(SUMIFS(数据源!AB:AB,数据源!B:B,$A28,数据源!A:A,"6.22-6.28"),0)</f>
        <v/>
      </c>
      <c r="H28" s="102">
        <f>IFERROR(SUMIFS(数据源!AB:AB,数据源!B:B,$A28,数据源!A:A,"6.29-7.5"),0)</f>
        <v/>
      </c>
      <c r="I28" s="102">
        <f>IFERROR(SUMIFS(数据源!AB:AB,数据源!B:B,$A28,数据源!A:A,"7.6-7.12"),0)</f>
        <v/>
      </c>
      <c r="J28" s="102">
        <f>IFERROR(SUMIFS(数据源!AB:AB,数据源!B:B,$A28,数据源!A:A,"7.13-7.19"),0)</f>
        <v/>
      </c>
      <c r="K28" s="102">
        <f>IFERROR(SUMIFS(数据源!AB:AB,数据源!B:B,$A28,数据源!A:A,"7.20-7.26"),0)</f>
        <v/>
      </c>
      <c r="L28" s="102">
        <f>IFERROR(SUMIFS(数据源!AB:AB,数据源!B:B,$A28,数据源!A:A,"7.27-8.2"),0)</f>
        <v/>
      </c>
      <c r="M28" s="102">
        <f>J28-I28</f>
        <v/>
      </c>
      <c r="N28" s="102">
        <f>K28-J28</f>
        <v/>
      </c>
    </row>
    <row r="29" ht="16.5" customHeight="1" s="65">
      <c r="A29" s="99" t="inlineStr">
        <is>
          <t>947413291596</t>
        </is>
      </c>
      <c r="B29" s="91" t="inlineStr">
        <is>
          <t>杯面</t>
        </is>
      </c>
      <c r="C29" s="91" t="inlineStr">
        <is>
          <t>营多捞面杯装方便面泡面速食干拌面原味整箱批发印尼进口桶装拌面</t>
        </is>
      </c>
      <c r="D29" s="100">
        <f>IFERROR(SUMIFS(数据源!AB:AB,数据源!B:B,$A29,数据源!A:A,"5.11-5.17"),0)</f>
        <v/>
      </c>
      <c r="E29" s="100">
        <f>IFERROR(SUMIFS(数据源!AB:AB,数据源!B:B,$A29,数据源!A:A,"5.25-5.31"),0)</f>
        <v/>
      </c>
      <c r="F29" s="100">
        <f>IFERROR(SUMIFS(数据源!AB:AB,数据源!B:B,$A29,数据源!A:A,"6.15-6.21"),0)</f>
        <v/>
      </c>
      <c r="G29" s="100">
        <f>IFERROR(SUMIFS(数据源!AB:AB,数据源!B:B,$A29,数据源!A:A,"6.22-6.28"),0)</f>
        <v/>
      </c>
      <c r="H29" s="100">
        <f>IFERROR(SUMIFS(数据源!AB:AB,数据源!B:B,$A29,数据源!A:A,"6.29-7.5"),0)</f>
        <v/>
      </c>
      <c r="I29" s="100">
        <f>IFERROR(SUMIFS(数据源!AB:AB,数据源!B:B,$A29,数据源!A:A,"7.6-7.12"),0)</f>
        <v/>
      </c>
      <c r="J29" s="100">
        <f>IFERROR(SUMIFS(数据源!AB:AB,数据源!B:B,$A29,数据源!A:A,"7.13-7.19"),0)</f>
        <v/>
      </c>
      <c r="K29" s="100">
        <f>IFERROR(SUMIFS(数据源!AB:AB,数据源!B:B,$A29,数据源!A:A,"7.20-7.26"),0)</f>
        <v/>
      </c>
      <c r="L29" s="100">
        <f>IFERROR(SUMIFS(数据源!AB:AB,数据源!B:B,$A29,数据源!A:A,"7.27-8.2"),0)</f>
        <v/>
      </c>
      <c r="M29" s="100">
        <f>J29-I29</f>
        <v/>
      </c>
      <c r="N29" s="100">
        <f>K29-J29</f>
        <v/>
      </c>
    </row>
    <row r="30" ht="16.5" customHeight="1" s="65">
      <c r="A30" s="101" t="inlineStr">
        <is>
          <t>869217868453</t>
        </is>
      </c>
      <c r="B30" s="93" t="inlineStr">
        <is>
          <t>韩式杯面</t>
        </is>
      </c>
      <c r="C30" s="93" t="inlineStr">
        <is>
          <t>营多捞面韩式甜辣炸鸡辣蘑菇杯面方便面拌面泡面宿舍速食面</t>
        </is>
      </c>
      <c r="D30" s="102">
        <f>IFERROR(SUMIFS(数据源!AB:AB,数据源!B:B,$A30,数据源!A:A,"5.11-5.17"),0)</f>
        <v/>
      </c>
      <c r="E30" s="102">
        <f>IFERROR(SUMIFS(数据源!AB:AB,数据源!B:B,$A30,数据源!A:A,"5.25-5.31"),0)</f>
        <v/>
      </c>
      <c r="F30" s="102">
        <f>IFERROR(SUMIFS(数据源!AB:AB,数据源!B:B,$A30,数据源!A:A,"6.15-6.21"),0)</f>
        <v/>
      </c>
      <c r="G30" s="102">
        <f>IFERROR(SUMIFS(数据源!AB:AB,数据源!B:B,$A30,数据源!A:A,"6.22-6.28"),0)</f>
        <v/>
      </c>
      <c r="H30" s="102">
        <f>IFERROR(SUMIFS(数据源!AB:AB,数据源!B:B,$A30,数据源!A:A,"6.29-7.5"),0)</f>
        <v/>
      </c>
      <c r="I30" s="102">
        <f>IFERROR(SUMIFS(数据源!AB:AB,数据源!B:B,$A30,数据源!A:A,"7.6-7.12"),0)</f>
        <v/>
      </c>
      <c r="J30" s="102">
        <f>IFERROR(SUMIFS(数据源!AB:AB,数据源!B:B,$A30,数据源!A:A,"7.13-7.19"),0)</f>
        <v/>
      </c>
      <c r="K30" s="102">
        <f>IFERROR(SUMIFS(数据源!AB:AB,数据源!B:B,$A30,数据源!A:A,"7.20-7.26"),0)</f>
        <v/>
      </c>
      <c r="L30" s="102">
        <f>IFERROR(SUMIFS(数据源!AB:AB,数据源!B:B,$A30,数据源!A:A,"7.27-8.2"),0)</f>
        <v/>
      </c>
      <c r="M30" s="102">
        <f>J30-I30</f>
        <v/>
      </c>
      <c r="N30" s="102">
        <f>K30-J30</f>
        <v/>
      </c>
    </row>
    <row r="31" ht="16.5" customHeight="1" s="65">
      <c r="A31" s="99" t="inlineStr">
        <is>
          <t>1028450344901</t>
        </is>
      </c>
      <c r="B31" s="91" t="inlineStr">
        <is>
          <t>韩式火鸡</t>
        </is>
      </c>
      <c r="C31" s="91" t="inlineStr">
        <is>
          <t>营多韩式火鸡面袋装拌面干拌面泡面方便面速食面宿舍宵夜旅行</t>
        </is>
      </c>
      <c r="D31" s="100">
        <f>IFERROR(SUMIFS(数据源!AB:AB,数据源!B:B,$A31,数据源!A:A,"5.11-5.17"),0)</f>
        <v/>
      </c>
      <c r="E31" s="100">
        <f>IFERROR(SUMIFS(数据源!AB:AB,数据源!B:B,$A31,数据源!A:A,"5.25-5.31"),0)</f>
        <v/>
      </c>
      <c r="F31" s="100">
        <f>IFERROR(SUMIFS(数据源!AB:AB,数据源!B:B,$A31,数据源!A:A,"6.15-6.21"),0)</f>
        <v/>
      </c>
      <c r="G31" s="100">
        <f>IFERROR(SUMIFS(数据源!AB:AB,数据源!B:B,$A31,数据源!A:A,"6.22-6.28"),0)</f>
        <v/>
      </c>
      <c r="H31" s="100">
        <f>IFERROR(SUMIFS(数据源!AB:AB,数据源!B:B,$A31,数据源!A:A,"6.29-7.5"),0)</f>
        <v/>
      </c>
      <c r="I31" s="100">
        <f>IFERROR(SUMIFS(数据源!AB:AB,数据源!B:B,$A31,数据源!A:A,"7.6-7.12"),0)</f>
        <v/>
      </c>
      <c r="J31" s="100">
        <f>IFERROR(SUMIFS(数据源!AB:AB,数据源!B:B,$A31,数据源!A:A,"7.13-7.19"),0)</f>
        <v/>
      </c>
      <c r="K31" s="100">
        <f>IFERROR(SUMIFS(数据源!AB:AB,数据源!B:B,$A31,数据源!A:A,"7.20-7.26"),0)</f>
        <v/>
      </c>
      <c r="L31" s="100">
        <f>IFERROR(SUMIFS(数据源!AB:AB,数据源!B:B,$A31,数据源!A:A,"7.27-8.2"),0)</f>
        <v/>
      </c>
      <c r="M31" s="100">
        <f>J31-I31</f>
        <v/>
      </c>
      <c r="N31" s="100">
        <f>K31-J31</f>
        <v/>
      </c>
    </row>
    <row r="32" ht="16.5" customHeight="1" s="65">
      <c r="A32" s="101" t="inlineStr">
        <is>
          <t>916072786304</t>
        </is>
      </c>
      <c r="B32" s="93" t="inlineStr">
        <is>
          <t>小规格</t>
        </is>
      </c>
      <c r="C32" s="93" t="inlineStr">
        <is>
          <t>营多印尼进口营多捞面方便面火鸡面干拌面10包宿舍速食泡面夜宵</t>
        </is>
      </c>
      <c r="D32" s="102">
        <f>IFERROR(SUMIFS(数据源!AB:AB,数据源!B:B,$A32,数据源!A:A,"5.11-5.17"),0)</f>
        <v/>
      </c>
      <c r="E32" s="102">
        <f>IFERROR(SUMIFS(数据源!AB:AB,数据源!B:B,$A32,数据源!A:A,"5.25-5.31"),0)</f>
        <v/>
      </c>
      <c r="F32" s="102">
        <f>IFERROR(SUMIFS(数据源!AB:AB,数据源!B:B,$A32,数据源!A:A,"6.15-6.21"),0)</f>
        <v/>
      </c>
      <c r="G32" s="102">
        <f>IFERROR(SUMIFS(数据源!AB:AB,数据源!B:B,$A32,数据源!A:A,"6.22-6.28"),0)</f>
        <v/>
      </c>
      <c r="H32" s="102">
        <f>IFERROR(SUMIFS(数据源!AB:AB,数据源!B:B,$A32,数据源!A:A,"6.29-7.5"),0)</f>
        <v/>
      </c>
      <c r="I32" s="102">
        <f>IFERROR(SUMIFS(数据源!AB:AB,数据源!B:B,$A32,数据源!A:A,"7.6-7.12"),0)</f>
        <v/>
      </c>
      <c r="J32" s="102">
        <f>IFERROR(SUMIFS(数据源!AB:AB,数据源!B:B,$A32,数据源!A:A,"7.13-7.19"),0)</f>
        <v/>
      </c>
      <c r="K32" s="102">
        <f>IFERROR(SUMIFS(数据源!AB:AB,数据源!B:B,$A32,数据源!A:A,"7.20-7.26"),0)</f>
        <v/>
      </c>
      <c r="L32" s="102">
        <f>IFERROR(SUMIFS(数据源!AB:AB,数据源!B:B,$A32,数据源!A:A,"7.27-8.2"),0)</f>
        <v/>
      </c>
      <c r="M32" s="102">
        <f>J32-I32</f>
        <v/>
      </c>
      <c r="N32" s="102">
        <f>K32-J32</f>
        <v/>
      </c>
    </row>
    <row r="33" ht="16.5" customHeight="1" s="65">
      <c r="A33" s="99" t="inlineStr">
        <is>
          <t>1067957289054</t>
        </is>
      </c>
      <c r="B33" s="91" t="inlineStr">
        <is>
          <t>巴东牛肉</t>
        </is>
      </c>
      <c r="C33" s="91" t="inlineStr">
        <is>
          <t>【新口味】印尼进口营多捞面巴东炖牛肉味泡面方便面宿舍速食宵夜</t>
        </is>
      </c>
      <c r="D33" s="100">
        <f>IFERROR(SUMIFS(数据源!AB:AB,数据源!B:B,$A33,数据源!A:A,"5.11-5.17"),0)</f>
        <v/>
      </c>
      <c r="E33" s="100">
        <f>IFERROR(SUMIFS(数据源!AB:AB,数据源!B:B,$A33,数据源!A:A,"5.25-5.31"),0)</f>
        <v/>
      </c>
      <c r="F33" s="100">
        <f>IFERROR(SUMIFS(数据源!AB:AB,数据源!B:B,$A33,数据源!A:A,"6.15-6.21"),0)</f>
        <v/>
      </c>
      <c r="G33" s="100">
        <f>IFERROR(SUMIFS(数据源!AB:AB,数据源!B:B,$A33,数据源!A:A,"6.22-6.28"),0)</f>
        <v/>
      </c>
      <c r="H33" s="100">
        <f>IFERROR(SUMIFS(数据源!AB:AB,数据源!B:B,$A33,数据源!A:A,"6.29-7.5"),0)</f>
        <v/>
      </c>
      <c r="I33" s="100">
        <f>IFERROR(SUMIFS(数据源!AB:AB,数据源!B:B,$A33,数据源!A:A,"7.6-7.12"),0)</f>
        <v/>
      </c>
      <c r="J33" s="100">
        <f>IFERROR(SUMIFS(数据源!AB:AB,数据源!B:B,$A33,数据源!A:A,"7.13-7.19"),0)</f>
        <v/>
      </c>
      <c r="K33" s="100">
        <f>IFERROR(SUMIFS(数据源!AB:AB,数据源!B:B,$A33,数据源!A:A,"7.20-7.26"),0)</f>
        <v/>
      </c>
      <c r="L33" s="100">
        <f>IFERROR(SUMIFS(数据源!AB:AB,数据源!B:B,$A33,数据源!A:A,"7.27-8.2"),0)</f>
        <v/>
      </c>
      <c r="M33" s="100">
        <f>J33-I33</f>
        <v/>
      </c>
      <c r="N33" s="100">
        <f>K33-J33</f>
        <v/>
      </c>
    </row>
    <row r="34" ht="16.5" customHeight="1" s="65">
      <c r="A34" s="101" t="inlineStr">
        <is>
          <t>1040679932754</t>
        </is>
      </c>
      <c r="B34" s="93" t="inlineStr">
        <is>
          <t>韩式杯面</t>
        </is>
      </c>
      <c r="C34" s="93" t="inlineStr">
        <is>
          <t>印尼进口营多捞面杯面原味甜辣蘑菇味整箱速食拌面拉面泡面方便面</t>
        </is>
      </c>
      <c r="D34" s="102">
        <f>IFERROR(SUMIFS(数据源!AB:AB,数据源!B:B,$A34,数据源!A:A,"5.11-5.17"),0)</f>
        <v/>
      </c>
      <c r="E34" s="102">
        <f>IFERROR(SUMIFS(数据源!AB:AB,数据源!B:B,$A34,数据源!A:A,"5.25-5.31"),0)</f>
        <v/>
      </c>
      <c r="F34" s="102">
        <f>IFERROR(SUMIFS(数据源!AB:AB,数据源!B:B,$A34,数据源!A:A,"6.15-6.21"),0)</f>
        <v/>
      </c>
      <c r="G34" s="102">
        <f>IFERROR(SUMIFS(数据源!AB:AB,数据源!B:B,$A34,数据源!A:A,"6.22-6.28"),0)</f>
        <v/>
      </c>
      <c r="H34" s="102">
        <f>IFERROR(SUMIFS(数据源!AB:AB,数据源!B:B,$A34,数据源!A:A,"6.29-7.5"),0)</f>
        <v/>
      </c>
      <c r="I34" s="102">
        <f>IFERROR(SUMIFS(数据源!AB:AB,数据源!B:B,$A34,数据源!A:A,"7.6-7.12"),0)</f>
        <v/>
      </c>
      <c r="J34" s="102">
        <f>IFERROR(SUMIFS(数据源!AB:AB,数据源!B:B,$A34,数据源!A:A,"7.13-7.19"),0)</f>
        <v/>
      </c>
      <c r="K34" s="102">
        <f>IFERROR(SUMIFS(数据源!AB:AB,数据源!B:B,$A34,数据源!A:A,"7.20-7.26"),0)</f>
        <v/>
      </c>
      <c r="L34" s="102">
        <f>IFERROR(SUMIFS(数据源!AB:AB,数据源!B:B,$A34,数据源!A:A,"7.27-8.2"),0)</f>
        <v/>
      </c>
      <c r="M34" s="102">
        <f>J34-I34</f>
        <v/>
      </c>
      <c r="N34" s="102">
        <f>K34-J34</f>
        <v/>
      </c>
    </row>
    <row r="35" ht="16.5" customHeight="1" s="65">
      <c r="A35" s="99" t="inlineStr">
        <is>
          <t>976535014785</t>
        </is>
      </c>
      <c r="B35" s="91" t="inlineStr">
        <is>
          <t>未标注</t>
        </is>
      </c>
      <c r="C35" s="91" t="inlineStr">
        <is>
          <t>None</t>
        </is>
      </c>
      <c r="D35" s="100">
        <f>IFERROR(SUMIFS(数据源!AB:AB,数据源!B:B,$A35,数据源!A:A,"5.11-5.17"),0)</f>
        <v/>
      </c>
      <c r="E35" s="100">
        <f>IFERROR(SUMIFS(数据源!AB:AB,数据源!B:B,$A35,数据源!A:A,"5.25-5.31"),0)</f>
        <v/>
      </c>
      <c r="F35" s="100">
        <f>IFERROR(SUMIFS(数据源!AB:AB,数据源!B:B,$A35,数据源!A:A,"6.15-6.21"),0)</f>
        <v/>
      </c>
      <c r="G35" s="100">
        <f>IFERROR(SUMIFS(数据源!AB:AB,数据源!B:B,$A35,数据源!A:A,"6.22-6.28"),0)</f>
        <v/>
      </c>
      <c r="H35" s="100">
        <f>IFERROR(SUMIFS(数据源!AB:AB,数据源!B:B,$A35,数据源!A:A,"6.29-7.5"),0)</f>
        <v/>
      </c>
      <c r="I35" s="100">
        <f>IFERROR(SUMIFS(数据源!AB:AB,数据源!B:B,$A35,数据源!A:A,"7.6-7.12"),0)</f>
        <v/>
      </c>
      <c r="J35" s="100">
        <f>IFERROR(SUMIFS(数据源!AB:AB,数据源!B:B,$A35,数据源!A:A,"7.13-7.19"),0)</f>
        <v/>
      </c>
      <c r="K35" s="100">
        <f>IFERROR(SUMIFS(数据源!AB:AB,数据源!B:B,$A35,数据源!A:A,"7.20-7.26"),0)</f>
        <v/>
      </c>
      <c r="L35" s="100">
        <f>IFERROR(SUMIFS(数据源!AB:AB,数据源!B:B,$A35,数据源!A:A,"7.27-8.2"),0)</f>
        <v/>
      </c>
      <c r="M35" s="100">
        <f>J35-I35</f>
        <v/>
      </c>
      <c r="N35" s="100">
        <f>K35-J35</f>
        <v/>
      </c>
    </row>
    <row r="36" ht="16.5" customHeight="1" s="65">
      <c r="A36" s="101" t="inlineStr">
        <is>
          <t>773972883430</t>
        </is>
      </c>
      <c r="B36" s="93" t="inlineStr">
        <is>
          <t>日式袋面</t>
        </is>
      </c>
      <c r="C36" s="93" t="inlineStr">
        <is>
          <t>营多捞面韩式火鸡面辣蘑菇汤面袋装泡面辣味速食方便面宿舍宵夜面</t>
        </is>
      </c>
      <c r="D36" s="102">
        <f>IFERROR(SUMIFS(数据源!AB:AB,数据源!B:B,$A36,数据源!A:A,"5.11-5.17"),0)</f>
        <v/>
      </c>
      <c r="E36" s="102">
        <f>IFERROR(SUMIFS(数据源!AB:AB,数据源!B:B,$A36,数据源!A:A,"5.25-5.31"),0)</f>
        <v/>
      </c>
      <c r="F36" s="102">
        <f>IFERROR(SUMIFS(数据源!AB:AB,数据源!B:B,$A36,数据源!A:A,"6.15-6.21"),0)</f>
        <v/>
      </c>
      <c r="G36" s="102">
        <f>IFERROR(SUMIFS(数据源!AB:AB,数据源!B:B,$A36,数据源!A:A,"6.22-6.28"),0)</f>
        <v/>
      </c>
      <c r="H36" s="102">
        <f>IFERROR(SUMIFS(数据源!AB:AB,数据源!B:B,$A36,数据源!A:A,"6.29-7.5"),0)</f>
        <v/>
      </c>
      <c r="I36" s="102">
        <f>IFERROR(SUMIFS(数据源!AB:AB,数据源!B:B,$A36,数据源!A:A,"7.6-7.12"),0)</f>
        <v/>
      </c>
      <c r="J36" s="102">
        <f>IFERROR(SUMIFS(数据源!AB:AB,数据源!B:B,$A36,数据源!A:A,"7.13-7.19"),0)</f>
        <v/>
      </c>
      <c r="K36" s="102">
        <f>IFERROR(SUMIFS(数据源!AB:AB,数据源!B:B,$A36,数据源!A:A,"7.20-7.26"),0)</f>
        <v/>
      </c>
      <c r="L36" s="102">
        <f>IFERROR(SUMIFS(数据源!AB:AB,数据源!B:B,$A36,数据源!A:A,"7.27-8.2"),0)</f>
        <v/>
      </c>
      <c r="M36" s="102">
        <f>J36-I36</f>
        <v/>
      </c>
      <c r="N36" s="102">
        <f>K36-J36</f>
        <v/>
      </c>
    </row>
    <row r="37" ht="16.5" customHeight="1" s="65">
      <c r="A37" s="99" t="inlineStr">
        <is>
          <t>1067363868298</t>
        </is>
      </c>
      <c r="B37" s="91" t="inlineStr">
        <is>
          <t>未标注</t>
        </is>
      </c>
      <c r="C37" s="91" t="inlineStr">
        <is>
          <t>None</t>
        </is>
      </c>
      <c r="D37" s="100">
        <f>IFERROR(SUMIFS(数据源!AB:AB,数据源!B:B,$A37,数据源!A:A,"5.11-5.17"),0)</f>
        <v/>
      </c>
      <c r="E37" s="100">
        <f>IFERROR(SUMIFS(数据源!AB:AB,数据源!B:B,$A37,数据源!A:A,"5.25-5.31"),0)</f>
        <v/>
      </c>
      <c r="F37" s="100">
        <f>IFERROR(SUMIFS(数据源!AB:AB,数据源!B:B,$A37,数据源!A:A,"6.15-6.21"),0)</f>
        <v/>
      </c>
      <c r="G37" s="100">
        <f>IFERROR(SUMIFS(数据源!AB:AB,数据源!B:B,$A37,数据源!A:A,"6.22-6.28"),0)</f>
        <v/>
      </c>
      <c r="H37" s="100">
        <f>IFERROR(SUMIFS(数据源!AB:AB,数据源!B:B,$A37,数据源!A:A,"6.29-7.5"),0)</f>
        <v/>
      </c>
      <c r="I37" s="100">
        <f>IFERROR(SUMIFS(数据源!AB:AB,数据源!B:B,$A37,数据源!A:A,"7.6-7.12"),0)</f>
        <v/>
      </c>
      <c r="J37" s="100">
        <f>IFERROR(SUMIFS(数据源!AB:AB,数据源!B:B,$A37,数据源!A:A,"7.13-7.19"),0)</f>
        <v/>
      </c>
      <c r="K37" s="100">
        <f>IFERROR(SUMIFS(数据源!AB:AB,数据源!B:B,$A37,数据源!A:A,"7.20-7.26"),0)</f>
        <v/>
      </c>
      <c r="L37" s="100">
        <f>IFERROR(SUMIFS(数据源!AB:AB,数据源!B:B,$A37,数据源!A:A,"7.27-8.2"),0)</f>
        <v/>
      </c>
      <c r="M37" s="100">
        <f>J37-I37</f>
        <v/>
      </c>
      <c r="N37" s="100">
        <f>K37-J37</f>
        <v/>
      </c>
    </row>
    <row r="38" ht="16.5" customHeight="1" s="65">
      <c r="A38" s="101" t="inlineStr">
        <is>
          <t>1056927747753</t>
        </is>
      </c>
      <c r="B38" s="93" t="inlineStr">
        <is>
          <t>巴东牛肉</t>
        </is>
      </c>
      <c r="C38" s="93" t="inlineStr">
        <is>
          <t>【新口味】印尼进口营多捞面巴东炖牛肉味泡面方便面宿舍速食宵夜</t>
        </is>
      </c>
      <c r="D38" s="102">
        <f>IFERROR(SUMIFS(数据源!AB:AB,数据源!B:B,$A38,数据源!A:A,"5.11-5.17"),0)</f>
        <v/>
      </c>
      <c r="E38" s="102">
        <f>IFERROR(SUMIFS(数据源!AB:AB,数据源!B:B,$A38,数据源!A:A,"5.25-5.31"),0)</f>
        <v/>
      </c>
      <c r="F38" s="102">
        <f>IFERROR(SUMIFS(数据源!AB:AB,数据源!B:B,$A38,数据源!A:A,"6.15-6.21"),0)</f>
        <v/>
      </c>
      <c r="G38" s="102">
        <f>IFERROR(SUMIFS(数据源!AB:AB,数据源!B:B,$A38,数据源!A:A,"6.22-6.28"),0)</f>
        <v/>
      </c>
      <c r="H38" s="102">
        <f>IFERROR(SUMIFS(数据源!AB:AB,数据源!B:B,$A38,数据源!A:A,"6.29-7.5"),0)</f>
        <v/>
      </c>
      <c r="I38" s="102">
        <f>IFERROR(SUMIFS(数据源!AB:AB,数据源!B:B,$A38,数据源!A:A,"7.6-7.12"),0)</f>
        <v/>
      </c>
      <c r="J38" s="102">
        <f>IFERROR(SUMIFS(数据源!AB:AB,数据源!B:B,$A38,数据源!A:A,"7.13-7.19"),0)</f>
        <v/>
      </c>
      <c r="K38" s="102">
        <f>IFERROR(SUMIFS(数据源!AB:AB,数据源!B:B,$A38,数据源!A:A,"7.20-7.26"),0)</f>
        <v/>
      </c>
      <c r="L38" s="102">
        <f>IFERROR(SUMIFS(数据源!AB:AB,数据源!B:B,$A38,数据源!A:A,"7.27-8.2"),0)</f>
        <v/>
      </c>
      <c r="M38" s="102">
        <f>J38-I38</f>
        <v/>
      </c>
      <c r="N38" s="102">
        <f>K38-J38</f>
        <v/>
      </c>
    </row>
    <row r="39" ht="16.5" customHeight="1" s="65">
      <c r="A39" s="99" t="inlineStr">
        <is>
          <t>754828376158</t>
        </is>
      </c>
      <c r="B39" s="91" t="inlineStr">
        <is>
          <t>六口味混搭</t>
        </is>
      </c>
      <c r="C39" s="91" t="inlineStr">
        <is>
          <t>进口营多捞面汤面拌面六口味混合方便面速食食品泡面</t>
        </is>
      </c>
      <c r="D39" s="100">
        <f>IFERROR(SUMIFS(数据源!AB:AB,数据源!B:B,$A39,数据源!A:A,"5.11-5.17"),0)</f>
        <v/>
      </c>
      <c r="E39" s="100">
        <f>IFERROR(SUMIFS(数据源!AB:AB,数据源!B:B,$A39,数据源!A:A,"5.25-5.31"),0)</f>
        <v/>
      </c>
      <c r="F39" s="100">
        <f>IFERROR(SUMIFS(数据源!AB:AB,数据源!B:B,$A39,数据源!A:A,"6.15-6.21"),0)</f>
        <v/>
      </c>
      <c r="G39" s="100">
        <f>IFERROR(SUMIFS(数据源!AB:AB,数据源!B:B,$A39,数据源!A:A,"6.22-6.28"),0)</f>
        <v/>
      </c>
      <c r="H39" s="100">
        <f>IFERROR(SUMIFS(数据源!AB:AB,数据源!B:B,$A39,数据源!A:A,"6.29-7.5"),0)</f>
        <v/>
      </c>
      <c r="I39" s="100">
        <f>IFERROR(SUMIFS(数据源!AB:AB,数据源!B:B,$A39,数据源!A:A,"7.6-7.12"),0)</f>
        <v/>
      </c>
      <c r="J39" s="100">
        <f>IFERROR(SUMIFS(数据源!AB:AB,数据源!B:B,$A39,数据源!A:A,"7.13-7.19"),0)</f>
        <v/>
      </c>
      <c r="K39" s="100">
        <f>IFERROR(SUMIFS(数据源!AB:AB,数据源!B:B,$A39,数据源!A:A,"7.20-7.26"),0)</f>
        <v/>
      </c>
      <c r="L39" s="100">
        <f>IFERROR(SUMIFS(数据源!AB:AB,数据源!B:B,$A39,数据源!A:A,"7.27-8.2"),0)</f>
        <v/>
      </c>
      <c r="M39" s="100">
        <f>J39-I39</f>
        <v/>
      </c>
      <c r="N39" s="100">
        <f>K39-J39</f>
        <v/>
      </c>
    </row>
    <row r="40" ht="16.5" customHeight="1" s="65">
      <c r="A40" s="101" t="inlineStr">
        <is>
          <t>1019397839311</t>
        </is>
      </c>
      <c r="B40" s="93" t="inlineStr">
        <is>
          <t>多口味混搭</t>
        </is>
      </c>
      <c r="C40" s="93" t="inlineStr">
        <is>
          <t>营多捞面原味番茄牛肉袋装泡面汤面干拌面方便面宿舍速食旅行宵夜</t>
        </is>
      </c>
      <c r="D40" s="102">
        <f>IFERROR(SUMIFS(数据源!AB:AB,数据源!B:B,$A40,数据源!A:A,"5.11-5.17"),0)</f>
        <v/>
      </c>
      <c r="E40" s="102">
        <f>IFERROR(SUMIFS(数据源!AB:AB,数据源!B:B,$A40,数据源!A:A,"5.25-5.31"),0)</f>
        <v/>
      </c>
      <c r="F40" s="102">
        <f>IFERROR(SUMIFS(数据源!AB:AB,数据源!B:B,$A40,数据源!A:A,"6.15-6.21"),0)</f>
        <v/>
      </c>
      <c r="G40" s="102">
        <f>IFERROR(SUMIFS(数据源!AB:AB,数据源!B:B,$A40,数据源!A:A,"6.22-6.28"),0)</f>
        <v/>
      </c>
      <c r="H40" s="102">
        <f>IFERROR(SUMIFS(数据源!AB:AB,数据源!B:B,$A40,数据源!A:A,"6.29-7.5"),0)</f>
        <v/>
      </c>
      <c r="I40" s="102">
        <f>IFERROR(SUMIFS(数据源!AB:AB,数据源!B:B,$A40,数据源!A:A,"7.6-7.12"),0)</f>
        <v/>
      </c>
      <c r="J40" s="102">
        <f>IFERROR(SUMIFS(数据源!AB:AB,数据源!B:B,$A40,数据源!A:A,"7.13-7.19"),0)</f>
        <v/>
      </c>
      <c r="K40" s="102">
        <f>IFERROR(SUMIFS(数据源!AB:AB,数据源!B:B,$A40,数据源!A:A,"7.20-7.26"),0)</f>
        <v/>
      </c>
      <c r="L40" s="102">
        <f>IFERROR(SUMIFS(数据源!AB:AB,数据源!B:B,$A40,数据源!A:A,"7.27-8.2"),0)</f>
        <v/>
      </c>
      <c r="M40" s="102">
        <f>J40-I40</f>
        <v/>
      </c>
      <c r="N40" s="102">
        <f>K40-J40</f>
        <v/>
      </c>
    </row>
    <row r="41" ht="16.5" customHeight="1" s="65">
      <c r="A41" s="99" t="inlineStr">
        <is>
          <t>648604228786</t>
        </is>
      </c>
      <c r="B41" s="91" t="inlineStr">
        <is>
          <t>杯面混搭</t>
        </is>
      </c>
      <c r="C41" s="91" t="inlineStr">
        <is>
          <t>INDOMIE营多日式杯面原味经典泡面整箱批发速食宿舍旅行宵夜宿舍</t>
        </is>
      </c>
      <c r="D41" s="100">
        <f>IFERROR(SUMIFS(数据源!AB:AB,数据源!B:B,$A41,数据源!A:A,"5.11-5.17"),0)</f>
        <v/>
      </c>
      <c r="E41" s="100">
        <f>IFERROR(SUMIFS(数据源!AB:AB,数据源!B:B,$A41,数据源!A:A,"5.25-5.31"),0)</f>
        <v/>
      </c>
      <c r="F41" s="100">
        <f>IFERROR(SUMIFS(数据源!AB:AB,数据源!B:B,$A41,数据源!A:A,"6.15-6.21"),0)</f>
        <v/>
      </c>
      <c r="G41" s="100">
        <f>IFERROR(SUMIFS(数据源!AB:AB,数据源!B:B,$A41,数据源!A:A,"6.22-6.28"),0)</f>
        <v/>
      </c>
      <c r="H41" s="100">
        <f>IFERROR(SUMIFS(数据源!AB:AB,数据源!B:B,$A41,数据源!A:A,"6.29-7.5"),0)</f>
        <v/>
      </c>
      <c r="I41" s="100">
        <f>IFERROR(SUMIFS(数据源!AB:AB,数据源!B:B,$A41,数据源!A:A,"7.6-7.12"),0)</f>
        <v/>
      </c>
      <c r="J41" s="100">
        <f>IFERROR(SUMIFS(数据源!AB:AB,数据源!B:B,$A41,数据源!A:A,"7.13-7.19"),0)</f>
        <v/>
      </c>
      <c r="K41" s="100">
        <f>IFERROR(SUMIFS(数据源!AB:AB,数据源!B:B,$A41,数据源!A:A,"7.20-7.26"),0)</f>
        <v/>
      </c>
      <c r="L41" s="100">
        <f>IFERROR(SUMIFS(数据源!AB:AB,数据源!B:B,$A41,数据源!A:A,"7.27-8.2"),0)</f>
        <v/>
      </c>
      <c r="M41" s="100">
        <f>J41-I41</f>
        <v/>
      </c>
      <c r="N41" s="100">
        <f>K41-J41</f>
        <v/>
      </c>
    </row>
    <row r="42" ht="16.5" customHeight="1" s="65">
      <c r="A42" s="101" t="inlineStr">
        <is>
          <t>898120785283</t>
        </is>
      </c>
      <c r="B42" s="93" t="inlineStr">
        <is>
          <t>番茄</t>
        </is>
      </c>
      <c r="C42" s="93" t="inlineStr">
        <is>
          <t>进口意大利面风味奶香番茄牛肉味意式营多早餐儿童宝妈家庭餐拌面</t>
        </is>
      </c>
      <c r="D42" s="102">
        <f>IFERROR(SUMIFS(数据源!AB:AB,数据源!B:B,$A42,数据源!A:A,"5.11-5.17"),0)</f>
        <v/>
      </c>
      <c r="E42" s="102">
        <f>IFERROR(SUMIFS(数据源!AB:AB,数据源!B:B,$A42,数据源!A:A,"5.25-5.31"),0)</f>
        <v/>
      </c>
      <c r="F42" s="102">
        <f>IFERROR(SUMIFS(数据源!AB:AB,数据源!B:B,$A42,数据源!A:A,"6.15-6.21"),0)</f>
        <v/>
      </c>
      <c r="G42" s="102">
        <f>IFERROR(SUMIFS(数据源!AB:AB,数据源!B:B,$A42,数据源!A:A,"6.22-6.28"),0)</f>
        <v/>
      </c>
      <c r="H42" s="102">
        <f>IFERROR(SUMIFS(数据源!AB:AB,数据源!B:B,$A42,数据源!A:A,"6.29-7.5"),0)</f>
        <v/>
      </c>
      <c r="I42" s="102">
        <f>IFERROR(SUMIFS(数据源!AB:AB,数据源!B:B,$A42,数据源!A:A,"7.6-7.12"),0)</f>
        <v/>
      </c>
      <c r="J42" s="102">
        <f>IFERROR(SUMIFS(数据源!AB:AB,数据源!B:B,$A42,数据源!A:A,"7.13-7.19"),0)</f>
        <v/>
      </c>
      <c r="K42" s="102">
        <f>IFERROR(SUMIFS(数据源!AB:AB,数据源!B:B,$A42,数据源!A:A,"7.20-7.26"),0)</f>
        <v/>
      </c>
      <c r="L42" s="102">
        <f>IFERROR(SUMIFS(数据源!AB:AB,数据源!B:B,$A42,数据源!A:A,"7.27-8.2"),0)</f>
        <v/>
      </c>
      <c r="M42" s="102">
        <f>J42-I42</f>
        <v/>
      </c>
      <c r="N42" s="102">
        <f>K42-J42</f>
        <v/>
      </c>
    </row>
    <row r="43" ht="16.5" customHeight="1" s="65">
      <c r="A43" s="99" t="inlineStr">
        <is>
          <t>1019572719528</t>
        </is>
      </c>
      <c r="B43" s="91" t="inlineStr">
        <is>
          <t>日韩袋面</t>
        </is>
      </c>
      <c r="C43" s="91" t="inlineStr">
        <is>
          <t>新品营多捞面韩式辣蘑菇汤面泡面方便面速食干拌面宿舍宵夜旅行</t>
        </is>
      </c>
      <c r="D43" s="100">
        <f>IFERROR(SUMIFS(数据源!AB:AB,数据源!B:B,$A43,数据源!A:A,"5.11-5.17"),0)</f>
        <v/>
      </c>
      <c r="E43" s="100">
        <f>IFERROR(SUMIFS(数据源!AB:AB,数据源!B:B,$A43,数据源!A:A,"5.25-5.31"),0)</f>
        <v/>
      </c>
      <c r="F43" s="100">
        <f>IFERROR(SUMIFS(数据源!AB:AB,数据源!B:B,$A43,数据源!A:A,"6.15-6.21"),0)</f>
        <v/>
      </c>
      <c r="G43" s="100">
        <f>IFERROR(SUMIFS(数据源!AB:AB,数据源!B:B,$A43,数据源!A:A,"6.22-6.28"),0)</f>
        <v/>
      </c>
      <c r="H43" s="100">
        <f>IFERROR(SUMIFS(数据源!AB:AB,数据源!B:B,$A43,数据源!A:A,"6.29-7.5"),0)</f>
        <v/>
      </c>
      <c r="I43" s="100">
        <f>IFERROR(SUMIFS(数据源!AB:AB,数据源!B:B,$A43,数据源!A:A,"7.6-7.12"),0)</f>
        <v/>
      </c>
      <c r="J43" s="100">
        <f>IFERROR(SUMIFS(数据源!AB:AB,数据源!B:B,$A43,数据源!A:A,"7.13-7.19"),0)</f>
        <v/>
      </c>
      <c r="K43" s="100">
        <f>IFERROR(SUMIFS(数据源!AB:AB,数据源!B:B,$A43,数据源!A:A,"7.20-7.26"),0)</f>
        <v/>
      </c>
      <c r="L43" s="100">
        <f>IFERROR(SUMIFS(数据源!AB:AB,数据源!B:B,$A43,数据源!A:A,"7.27-8.2"),0)</f>
        <v/>
      </c>
      <c r="M43" s="100">
        <f>J43-I43</f>
        <v/>
      </c>
      <c r="N43" s="100">
        <f>K43-J43</f>
        <v/>
      </c>
    </row>
    <row r="44" ht="16.5" customHeight="1" s="65">
      <c r="A44" s="101" t="inlineStr">
        <is>
          <t>1014512281808</t>
        </is>
      </c>
      <c r="B44" s="93" t="inlineStr">
        <is>
          <t>杯面混搭</t>
        </is>
      </c>
      <c r="C44" s="93" t="inlineStr">
        <is>
          <t>营多捞面韩式甜辣炸鸡辣蘑菇杯面方便面拌面泡面宿舍速食面</t>
        </is>
      </c>
      <c r="D44" s="102">
        <f>IFERROR(SUMIFS(数据源!AB:AB,数据源!B:B,$A44,数据源!A:A,"5.11-5.17"),0)</f>
        <v/>
      </c>
      <c r="E44" s="102">
        <f>IFERROR(SUMIFS(数据源!AB:AB,数据源!B:B,$A44,数据源!A:A,"5.25-5.31"),0)</f>
        <v/>
      </c>
      <c r="F44" s="102">
        <f>IFERROR(SUMIFS(数据源!AB:AB,数据源!B:B,$A44,数据源!A:A,"6.15-6.21"),0)</f>
        <v/>
      </c>
      <c r="G44" s="102">
        <f>IFERROR(SUMIFS(数据源!AB:AB,数据源!B:B,$A44,数据源!A:A,"6.22-6.28"),0)</f>
        <v/>
      </c>
      <c r="H44" s="102">
        <f>IFERROR(SUMIFS(数据源!AB:AB,数据源!B:B,$A44,数据源!A:A,"6.29-7.5"),0)</f>
        <v/>
      </c>
      <c r="I44" s="102">
        <f>IFERROR(SUMIFS(数据源!AB:AB,数据源!B:B,$A44,数据源!A:A,"7.6-7.12"),0)</f>
        <v/>
      </c>
      <c r="J44" s="102">
        <f>IFERROR(SUMIFS(数据源!AB:AB,数据源!B:B,$A44,数据源!A:A,"7.13-7.19"),0)</f>
        <v/>
      </c>
      <c r="K44" s="102">
        <f>IFERROR(SUMIFS(数据源!AB:AB,数据源!B:B,$A44,数据源!A:A,"7.20-7.26"),0)</f>
        <v/>
      </c>
      <c r="L44" s="102">
        <f>IFERROR(SUMIFS(数据源!AB:AB,数据源!B:B,$A44,数据源!A:A,"7.27-8.2"),0)</f>
        <v/>
      </c>
      <c r="M44" s="102">
        <f>J44-I44</f>
        <v/>
      </c>
      <c r="N44" s="102">
        <f>K44-J44</f>
        <v/>
      </c>
    </row>
    <row r="45" ht="16.5" customHeight="1" s="65">
      <c r="A45" s="99" t="inlineStr">
        <is>
          <t>775016827115</t>
        </is>
      </c>
      <c r="B45" s="91" t="inlineStr">
        <is>
          <t>杯面混搭</t>
        </is>
      </c>
      <c r="C45" s="91" t="inlineStr">
        <is>
          <t>进口营多原味杯面日式杯面韩式杯面泡面方便面汤面宿舍速食夜宵</t>
        </is>
      </c>
      <c r="D45" s="100">
        <f>IFERROR(SUMIFS(数据源!AB:AB,数据源!B:B,$A45,数据源!A:A,"5.11-5.17"),0)</f>
        <v/>
      </c>
      <c r="E45" s="100">
        <f>IFERROR(SUMIFS(数据源!AB:AB,数据源!B:B,$A45,数据源!A:A,"5.25-5.31"),0)</f>
        <v/>
      </c>
      <c r="F45" s="100">
        <f>IFERROR(SUMIFS(数据源!AB:AB,数据源!B:B,$A45,数据源!A:A,"6.15-6.21"),0)</f>
        <v/>
      </c>
      <c r="G45" s="100">
        <f>IFERROR(SUMIFS(数据源!AB:AB,数据源!B:B,$A45,数据源!A:A,"6.22-6.28"),0)</f>
        <v/>
      </c>
      <c r="H45" s="100">
        <f>IFERROR(SUMIFS(数据源!AB:AB,数据源!B:B,$A45,数据源!A:A,"6.29-7.5"),0)</f>
        <v/>
      </c>
      <c r="I45" s="100">
        <f>IFERROR(SUMIFS(数据源!AB:AB,数据源!B:B,$A45,数据源!A:A,"7.6-7.12"),0)</f>
        <v/>
      </c>
      <c r="J45" s="100">
        <f>IFERROR(SUMIFS(数据源!AB:AB,数据源!B:B,$A45,数据源!A:A,"7.13-7.19"),0)</f>
        <v/>
      </c>
      <c r="K45" s="100">
        <f>IFERROR(SUMIFS(数据源!AB:AB,数据源!B:B,$A45,数据源!A:A,"7.20-7.26"),0)</f>
        <v/>
      </c>
      <c r="L45" s="100">
        <f>IFERROR(SUMIFS(数据源!AB:AB,数据源!B:B,$A45,数据源!A:A,"7.27-8.2"),0)</f>
        <v/>
      </c>
      <c r="M45" s="100">
        <f>J45-I45</f>
        <v/>
      </c>
      <c r="N45" s="100">
        <f>K45-J45</f>
        <v/>
      </c>
    </row>
    <row r="46" ht="16.5" customHeight="1" s="65">
      <c r="A46" s="101" t="inlineStr">
        <is>
          <t>886856687067</t>
        </is>
      </c>
      <c r="B46" s="93" t="inlineStr">
        <is>
          <t>大骨</t>
        </is>
      </c>
      <c r="C46" s="93" t="inlineStr">
        <is>
          <t>营多捞面牛系列大骨牛肉味方便面食品泡面拉面汤面宿舍宵夜旅行</t>
        </is>
      </c>
      <c r="D46" s="102">
        <f>IFERROR(SUMIFS(数据源!AB:AB,数据源!B:B,$A46,数据源!A:A,"5.11-5.17"),0)</f>
        <v/>
      </c>
      <c r="E46" s="102">
        <f>IFERROR(SUMIFS(数据源!AB:AB,数据源!B:B,$A46,数据源!A:A,"5.25-5.31"),0)</f>
        <v/>
      </c>
      <c r="F46" s="102">
        <f>IFERROR(SUMIFS(数据源!AB:AB,数据源!B:B,$A46,数据源!A:A,"6.15-6.21"),0)</f>
        <v/>
      </c>
      <c r="G46" s="102">
        <f>IFERROR(SUMIFS(数据源!AB:AB,数据源!B:B,$A46,数据源!A:A,"6.22-6.28"),0)</f>
        <v/>
      </c>
      <c r="H46" s="102">
        <f>IFERROR(SUMIFS(数据源!AB:AB,数据源!B:B,$A46,数据源!A:A,"6.29-7.5"),0)</f>
        <v/>
      </c>
      <c r="I46" s="102">
        <f>IFERROR(SUMIFS(数据源!AB:AB,数据源!B:B,$A46,数据源!A:A,"7.6-7.12"),0)</f>
        <v/>
      </c>
      <c r="J46" s="102">
        <f>IFERROR(SUMIFS(数据源!AB:AB,数据源!B:B,$A46,数据源!A:A,"7.13-7.19"),0)</f>
        <v/>
      </c>
      <c r="K46" s="102">
        <f>IFERROR(SUMIFS(数据源!AB:AB,数据源!B:B,$A46,数据源!A:A,"7.20-7.26"),0)</f>
        <v/>
      </c>
      <c r="L46" s="102">
        <f>IFERROR(SUMIFS(数据源!AB:AB,数据源!B:B,$A46,数据源!A:A,"7.27-8.2"),0)</f>
        <v/>
      </c>
      <c r="M46" s="102">
        <f>J46-I46</f>
        <v/>
      </c>
      <c r="N46" s="102">
        <f>K46-J46</f>
        <v/>
      </c>
    </row>
    <row r="47" ht="16.5" customHeight="1" s="65">
      <c r="A47" s="99" t="inlineStr">
        <is>
          <t>975092562679</t>
        </is>
      </c>
      <c r="B47" s="91" t="inlineStr">
        <is>
          <t>杯面混搭</t>
        </is>
      </c>
      <c r="C47" s="91" t="inlineStr">
        <is>
          <t>营多韩式甜辣炸鸡火鸡面辣蘑菇杯面拌面泡面方便面速食宵夜旅行</t>
        </is>
      </c>
      <c r="D47" s="100">
        <f>IFERROR(SUMIFS(数据源!AB:AB,数据源!B:B,$A47,数据源!A:A,"5.11-5.17"),0)</f>
        <v/>
      </c>
      <c r="E47" s="100">
        <f>IFERROR(SUMIFS(数据源!AB:AB,数据源!B:B,$A47,数据源!A:A,"5.25-5.31"),0)</f>
        <v/>
      </c>
      <c r="F47" s="100">
        <f>IFERROR(SUMIFS(数据源!AB:AB,数据源!B:B,$A47,数据源!A:A,"6.15-6.21"),0)</f>
        <v/>
      </c>
      <c r="G47" s="100">
        <f>IFERROR(SUMIFS(数据源!AB:AB,数据源!B:B,$A47,数据源!A:A,"6.22-6.28"),0)</f>
        <v/>
      </c>
      <c r="H47" s="100">
        <f>IFERROR(SUMIFS(数据源!AB:AB,数据源!B:B,$A47,数据源!A:A,"6.29-7.5"),0)</f>
        <v/>
      </c>
      <c r="I47" s="100">
        <f>IFERROR(SUMIFS(数据源!AB:AB,数据源!B:B,$A47,数据源!A:A,"7.6-7.12"),0)</f>
        <v/>
      </c>
      <c r="J47" s="100">
        <f>IFERROR(SUMIFS(数据源!AB:AB,数据源!B:B,$A47,数据源!A:A,"7.13-7.19"),0)</f>
        <v/>
      </c>
      <c r="K47" s="100">
        <f>IFERROR(SUMIFS(数据源!AB:AB,数据源!B:B,$A47,数据源!A:A,"7.20-7.26"),0)</f>
        <v/>
      </c>
      <c r="L47" s="100">
        <f>IFERROR(SUMIFS(数据源!AB:AB,数据源!B:B,$A47,数据源!A:A,"7.27-8.2"),0)</f>
        <v/>
      </c>
      <c r="M47" s="100">
        <f>J47-I47</f>
        <v/>
      </c>
      <c r="N47" s="100">
        <f>K47-J47</f>
        <v/>
      </c>
    </row>
    <row r="48" ht="16.5" customHeight="1" s="65">
      <c r="A48" s="101" t="inlineStr">
        <is>
          <t>1067350828719</t>
        </is>
      </c>
      <c r="B48" s="93" t="inlineStr">
        <is>
          <t>未标注</t>
        </is>
      </c>
      <c r="C48" s="93" t="inlineStr">
        <is>
          <t>None</t>
        </is>
      </c>
      <c r="D48" s="102">
        <f>IFERROR(SUMIFS(数据源!AB:AB,数据源!B:B,$A48,数据源!A:A,"5.11-5.17"),0)</f>
        <v/>
      </c>
      <c r="E48" s="102">
        <f>IFERROR(SUMIFS(数据源!AB:AB,数据源!B:B,$A48,数据源!A:A,"5.25-5.31"),0)</f>
        <v/>
      </c>
      <c r="F48" s="102">
        <f>IFERROR(SUMIFS(数据源!AB:AB,数据源!B:B,$A48,数据源!A:A,"6.15-6.21"),0)</f>
        <v/>
      </c>
      <c r="G48" s="102">
        <f>IFERROR(SUMIFS(数据源!AB:AB,数据源!B:B,$A48,数据源!A:A,"6.22-6.28"),0)</f>
        <v/>
      </c>
      <c r="H48" s="102">
        <f>IFERROR(SUMIFS(数据源!AB:AB,数据源!B:B,$A48,数据源!A:A,"6.29-7.5"),0)</f>
        <v/>
      </c>
      <c r="I48" s="102">
        <f>IFERROR(SUMIFS(数据源!AB:AB,数据源!B:B,$A48,数据源!A:A,"7.6-7.12"),0)</f>
        <v/>
      </c>
      <c r="J48" s="102">
        <f>IFERROR(SUMIFS(数据源!AB:AB,数据源!B:B,$A48,数据源!A:A,"7.13-7.19"),0)</f>
        <v/>
      </c>
      <c r="K48" s="102">
        <f>IFERROR(SUMIFS(数据源!AB:AB,数据源!B:B,$A48,数据源!A:A,"7.20-7.26"),0)</f>
        <v/>
      </c>
      <c r="L48" s="102">
        <f>IFERROR(SUMIFS(数据源!AB:AB,数据源!B:B,$A48,数据源!A:A,"7.27-8.2"),0)</f>
        <v/>
      </c>
      <c r="M48" s="102">
        <f>J48-I48</f>
        <v/>
      </c>
      <c r="N48" s="102">
        <f>K48-J48</f>
        <v/>
      </c>
    </row>
    <row r="49" ht="16.5" customHeight="1" s="65">
      <c r="A49" s="99" t="inlineStr">
        <is>
          <t>649729851594</t>
        </is>
      </c>
      <c r="B49" s="91" t="inlineStr">
        <is>
          <t>小规格</t>
        </is>
      </c>
      <c r="C49" s="91" t="inlineStr">
        <is>
          <t>营多捞面袋装8包装泡面宿舍速食面热干面干拌面方便面火鸡面食品</t>
        </is>
      </c>
      <c r="D49" s="100">
        <f>IFERROR(SUMIFS(数据源!AB:AB,数据源!B:B,$A49,数据源!A:A,"5.11-5.17"),0)</f>
        <v/>
      </c>
      <c r="E49" s="100">
        <f>IFERROR(SUMIFS(数据源!AB:AB,数据源!B:B,$A49,数据源!A:A,"5.25-5.31"),0)</f>
        <v/>
      </c>
      <c r="F49" s="100">
        <f>IFERROR(SUMIFS(数据源!AB:AB,数据源!B:B,$A49,数据源!A:A,"6.15-6.21"),0)</f>
        <v/>
      </c>
      <c r="G49" s="100">
        <f>IFERROR(SUMIFS(数据源!AB:AB,数据源!B:B,$A49,数据源!A:A,"6.22-6.28"),0)</f>
        <v/>
      </c>
      <c r="H49" s="100">
        <f>IFERROR(SUMIFS(数据源!AB:AB,数据源!B:B,$A49,数据源!A:A,"6.29-7.5"),0)</f>
        <v/>
      </c>
      <c r="I49" s="100">
        <f>IFERROR(SUMIFS(数据源!AB:AB,数据源!B:B,$A49,数据源!A:A,"7.6-7.12"),0)</f>
        <v/>
      </c>
      <c r="J49" s="100">
        <f>IFERROR(SUMIFS(数据源!AB:AB,数据源!B:B,$A49,数据源!A:A,"7.13-7.19"),0)</f>
        <v/>
      </c>
      <c r="K49" s="100">
        <f>IFERROR(SUMIFS(数据源!AB:AB,数据源!B:B,$A49,数据源!A:A,"7.20-7.26"),0)</f>
        <v/>
      </c>
      <c r="L49" s="100">
        <f>IFERROR(SUMIFS(数据源!AB:AB,数据源!B:B,$A49,数据源!A:A,"7.27-8.2"),0)</f>
        <v/>
      </c>
      <c r="M49" s="100">
        <f>J49-I49</f>
        <v/>
      </c>
      <c r="N49" s="100">
        <f>K49-J49</f>
        <v/>
      </c>
    </row>
    <row r="50" ht="16.5" customHeight="1" s="65">
      <c r="A50" s="101" t="inlineStr">
        <is>
          <t>965545088099</t>
        </is>
      </c>
      <c r="B50" s="93" t="inlineStr">
        <is>
          <t>十口味混搭</t>
        </is>
      </c>
      <c r="C50" s="93" t="inlineStr">
        <is>
          <t>营多捞面多口味袋装泡面拌面速食面干拌面方便面速食宵夜宿舍旅行</t>
        </is>
      </c>
      <c r="D50" s="102">
        <f>IFERROR(SUMIFS(数据源!AB:AB,数据源!B:B,$A50,数据源!A:A,"5.11-5.17"),0)</f>
        <v/>
      </c>
      <c r="E50" s="102">
        <f>IFERROR(SUMIFS(数据源!AB:AB,数据源!B:B,$A50,数据源!A:A,"5.25-5.31"),0)</f>
        <v/>
      </c>
      <c r="F50" s="102">
        <f>IFERROR(SUMIFS(数据源!AB:AB,数据源!B:B,$A50,数据源!A:A,"6.15-6.21"),0)</f>
        <v/>
      </c>
      <c r="G50" s="102">
        <f>IFERROR(SUMIFS(数据源!AB:AB,数据源!B:B,$A50,数据源!A:A,"6.22-6.28"),0)</f>
        <v/>
      </c>
      <c r="H50" s="102">
        <f>IFERROR(SUMIFS(数据源!AB:AB,数据源!B:B,$A50,数据源!A:A,"6.29-7.5"),0)</f>
        <v/>
      </c>
      <c r="I50" s="102">
        <f>IFERROR(SUMIFS(数据源!AB:AB,数据源!B:B,$A50,数据源!A:A,"7.6-7.12"),0)</f>
        <v/>
      </c>
      <c r="J50" s="102">
        <f>IFERROR(SUMIFS(数据源!AB:AB,数据源!B:B,$A50,数据源!A:A,"7.13-7.19"),0)</f>
        <v/>
      </c>
      <c r="K50" s="102">
        <f>IFERROR(SUMIFS(数据源!AB:AB,数据源!B:B,$A50,数据源!A:A,"7.20-7.26"),0)</f>
        <v/>
      </c>
      <c r="L50" s="102">
        <f>IFERROR(SUMIFS(数据源!AB:AB,数据源!B:B,$A50,数据源!A:A,"7.27-8.2"),0)</f>
        <v/>
      </c>
      <c r="M50" s="102">
        <f>J50-I50</f>
        <v/>
      </c>
      <c r="N50" s="102">
        <f>K50-J50</f>
        <v/>
      </c>
    </row>
    <row r="51" ht="16.5" customHeight="1" s="65">
      <c r="A51" s="99" t="inlineStr">
        <is>
          <t>932687928859</t>
        </is>
      </c>
      <c r="B51" s="91" t="inlineStr">
        <is>
          <t>8包组合</t>
        </is>
      </c>
      <c r="C51" s="91" t="inlineStr">
        <is>
          <t>营多捞面八口味袋装泡面拌面速食面干拌面方便面宿舍宵夜速食家用</t>
        </is>
      </c>
      <c r="D51" s="100">
        <f>IFERROR(SUMIFS(数据源!AB:AB,数据源!B:B,$A51,数据源!A:A,"5.11-5.17"),0)</f>
        <v/>
      </c>
      <c r="E51" s="100">
        <f>IFERROR(SUMIFS(数据源!AB:AB,数据源!B:B,$A51,数据源!A:A,"5.25-5.31"),0)</f>
        <v/>
      </c>
      <c r="F51" s="100">
        <f>IFERROR(SUMIFS(数据源!AB:AB,数据源!B:B,$A51,数据源!A:A,"6.15-6.21"),0)</f>
        <v/>
      </c>
      <c r="G51" s="100">
        <f>IFERROR(SUMIFS(数据源!AB:AB,数据源!B:B,$A51,数据源!A:A,"6.22-6.28"),0)</f>
        <v/>
      </c>
      <c r="H51" s="100">
        <f>IFERROR(SUMIFS(数据源!AB:AB,数据源!B:B,$A51,数据源!A:A,"6.29-7.5"),0)</f>
        <v/>
      </c>
      <c r="I51" s="100">
        <f>IFERROR(SUMIFS(数据源!AB:AB,数据源!B:B,$A51,数据源!A:A,"7.6-7.12"),0)</f>
        <v/>
      </c>
      <c r="J51" s="100">
        <f>IFERROR(SUMIFS(数据源!AB:AB,数据源!B:B,$A51,数据源!A:A,"7.13-7.19"),0)</f>
        <v/>
      </c>
      <c r="K51" s="100">
        <f>IFERROR(SUMIFS(数据源!AB:AB,数据源!B:B,$A51,数据源!A:A,"7.20-7.26"),0)</f>
        <v/>
      </c>
      <c r="L51" s="100">
        <f>IFERROR(SUMIFS(数据源!AB:AB,数据源!B:B,$A51,数据源!A:A,"7.27-8.2"),0)</f>
        <v/>
      </c>
      <c r="M51" s="100">
        <f>J51-I51</f>
        <v/>
      </c>
      <c r="N51" s="100">
        <f>K51-J51</f>
        <v/>
      </c>
    </row>
    <row r="52" ht="16.5" customHeight="1" s="65">
      <c r="A52" s="101" t="inlineStr">
        <is>
          <t>735014804839</t>
        </is>
      </c>
      <c r="B52" s="93" t="inlineStr">
        <is>
          <t>24/30包</t>
        </is>
      </c>
      <c r="C52" s="93" t="inlineStr">
        <is>
          <t>进口营多捞面多口味Indomie网红方便面干拌面泡面30包整箱批发面</t>
        </is>
      </c>
      <c r="D52" s="102">
        <f>IFERROR(SUMIFS(数据源!AB:AB,数据源!B:B,$A52,数据源!A:A,"5.11-5.17"),0)</f>
        <v/>
      </c>
      <c r="E52" s="102">
        <f>IFERROR(SUMIFS(数据源!AB:AB,数据源!B:B,$A52,数据源!A:A,"5.25-5.31"),0)</f>
        <v/>
      </c>
      <c r="F52" s="102">
        <f>IFERROR(SUMIFS(数据源!AB:AB,数据源!B:B,$A52,数据源!A:A,"6.15-6.21"),0)</f>
        <v/>
      </c>
      <c r="G52" s="102">
        <f>IFERROR(SUMIFS(数据源!AB:AB,数据源!B:B,$A52,数据源!A:A,"6.22-6.28"),0)</f>
        <v/>
      </c>
      <c r="H52" s="102">
        <f>IFERROR(SUMIFS(数据源!AB:AB,数据源!B:B,$A52,数据源!A:A,"6.29-7.5"),0)</f>
        <v/>
      </c>
      <c r="I52" s="102">
        <f>IFERROR(SUMIFS(数据源!AB:AB,数据源!B:B,$A52,数据源!A:A,"7.6-7.12"),0)</f>
        <v/>
      </c>
      <c r="J52" s="102">
        <f>IFERROR(SUMIFS(数据源!AB:AB,数据源!B:B,$A52,数据源!A:A,"7.13-7.19"),0)</f>
        <v/>
      </c>
      <c r="K52" s="102">
        <f>IFERROR(SUMIFS(数据源!AB:AB,数据源!B:B,$A52,数据源!A:A,"7.20-7.26"),0)</f>
        <v/>
      </c>
      <c r="L52" s="102">
        <f>IFERROR(SUMIFS(数据源!AB:AB,数据源!B:B,$A52,数据源!A:A,"7.27-8.2"),0)</f>
        <v/>
      </c>
      <c r="M52" s="102">
        <f>J52-I52</f>
        <v/>
      </c>
      <c r="N52" s="102">
        <f>K52-J52</f>
        <v/>
      </c>
    </row>
    <row r="53" ht="16.5" customHeight="1" s="65">
      <c r="A53" s="99" t="inlineStr">
        <is>
          <t>649731447266</t>
        </is>
      </c>
      <c r="B53" s="91" t="inlineStr">
        <is>
          <t>20包经典/牛系列</t>
        </is>
      </c>
      <c r="C53" s="91" t="inlineStr">
        <is>
          <t>营多印尼进口营多捞面方便面火鸡面干拌面20包宿舍速食泡面夜宵</t>
        </is>
      </c>
      <c r="D53" s="100">
        <f>IFERROR(SUMIFS(数据源!AB:AB,数据源!B:B,$A53,数据源!A:A,"5.11-5.17"),0)</f>
        <v/>
      </c>
      <c r="E53" s="100">
        <f>IFERROR(SUMIFS(数据源!AB:AB,数据源!B:B,$A53,数据源!A:A,"5.25-5.31"),0)</f>
        <v/>
      </c>
      <c r="F53" s="100">
        <f>IFERROR(SUMIFS(数据源!AB:AB,数据源!B:B,$A53,数据源!A:A,"6.15-6.21"),0)</f>
        <v/>
      </c>
      <c r="G53" s="100">
        <f>IFERROR(SUMIFS(数据源!AB:AB,数据源!B:B,$A53,数据源!A:A,"6.22-6.28"),0)</f>
        <v/>
      </c>
      <c r="H53" s="100">
        <f>IFERROR(SUMIFS(数据源!AB:AB,数据源!B:B,$A53,数据源!A:A,"6.29-7.5"),0)</f>
        <v/>
      </c>
      <c r="I53" s="100">
        <f>IFERROR(SUMIFS(数据源!AB:AB,数据源!B:B,$A53,数据源!A:A,"7.6-7.12"),0)</f>
        <v/>
      </c>
      <c r="J53" s="100">
        <f>IFERROR(SUMIFS(数据源!AB:AB,数据源!B:B,$A53,数据源!A:A,"7.13-7.19"),0)</f>
        <v/>
      </c>
      <c r="K53" s="100">
        <f>IFERROR(SUMIFS(数据源!AB:AB,数据源!B:B,$A53,数据源!A:A,"7.20-7.26"),0)</f>
        <v/>
      </c>
      <c r="L53" s="100">
        <f>IFERROR(SUMIFS(数据源!AB:AB,数据源!B:B,$A53,数据源!A:A,"7.27-8.2"),0)</f>
        <v/>
      </c>
      <c r="M53" s="100">
        <f>J53-I53</f>
        <v/>
      </c>
      <c r="N53" s="100">
        <f>K53-J53</f>
        <v/>
      </c>
    </row>
    <row r="54" ht="16.5" customHeight="1" s="65">
      <c r="A54" s="101" t="inlineStr">
        <is>
          <t>1058280415678</t>
        </is>
      </c>
      <c r="B54" s="93" t="inlineStr">
        <is>
          <t>原味大包</t>
        </is>
      </c>
      <c r="C54" s="93" t="inlineStr">
        <is>
          <t>印尼进口大大包营多原味捞面5包干拌面速食超大包方便面速食宵夜</t>
        </is>
      </c>
      <c r="D54" s="102">
        <f>IFERROR(SUMIFS(数据源!AB:AB,数据源!B:B,$A54,数据源!A:A,"5.11-5.17"),0)</f>
        <v/>
      </c>
      <c r="E54" s="102">
        <f>IFERROR(SUMIFS(数据源!AB:AB,数据源!B:B,$A54,数据源!A:A,"5.25-5.31"),0)</f>
        <v/>
      </c>
      <c r="F54" s="102">
        <f>IFERROR(SUMIFS(数据源!AB:AB,数据源!B:B,$A54,数据源!A:A,"6.15-6.21"),0)</f>
        <v/>
      </c>
      <c r="G54" s="102">
        <f>IFERROR(SUMIFS(数据源!AB:AB,数据源!B:B,$A54,数据源!A:A,"6.22-6.28"),0)</f>
        <v/>
      </c>
      <c r="H54" s="102">
        <f>IFERROR(SUMIFS(数据源!AB:AB,数据源!B:B,$A54,数据源!A:A,"6.29-7.5"),0)</f>
        <v/>
      </c>
      <c r="I54" s="102">
        <f>IFERROR(SUMIFS(数据源!AB:AB,数据源!B:B,$A54,数据源!A:A,"7.6-7.12"),0)</f>
        <v/>
      </c>
      <c r="J54" s="102">
        <f>IFERROR(SUMIFS(数据源!AB:AB,数据源!B:B,$A54,数据源!A:A,"7.13-7.19"),0)</f>
        <v/>
      </c>
      <c r="K54" s="102">
        <f>IFERROR(SUMIFS(数据源!AB:AB,数据源!B:B,$A54,数据源!A:A,"7.20-7.26"),0)</f>
        <v/>
      </c>
      <c r="L54" s="102">
        <f>IFERROR(SUMIFS(数据源!AB:AB,数据源!B:B,$A54,数据源!A:A,"7.27-8.2"),0)</f>
        <v/>
      </c>
      <c r="M54" s="102">
        <f>J54-I54</f>
        <v/>
      </c>
      <c r="N54" s="102">
        <f>K54-J54</f>
        <v/>
      </c>
    </row>
    <row r="55" ht="16.5" customHeight="1" s="65">
      <c r="A55" s="99" t="inlineStr">
        <is>
          <t>766165464414</t>
        </is>
      </c>
      <c r="B55" s="91" t="inlineStr">
        <is>
          <t>12包</t>
        </is>
      </c>
      <c r="C55" s="91" t="inlineStr">
        <is>
          <t>营多印尼进口营多捞面方便面火鸡面干拌面12包宿舍速食泡面夜宵</t>
        </is>
      </c>
      <c r="D55" s="100">
        <f>IFERROR(SUMIFS(数据源!AB:AB,数据源!B:B,$A55,数据源!A:A,"5.11-5.17"),0)</f>
        <v/>
      </c>
      <c r="E55" s="100">
        <f>IFERROR(SUMIFS(数据源!AB:AB,数据源!B:B,$A55,数据源!A:A,"5.25-5.31"),0)</f>
        <v/>
      </c>
      <c r="F55" s="100">
        <f>IFERROR(SUMIFS(数据源!AB:AB,数据源!B:B,$A55,数据源!A:A,"6.15-6.21"),0)</f>
        <v/>
      </c>
      <c r="G55" s="100">
        <f>IFERROR(SUMIFS(数据源!AB:AB,数据源!B:B,$A55,数据源!A:A,"6.22-6.28"),0)</f>
        <v/>
      </c>
      <c r="H55" s="100">
        <f>IFERROR(SUMIFS(数据源!AB:AB,数据源!B:B,$A55,数据源!A:A,"6.29-7.5"),0)</f>
        <v/>
      </c>
      <c r="I55" s="100">
        <f>IFERROR(SUMIFS(数据源!AB:AB,数据源!B:B,$A55,数据源!A:A,"7.6-7.12"),0)</f>
        <v/>
      </c>
      <c r="J55" s="100">
        <f>IFERROR(SUMIFS(数据源!AB:AB,数据源!B:B,$A55,数据源!A:A,"7.13-7.19"),0)</f>
        <v/>
      </c>
      <c r="K55" s="100">
        <f>IFERROR(SUMIFS(数据源!AB:AB,数据源!B:B,$A55,数据源!A:A,"7.20-7.26"),0)</f>
        <v/>
      </c>
      <c r="L55" s="100">
        <f>IFERROR(SUMIFS(数据源!AB:AB,数据源!B:B,$A55,数据源!A:A,"7.27-8.2"),0)</f>
        <v/>
      </c>
      <c r="M55" s="100">
        <f>J55-I55</f>
        <v/>
      </c>
      <c r="N55" s="100">
        <f>K55-J55</f>
        <v/>
      </c>
    </row>
    <row r="56">
      <c r="A56" s="101" t="inlineStr">
        <is>
          <t>649369494424</t>
        </is>
      </c>
      <c r="B56" s="93" t="inlineStr">
        <is>
          <t>24包经典/牛系列</t>
        </is>
      </c>
      <c r="C56" s="93" t="inlineStr">
        <is>
          <t>营多捞面干拌面一整箱24袋装批发泡面混搭宿舍速食方便面火鸡面</t>
        </is>
      </c>
      <c r="D56" s="102">
        <f>IFERROR(SUMIFS(数据源!AB:AB,数据源!B:B,$A56,数据源!A:A,"5.11-5.17"),0)</f>
        <v/>
      </c>
      <c r="E56" s="102">
        <f>IFERROR(SUMIFS(数据源!AB:AB,数据源!B:B,$A56,数据源!A:A,"5.25-5.31"),0)</f>
        <v/>
      </c>
      <c r="F56" s="102">
        <f>IFERROR(SUMIFS(数据源!AB:AB,数据源!B:B,$A56,数据源!A:A,"6.15-6.21"),0)</f>
        <v/>
      </c>
      <c r="G56" s="102">
        <f>IFERROR(SUMIFS(数据源!AB:AB,数据源!B:B,$A56,数据源!A:A,"6.22-6.28"),0)</f>
        <v/>
      </c>
      <c r="H56" s="102">
        <f>IFERROR(SUMIFS(数据源!AB:AB,数据源!B:B,$A56,数据源!A:A,"6.29-7.5"),0)</f>
        <v/>
      </c>
      <c r="I56" s="102">
        <f>IFERROR(SUMIFS(数据源!AB:AB,数据源!B:B,$A56,数据源!A:A,"7.6-7.12"),0)</f>
        <v/>
      </c>
      <c r="J56" s="102">
        <f>IFERROR(SUMIFS(数据源!AB:AB,数据源!B:B,$A56,数据源!A:A,"7.13-7.19"),0)</f>
        <v/>
      </c>
      <c r="K56" s="102">
        <f>IFERROR(SUMIFS(数据源!AB:AB,数据源!B:B,$A56,数据源!A:A,"7.20-7.26"),0)</f>
        <v/>
      </c>
      <c r="L56" s="102">
        <f>IFERROR(SUMIFS(数据源!AB:AB,数据源!B:B,$A56,数据源!A:A,"7.27-8.2"),0)</f>
        <v/>
      </c>
      <c r="M56" s="102">
        <f>J56-I56</f>
        <v/>
      </c>
      <c r="N56" s="102">
        <f>K56-J56</f>
        <v/>
      </c>
    </row>
  </sheetData>
  <autoFilter ref="A4:N56"/>
  <mergeCells count="2">
    <mergeCell ref="A2:N2"/>
    <mergeCell ref="A1:N1"/>
  </mergeCells>
  <conditionalFormatting sqref="D5:N56">
    <cfRule type="cellIs" priority="1" operator="lessThan" dxfId="12">
      <formula>0</formula>
    </cfRule>
  </conditionalFormatting>
  <pageMargins left="0.75" right="0.75" top="1" bottom="1" header="0.5" footer="0.5"/>
</worksheet>
</file>

<file path=xl/worksheets/sheet7.xml><?xml version="1.0" encoding="utf-8"?>
<worksheet xmlns="http://schemas.openxmlformats.org/spreadsheetml/2006/main">
  <sheetPr>
    <tabColor rgb="00455A64"/>
    <outlinePr summaryBelow="1" summaryRight="1"/>
    <pageSetUpPr/>
  </sheetPr>
  <dimension ref="A1:AC346"/>
  <sheetViews>
    <sheetView workbookViewId="0">
      <pane xSplit="4" ySplit="2" topLeftCell="E3" activePane="bottomRight" state="frozen"/>
      <selection pane="topRight"/>
      <selection pane="bottomLeft"/>
      <selection pane="bottomRight" activeCell="D350" sqref="D350"/>
    </sheetView>
  </sheetViews>
  <sheetFormatPr baseColWidth="8" defaultColWidth="9" defaultRowHeight="13.5"/>
  <cols>
    <col width="11" customWidth="1" style="65" min="1" max="1"/>
    <col width="14" customWidth="1" style="65" min="2" max="2"/>
    <col width="12" customWidth="1" style="65" min="3" max="3"/>
    <col width="34" customWidth="1" style="65" min="4" max="4"/>
    <col width="11" customWidth="1" style="65" min="5" max="5"/>
    <col width="10" customWidth="1" style="65" min="6" max="7"/>
    <col width="8" customWidth="1" style="65" min="7" max="7"/>
    <col width="8" customWidth="1" style="65" min="8" max="8"/>
    <col width="8" customWidth="1" style="65" min="9" max="10"/>
    <col width="10" customWidth="1" style="65" min="10" max="10"/>
    <col width="10" customWidth="1" style="65" min="11" max="11"/>
    <col width="8" customWidth="1" style="65" min="12" max="13"/>
    <col width="10" customWidth="1" style="65" min="13" max="13"/>
    <col width="10" customWidth="1" style="65" min="14" max="14"/>
    <col width="8" customWidth="1" style="65" min="15" max="16"/>
    <col width="10" customWidth="1" style="65" min="16" max="16"/>
    <col width="10" customWidth="1" style="65" min="17" max="17"/>
    <col width="8" customWidth="1" style="65" min="18" max="19"/>
    <col width="8" customWidth="1" style="65" min="19" max="19"/>
    <col width="8" customWidth="1" style="65" min="20" max="20"/>
    <col width="10" customWidth="1" style="65" min="21" max="21"/>
    <col width="8" customWidth="1" style="65" min="22" max="22"/>
    <col width="9" customWidth="1" style="65" min="23" max="28"/>
    <col width="11" customWidth="1" style="65" min="24" max="24"/>
    <col width="8" customWidth="1" style="65" min="25" max="25"/>
    <col width="11" customWidth="1" style="65" min="26" max="26"/>
    <col width="8" customWidth="1" style="65" min="27" max="27"/>
    <col width="11" customWidth="1" style="65" min="28" max="28"/>
    <col width="8" customWidth="1" style="65" min="29" max="29"/>
  </cols>
  <sheetData>
    <row r="1" ht="30" customHeight="1" s="65">
      <c r="A1" s="82" t="inlineStr">
        <is>
          <t>数据源 · ID周损益明细（计算列为公式；其他费用=周报×件数占比）</t>
        </is>
      </c>
      <c r="B1" s="82" t="n"/>
      <c r="C1" s="82" t="n"/>
      <c r="D1" s="82" t="n"/>
      <c r="E1" s="82" t="n"/>
      <c r="F1" s="82" t="n"/>
      <c r="G1" s="82" t="n"/>
      <c r="H1" s="82" t="n"/>
      <c r="I1" s="82" t="n"/>
      <c r="J1" s="82" t="n"/>
      <c r="K1" s="82" t="n"/>
      <c r="L1" s="82" t="n"/>
      <c r="M1" s="82" t="n"/>
      <c r="N1" s="82" t="n"/>
      <c r="O1" s="82" t="n"/>
      <c r="P1" s="82" t="n"/>
      <c r="Q1" s="82" t="n"/>
      <c r="R1" s="82" t="n"/>
      <c r="S1" s="82" t="n"/>
      <c r="T1" s="82" t="n"/>
      <c r="U1" s="82" t="n"/>
      <c r="V1" s="82" t="n"/>
      <c r="W1" s="82" t="n"/>
      <c r="X1" s="82" t="n"/>
      <c r="Y1" s="82" t="n"/>
      <c r="Z1" s="82" t="n"/>
      <c r="AA1" s="82" t="n"/>
      <c r="AB1" s="82" t="n"/>
      <c r="AC1" s="82" t="n"/>
    </row>
    <row r="2" ht="24" customHeight="1" s="65">
      <c r="A2" s="87" t="inlineStr">
        <is>
          <t>周次</t>
        </is>
      </c>
      <c r="B2" s="138" t="inlineStr">
        <is>
          <t>商品ID</t>
        </is>
      </c>
      <c r="C2" s="87" t="inlineStr">
        <is>
          <t>定位</t>
        </is>
      </c>
      <c r="D2" s="87" t="inlineStr">
        <is>
          <t>商品名称</t>
        </is>
      </c>
      <c r="E2" s="87" t="inlineStr">
        <is>
          <t>成交金额</t>
        </is>
      </c>
      <c r="F2" s="87" t="inlineStr">
        <is>
          <t>去税金额</t>
        </is>
      </c>
      <c r="G2" s="87" t="inlineStr">
        <is>
          <t>成交件数</t>
        </is>
      </c>
      <c r="H2" s="87" t="inlineStr">
        <is>
          <t>件数占比</t>
        </is>
      </c>
      <c r="I2" s="87" t="inlineStr">
        <is>
          <t>件单价</t>
        </is>
      </c>
      <c r="J2" s="87" t="inlineStr">
        <is>
          <t>万相台花费</t>
        </is>
      </c>
      <c r="K2" s="87" t="inlineStr">
        <is>
          <t>万相台成交</t>
        </is>
      </c>
      <c r="L2" s="87" t="inlineStr">
        <is>
          <t>万相台ROI</t>
        </is>
      </c>
      <c r="M2" s="87" t="inlineStr">
        <is>
          <t>品销宝花费</t>
        </is>
      </c>
      <c r="N2" s="87" t="inlineStr">
        <is>
          <t>品销宝成交</t>
        </is>
      </c>
      <c r="O2" s="87" t="inlineStr">
        <is>
          <t>品销宝ROI</t>
        </is>
      </c>
      <c r="P2" s="87" t="inlineStr">
        <is>
          <t>推广总花费</t>
        </is>
      </c>
      <c r="Q2" s="87" t="inlineStr">
        <is>
          <t>推广总成交</t>
        </is>
      </c>
      <c r="R2" s="87" t="inlineStr">
        <is>
          <t>推广总ROI</t>
        </is>
      </c>
      <c r="S2" s="87" t="inlineStr">
        <is>
          <t>推广费占比</t>
        </is>
      </c>
      <c r="T2" s="87" t="inlineStr">
        <is>
          <t>推广总费率</t>
        </is>
      </c>
      <c r="U2" s="87" t="inlineStr">
        <is>
          <t>日销成交</t>
        </is>
      </c>
      <c r="V2" s="87" t="inlineStr">
        <is>
          <t>日销成交占比</t>
        </is>
      </c>
      <c r="W2" s="87" t="inlineStr">
        <is>
          <t>其他费用</t>
        </is>
      </c>
      <c r="X2" s="139" t="inlineStr">
        <is>
          <t>净利润(推广前)</t>
        </is>
      </c>
      <c r="Y2" s="87" t="inlineStr">
        <is>
          <t>净利率(推广前)</t>
        </is>
      </c>
      <c r="Z2" s="87" t="inlineStr">
        <is>
          <t>净利润(万相台)</t>
        </is>
      </c>
      <c r="AA2" s="87" t="inlineStr">
        <is>
          <t>净利率(万相台)</t>
        </is>
      </c>
      <c r="AB2" s="139" t="inlineStr">
        <is>
          <t>净利润(推广后)</t>
        </is>
      </c>
      <c r="AC2" s="87" t="inlineStr">
        <is>
          <t>净利率(推广后)</t>
        </is>
      </c>
    </row>
    <row r="3" ht="14.25" customHeight="1" s="65">
      <c r="A3" s="140" t="inlineStr">
        <is>
          <t>5.11-5.17</t>
        </is>
      </c>
      <c r="B3" s="141" t="n">
        <v>668566625747</v>
      </c>
      <c r="C3" s="140" t="inlineStr">
        <is>
          <t>袋面主链接</t>
        </is>
      </c>
      <c r="D3" s="140" t="inlineStr">
        <is>
          <t>印尼营多捞面进口网红泡面袋装方便面速食食品拉面火鸡面拌面整箱</t>
        </is>
      </c>
      <c r="E3" s="142" t="n">
        <v>31185.6300000005</v>
      </c>
      <c r="F3" s="142">
        <f>IFERROR(E3/1.13,0)</f>
        <v/>
      </c>
      <c r="G3" s="143" t="n">
        <v>1220</v>
      </c>
      <c r="H3" s="144">
        <f>IFERROR(G3/SUMIF($A:$A,A3,$G:$G),0)</f>
        <v/>
      </c>
      <c r="I3" s="142">
        <f>IFERROR(E3/G3,0)</f>
        <v/>
      </c>
      <c r="J3" s="142" t="n">
        <v>5079.87248544559</v>
      </c>
      <c r="K3" s="142" t="n">
        <v>23465.1999014778</v>
      </c>
      <c r="L3" s="145">
        <f>IFERROR(K3/J3,0)</f>
        <v/>
      </c>
      <c r="M3" s="142" t="n">
        <v>554.763994626064</v>
      </c>
      <c r="N3" s="142" t="n">
        <v>1481.50779220779</v>
      </c>
      <c r="O3" s="145">
        <f>IFERROR(N3/M3,0)</f>
        <v/>
      </c>
      <c r="P3" s="142">
        <f>J3+M3</f>
        <v/>
      </c>
      <c r="Q3" s="142">
        <f>K3+N3</f>
        <v/>
      </c>
      <c r="R3" s="145">
        <f>IFERROR(Q3/P3,0)</f>
        <v/>
      </c>
      <c r="S3" s="144">
        <f>IFERROR(P3/SUMIF($A:$A,A3,$P:$P),0)</f>
        <v/>
      </c>
      <c r="T3" s="144">
        <f>IFERROR(P3/E3,0)</f>
        <v/>
      </c>
      <c r="U3" s="142">
        <f>E3-Q3</f>
        <v/>
      </c>
      <c r="V3" s="144">
        <f>IFERROR(U3/E3,0)</f>
        <v/>
      </c>
      <c r="W3" s="142">
        <f>IFERROR(VLOOKUP(A3,周报其他费用!$A:$B,2,FALSE)*H3,0)</f>
        <v/>
      </c>
      <c r="X3" s="142" t="n">
        <v>4205.25900000004</v>
      </c>
      <c r="Y3" s="144">
        <f>IFERROR(X3/F3,0)</f>
        <v/>
      </c>
      <c r="Z3" s="142">
        <f>X3-J3/1.06</f>
        <v/>
      </c>
      <c r="AA3" s="144">
        <f>IFERROR(Z3/F3,0)</f>
        <v/>
      </c>
      <c r="AB3" s="142">
        <f>X3-(P3+W3)/1.06</f>
        <v/>
      </c>
      <c r="AC3" s="144">
        <f>IFERROR(AB3/F3,0)</f>
        <v/>
      </c>
    </row>
    <row r="4" ht="14.25" customHeight="1" s="65">
      <c r="A4" s="146" t="inlineStr">
        <is>
          <t>5.11-5.17</t>
        </is>
      </c>
      <c r="B4" s="147" t="n">
        <v>649361890551</v>
      </c>
      <c r="C4" s="146" t="inlineStr">
        <is>
          <t>袋面次链接</t>
        </is>
      </c>
      <c r="D4" s="146" t="inlineStr">
        <is>
          <t>营多捞面印尼进口Indomie网红夜宵早餐方便面火鸡面泡面拌面</t>
        </is>
      </c>
      <c r="E4" s="148" t="n">
        <v>28857.2400000006</v>
      </c>
      <c r="F4" s="148">
        <f>IFERROR(E4/1.13,0)</f>
        <v/>
      </c>
      <c r="G4" s="149" t="n">
        <v>1529</v>
      </c>
      <c r="H4" s="150">
        <f>IFERROR(G4/SUMIF($A:$A,A4,$G:$G),0)</f>
        <v/>
      </c>
      <c r="I4" s="148">
        <f>IFERROR(E4/G4,0)</f>
        <v/>
      </c>
      <c r="J4" s="148" t="n">
        <v>5008.24012315271</v>
      </c>
      <c r="K4" s="148" t="n">
        <v>25554.889679803</v>
      </c>
      <c r="L4" s="151">
        <f>IFERROR(K4/J4,0)</f>
        <v/>
      </c>
      <c r="M4" s="148" t="n">
        <v>695.273891625616</v>
      </c>
      <c r="N4" s="148" t="n">
        <v>1856.74214285714</v>
      </c>
      <c r="O4" s="151">
        <f>IFERROR(N4/M4,0)</f>
        <v/>
      </c>
      <c r="P4" s="148">
        <f>J4+M4</f>
        <v/>
      </c>
      <c r="Q4" s="148">
        <f>K4+N4</f>
        <v/>
      </c>
      <c r="R4" s="151">
        <f>IFERROR(Q4/P4,0)</f>
        <v/>
      </c>
      <c r="S4" s="150">
        <f>IFERROR(P4/SUMIF($A:$A,A4,$P:$P),0)</f>
        <v/>
      </c>
      <c r="T4" s="150">
        <f>IFERROR(P4/E4,0)</f>
        <v/>
      </c>
      <c r="U4" s="148">
        <f>E4-Q4</f>
        <v/>
      </c>
      <c r="V4" s="150">
        <f>IFERROR(U4/E4,0)</f>
        <v/>
      </c>
      <c r="W4" s="148">
        <f>IFERROR(VLOOKUP(A4,周报其他费用!$A:$B,2,FALSE)*H4,0)</f>
        <v/>
      </c>
      <c r="X4" s="148" t="n">
        <v>2532.806</v>
      </c>
      <c r="Y4" s="150">
        <f>IFERROR(X4/F4,0)</f>
        <v/>
      </c>
      <c r="Z4" s="148">
        <f>X4-J4/1.06</f>
        <v/>
      </c>
      <c r="AA4" s="150">
        <f>IFERROR(Z4/F4,0)</f>
        <v/>
      </c>
      <c r="AB4" s="148">
        <f>X4-(P4+W4)/1.06</f>
        <v/>
      </c>
      <c r="AC4" s="150">
        <f>IFERROR(AB4/F4,0)</f>
        <v/>
      </c>
    </row>
    <row r="5" ht="14.25" customHeight="1" s="65">
      <c r="A5" s="140" t="inlineStr">
        <is>
          <t>5.11-5.17</t>
        </is>
      </c>
      <c r="B5" s="141" t="n">
        <v>649735171438</v>
      </c>
      <c r="C5" s="140" t="inlineStr">
        <is>
          <t>杯面主链接</t>
        </is>
      </c>
      <c r="D5" s="140" t="inlineStr">
        <is>
          <t>印尼进口indomie营多捞面杯面速食泡面干拌面盒桶装方便面火鸡面</t>
        </is>
      </c>
      <c r="E5" s="142" t="n">
        <v>20499.86</v>
      </c>
      <c r="F5" s="142">
        <f>IFERROR(E5/1.13,0)</f>
        <v/>
      </c>
      <c r="G5" s="143" t="n">
        <v>803</v>
      </c>
      <c r="H5" s="144">
        <f>IFERROR(G5/SUMIF($A:$A,A5,$G:$G),0)</f>
        <v/>
      </c>
      <c r="I5" s="142">
        <f>IFERROR(E5/G5,0)</f>
        <v/>
      </c>
      <c r="J5" s="142" t="n">
        <v>3146.96790640394</v>
      </c>
      <c r="K5" s="142" t="n">
        <v>13817.9254433498</v>
      </c>
      <c r="L5" s="145">
        <f>IFERROR(K5/J5,0)</f>
        <v/>
      </c>
      <c r="M5" s="142" t="n">
        <v>365.143842364532</v>
      </c>
      <c r="N5" s="142" t="n">
        <v>975.123571428571</v>
      </c>
      <c r="O5" s="145">
        <f>IFERROR(N5/M5,0)</f>
        <v/>
      </c>
      <c r="P5" s="142">
        <f>J5+M5</f>
        <v/>
      </c>
      <c r="Q5" s="142">
        <f>K5+N5</f>
        <v/>
      </c>
      <c r="R5" s="145">
        <f>IFERROR(Q5/P5,0)</f>
        <v/>
      </c>
      <c r="S5" s="144">
        <f>IFERROR(P5/SUMIF($A:$A,A5,$P:$P),0)</f>
        <v/>
      </c>
      <c r="T5" s="144">
        <f>IFERROR(P5/E5,0)</f>
        <v/>
      </c>
      <c r="U5" s="142">
        <f>E5-Q5</f>
        <v/>
      </c>
      <c r="V5" s="144">
        <f>IFERROR(U5/E5,0)</f>
        <v/>
      </c>
      <c r="W5" s="142">
        <f>IFERROR(VLOOKUP(A5,周报其他费用!$A:$B,2,FALSE)*H5,0)</f>
        <v/>
      </c>
      <c r="X5" s="142" t="n">
        <v>2323.975</v>
      </c>
      <c r="Y5" s="144">
        <f>IFERROR(X5/F5,0)</f>
        <v/>
      </c>
      <c r="Z5" s="142">
        <f>X5-J5/1.06</f>
        <v/>
      </c>
      <c r="AA5" s="144">
        <f>IFERROR(Z5/F5,0)</f>
        <v/>
      </c>
      <c r="AB5" s="142">
        <f>X5-(P5+W5)/1.06</f>
        <v/>
      </c>
      <c r="AC5" s="144">
        <f>IFERROR(AB5/F5,0)</f>
        <v/>
      </c>
    </row>
    <row r="6" ht="14.25" customHeight="1" s="65">
      <c r="A6" s="146" t="inlineStr">
        <is>
          <t>5.11-5.17</t>
        </is>
      </c>
      <c r="B6" s="147" t="n">
        <v>648600900806</v>
      </c>
      <c r="C6" s="146" t="inlineStr">
        <is>
          <t>30包</t>
        </is>
      </c>
      <c r="D6" s="146" t="inlineStr">
        <is>
          <t>进口营多捞面一整箱30包网红速食方便面宿舍速食泡面干拌面拉面</t>
        </is>
      </c>
      <c r="E6" s="148" t="n">
        <v>10599.77</v>
      </c>
      <c r="F6" s="148">
        <f>IFERROR(E6/1.13,0)</f>
        <v/>
      </c>
      <c r="G6" s="149" t="n">
        <v>154</v>
      </c>
      <c r="H6" s="150">
        <f>IFERROR(G6/SUMIF($A:$A,A6,$G:$G),0)</f>
        <v/>
      </c>
      <c r="I6" s="148">
        <f>IFERROR(E6/G6,0)</f>
        <v/>
      </c>
      <c r="J6" s="148" t="n">
        <v>2033.34137931035</v>
      </c>
      <c r="K6" s="148" t="n">
        <v>10437.7624137931</v>
      </c>
      <c r="L6" s="151">
        <f>IFERROR(K6/J6,0)</f>
        <v/>
      </c>
      <c r="M6" s="148" t="n">
        <v>70.0275862068965</v>
      </c>
      <c r="N6" s="148" t="n">
        <v>187.01</v>
      </c>
      <c r="O6" s="151">
        <f>IFERROR(N6/M6,0)</f>
        <v/>
      </c>
      <c r="P6" s="148">
        <f>J6+M6</f>
        <v/>
      </c>
      <c r="Q6" s="148">
        <f>K6+N6</f>
        <v/>
      </c>
      <c r="R6" s="151">
        <f>IFERROR(Q6/P6,0)</f>
        <v/>
      </c>
      <c r="S6" s="150">
        <f>IFERROR(P6/SUMIF($A:$A,A6,$P:$P),0)</f>
        <v/>
      </c>
      <c r="T6" s="150">
        <f>IFERROR(P6/E6,0)</f>
        <v/>
      </c>
      <c r="U6" s="148">
        <f>E6-Q6</f>
        <v/>
      </c>
      <c r="V6" s="150">
        <f>IFERROR(U6/E6,0)</f>
        <v/>
      </c>
      <c r="W6" s="148">
        <f>IFERROR(VLOOKUP(A6,周报其他费用!$A:$B,2,FALSE)*H6,0)</f>
        <v/>
      </c>
      <c r="X6" s="148" t="n">
        <v>2022.481</v>
      </c>
      <c r="Y6" s="150">
        <f>IFERROR(X6/F6,0)</f>
        <v/>
      </c>
      <c r="Z6" s="148">
        <f>X6-J6/1.06</f>
        <v/>
      </c>
      <c r="AA6" s="150">
        <f>IFERROR(Z6/F6,0)</f>
        <v/>
      </c>
      <c r="AB6" s="148">
        <f>X6-(P6+W6)/1.06</f>
        <v/>
      </c>
      <c r="AC6" s="150">
        <f>IFERROR(AB6/F6,0)</f>
        <v/>
      </c>
    </row>
    <row r="7" ht="14.25" customHeight="1" s="65">
      <c r="A7" s="140" t="inlineStr">
        <is>
          <t>5.11-5.17</t>
        </is>
      </c>
      <c r="B7" s="141" t="n">
        <v>649014937782</v>
      </c>
      <c r="C7" s="140" t="inlineStr">
        <is>
          <t>24包</t>
        </is>
      </c>
      <c r="D7" s="140" t="inlineStr">
        <is>
          <t>印尼营多捞面干拌面一整箱24袋装批发泡面宿舍速食方便面火鸡面</t>
        </is>
      </c>
      <c r="E7" s="142" t="n">
        <v>7533.85</v>
      </c>
      <c r="F7" s="142">
        <f>IFERROR(E7/1.13,0)</f>
        <v/>
      </c>
      <c r="G7" s="143" t="n">
        <v>133</v>
      </c>
      <c r="H7" s="144">
        <f>IFERROR(G7/SUMIF($A:$A,A7,$G:$G),0)</f>
        <v/>
      </c>
      <c r="I7" s="142">
        <f>IFERROR(E7/G7,0)</f>
        <v/>
      </c>
      <c r="J7" s="142" t="n">
        <v>1581.3889184953</v>
      </c>
      <c r="K7" s="142" t="n">
        <v>7074.84844827586</v>
      </c>
      <c r="L7" s="145">
        <f>IFERROR(K7/J7,0)</f>
        <v/>
      </c>
      <c r="M7" s="142" t="n">
        <v>60.4783699059561</v>
      </c>
      <c r="N7" s="142" t="n">
        <v>161.508636363636</v>
      </c>
      <c r="O7" s="145">
        <f>IFERROR(N7/M7,0)</f>
        <v/>
      </c>
      <c r="P7" s="142">
        <f>J7+M7</f>
        <v/>
      </c>
      <c r="Q7" s="142">
        <f>K7+N7</f>
        <v/>
      </c>
      <c r="R7" s="145">
        <f>IFERROR(Q7/P7,0)</f>
        <v/>
      </c>
      <c r="S7" s="144">
        <f>IFERROR(P7/SUMIF($A:$A,A7,$P:$P),0)</f>
        <v/>
      </c>
      <c r="T7" s="144">
        <f>IFERROR(P7/E7,0)</f>
        <v/>
      </c>
      <c r="U7" s="142">
        <f>E7-Q7</f>
        <v/>
      </c>
      <c r="V7" s="144">
        <f>IFERROR(U7/E7,0)</f>
        <v/>
      </c>
      <c r="W7" s="142">
        <f>IFERROR(VLOOKUP(A7,周报其他费用!$A:$B,2,FALSE)*H7,0)</f>
        <v/>
      </c>
      <c r="X7" s="142" t="n">
        <v>1486.131</v>
      </c>
      <c r="Y7" s="144">
        <f>IFERROR(X7/F7,0)</f>
        <v/>
      </c>
      <c r="Z7" s="142">
        <f>X7-J7/1.06</f>
        <v/>
      </c>
      <c r="AA7" s="144">
        <f>IFERROR(Z7/F7,0)</f>
        <v/>
      </c>
      <c r="AB7" s="142">
        <f>X7-(P7+W7)/1.06</f>
        <v/>
      </c>
      <c r="AC7" s="144">
        <f>IFERROR(AB7/F7,0)</f>
        <v/>
      </c>
    </row>
    <row r="8" ht="14.25" customHeight="1" s="65">
      <c r="A8" s="146" t="inlineStr">
        <is>
          <t>5.11-5.17</t>
        </is>
      </c>
      <c r="B8" s="147" t="n">
        <v>648598580775</v>
      </c>
      <c r="C8" s="146" t="inlineStr">
        <is>
          <t>15包</t>
        </is>
      </c>
      <c r="D8" s="146" t="inlineStr">
        <is>
          <t>进口营多捞面15包Indomie方便面干拌面夜宵方便速食五连包85g*5</t>
        </is>
      </c>
      <c r="E8" s="148" t="n">
        <v>6101.89999999999</v>
      </c>
      <c r="F8" s="148">
        <f>IFERROR(E8/1.13,0)</f>
        <v/>
      </c>
      <c r="G8" s="149" t="n">
        <v>165</v>
      </c>
      <c r="H8" s="150">
        <f>IFERROR(G8/SUMIF($A:$A,A8,$G:$G),0)</f>
        <v/>
      </c>
      <c r="I8" s="148">
        <f>IFERROR(E8/G8,0)</f>
        <v/>
      </c>
      <c r="J8" s="148" t="n">
        <v>1044.73504926108</v>
      </c>
      <c r="K8" s="148" t="n">
        <v>4769.42687192118</v>
      </c>
      <c r="L8" s="151">
        <f>IFERROR(K8/J8,0)</f>
        <v/>
      </c>
      <c r="M8" s="148" t="n">
        <v>75.02955665024631</v>
      </c>
      <c r="N8" s="148" t="n">
        <v>200.367857142857</v>
      </c>
      <c r="O8" s="151">
        <f>IFERROR(N8/M8,0)</f>
        <v/>
      </c>
      <c r="P8" s="148">
        <f>J8+M8</f>
        <v/>
      </c>
      <c r="Q8" s="148">
        <f>K8+N8</f>
        <v/>
      </c>
      <c r="R8" s="151">
        <f>IFERROR(Q8/P8,0)</f>
        <v/>
      </c>
      <c r="S8" s="150">
        <f>IFERROR(P8/SUMIF($A:$A,A8,$P:$P),0)</f>
        <v/>
      </c>
      <c r="T8" s="150">
        <f>IFERROR(P8/E8,0)</f>
        <v/>
      </c>
      <c r="U8" s="148">
        <f>E8-Q8</f>
        <v/>
      </c>
      <c r="V8" s="150">
        <f>IFERROR(U8/E8,0)</f>
        <v/>
      </c>
      <c r="W8" s="148">
        <f>IFERROR(VLOOKUP(A8,周报其他费用!$A:$B,2,FALSE)*H8,0)</f>
        <v/>
      </c>
      <c r="X8" s="148" t="n">
        <v>1116.138</v>
      </c>
      <c r="Y8" s="150">
        <f>IFERROR(X8/F8,0)</f>
        <v/>
      </c>
      <c r="Z8" s="148">
        <f>X8-J8/1.06</f>
        <v/>
      </c>
      <c r="AA8" s="150">
        <f>IFERROR(Z8/F8,0)</f>
        <v/>
      </c>
      <c r="AB8" s="148">
        <f>X8-(P8+W8)/1.06</f>
        <v/>
      </c>
      <c r="AC8" s="150">
        <f>IFERROR(AB8/F8,0)</f>
        <v/>
      </c>
    </row>
    <row r="9" ht="14.25" customHeight="1" s="65">
      <c r="A9" s="140" t="inlineStr">
        <is>
          <t>5.11-5.17</t>
        </is>
      </c>
      <c r="B9" s="141" t="n">
        <v>766165464414</v>
      </c>
      <c r="C9" s="140" t="inlineStr">
        <is>
          <t>12包</t>
        </is>
      </c>
      <c r="D9" s="140" t="inlineStr">
        <is>
          <t>营多印尼进口营多捞面方便面火鸡面干拌面12包宿舍速食泡面夜宵</t>
        </is>
      </c>
      <c r="E9" s="142" t="n">
        <v>4330.8</v>
      </c>
      <c r="F9" s="142">
        <f>IFERROR(E9/1.13,0)</f>
        <v/>
      </c>
      <c r="G9" s="143" t="n">
        <v>146</v>
      </c>
      <c r="H9" s="144">
        <f>IFERROR(G9/SUMIF($A:$A,A9,$G:$G),0)</f>
        <v/>
      </c>
      <c r="I9" s="142">
        <f>IFERROR(E9/G9,0)</f>
        <v/>
      </c>
      <c r="J9" s="142" t="n">
        <v>459.942346618898</v>
      </c>
      <c r="K9" s="142" t="n">
        <v>2383.22280788177</v>
      </c>
      <c r="L9" s="145">
        <f>IFERROR(K9/J9,0)</f>
        <v/>
      </c>
      <c r="M9" s="142" t="n">
        <v>66.389789520824</v>
      </c>
      <c r="N9" s="142" t="n">
        <v>177.295194805195</v>
      </c>
      <c r="O9" s="145">
        <f>IFERROR(N9/M9,0)</f>
        <v/>
      </c>
      <c r="P9" s="142">
        <f>J9+M9</f>
        <v/>
      </c>
      <c r="Q9" s="142">
        <f>K9+N9</f>
        <v/>
      </c>
      <c r="R9" s="145">
        <f>IFERROR(Q9/P9,0)</f>
        <v/>
      </c>
      <c r="S9" s="144">
        <f>IFERROR(P9/SUMIF($A:$A,A9,$P:$P),0)</f>
        <v/>
      </c>
      <c r="T9" s="144">
        <f>IFERROR(P9/E9,0)</f>
        <v/>
      </c>
      <c r="U9" s="142">
        <f>E9-Q9</f>
        <v/>
      </c>
      <c r="V9" s="144">
        <f>IFERROR(U9/E9,0)</f>
        <v/>
      </c>
      <c r="W9" s="142">
        <f>IFERROR(VLOOKUP(A9,周报其他费用!$A:$B,2,FALSE)*H9,0)</f>
        <v/>
      </c>
      <c r="X9" s="142" t="n">
        <v>647.268</v>
      </c>
      <c r="Y9" s="144">
        <f>IFERROR(X9/F9,0)</f>
        <v/>
      </c>
      <c r="Z9" s="142">
        <f>X9-J9/1.06</f>
        <v/>
      </c>
      <c r="AA9" s="144">
        <f>IFERROR(Z9/F9,0)</f>
        <v/>
      </c>
      <c r="AB9" s="142">
        <f>X9-(P9+W9)/1.06</f>
        <v/>
      </c>
      <c r="AC9" s="144">
        <f>IFERROR(AB9/F9,0)</f>
        <v/>
      </c>
    </row>
    <row r="10" ht="14.25" customHeight="1" s="65">
      <c r="A10" s="146" t="inlineStr">
        <is>
          <t>5.11-5.17</t>
        </is>
      </c>
      <c r="B10" s="147" t="n">
        <v>735014804839</v>
      </c>
      <c r="C10" s="146" t="inlineStr">
        <is>
          <t>24/30包</t>
        </is>
      </c>
      <c r="D10" s="146" t="inlineStr">
        <is>
          <t>进口营多捞面多口味Indomie网红方便面干拌面泡面30包整箱批发面</t>
        </is>
      </c>
      <c r="E10" s="148" t="n">
        <v>2118.55</v>
      </c>
      <c r="F10" s="148">
        <f>IFERROR(E10/1.13,0)</f>
        <v/>
      </c>
      <c r="G10" s="149" t="n">
        <v>31</v>
      </c>
      <c r="H10" s="150">
        <f>IFERROR(G10/SUMIF($A:$A,A10,$G:$G),0)</f>
        <v/>
      </c>
      <c r="I10" s="148">
        <f>IFERROR(E10/G10,0)</f>
        <v/>
      </c>
      <c r="J10" s="148" t="n">
        <v>471.451251679355</v>
      </c>
      <c r="K10" s="148" t="n">
        <v>1689.0334729064</v>
      </c>
      <c r="L10" s="151">
        <f>IFERROR(K10/J10,0)</f>
        <v/>
      </c>
      <c r="M10" s="148" t="n">
        <v>14.0964621585311</v>
      </c>
      <c r="N10" s="148" t="n">
        <v>37.6448701298701</v>
      </c>
      <c r="O10" s="151">
        <f>IFERROR(N10/M10,0)</f>
        <v/>
      </c>
      <c r="P10" s="148">
        <f>J10+M10</f>
        <v/>
      </c>
      <c r="Q10" s="148">
        <f>K10+N10</f>
        <v/>
      </c>
      <c r="R10" s="151">
        <f>IFERROR(Q10/P10,0)</f>
        <v/>
      </c>
      <c r="S10" s="150">
        <f>IFERROR(P10/SUMIF($A:$A,A10,$P:$P),0)</f>
        <v/>
      </c>
      <c r="T10" s="150">
        <f>IFERROR(P10/E10,0)</f>
        <v/>
      </c>
      <c r="U10" s="148">
        <f>E10-Q10</f>
        <v/>
      </c>
      <c r="V10" s="150">
        <f>IFERROR(U10/E10,0)</f>
        <v/>
      </c>
      <c r="W10" s="148">
        <f>IFERROR(VLOOKUP(A10,周报其他费用!$A:$B,2,FALSE)*H10,0)</f>
        <v/>
      </c>
      <c r="X10" s="148" t="n">
        <v>422.008</v>
      </c>
      <c r="Y10" s="150">
        <f>IFERROR(X10/F10,0)</f>
        <v/>
      </c>
      <c r="Z10" s="148">
        <f>X10-J10/1.06</f>
        <v/>
      </c>
      <c r="AA10" s="150">
        <f>IFERROR(Z10/F10,0)</f>
        <v/>
      </c>
      <c r="AB10" s="148">
        <f>X10-(P10+W10)/1.06</f>
        <v/>
      </c>
      <c r="AC10" s="150">
        <f>IFERROR(AB10/F10,0)</f>
        <v/>
      </c>
    </row>
    <row r="11" ht="14.25" customHeight="1" s="65">
      <c r="A11" s="140" t="inlineStr">
        <is>
          <t>5.11-5.17</t>
        </is>
      </c>
      <c r="B11" s="141" t="n">
        <v>649369494424</v>
      </c>
      <c r="C11" s="140" t="inlineStr">
        <is>
          <t>24包经典/牛系列</t>
        </is>
      </c>
      <c r="D11" s="140" t="inlineStr">
        <is>
          <t>营多捞面干拌面一整箱24袋装批发泡面混搭宿舍速食方便面火鸡面</t>
        </is>
      </c>
      <c r="E11" s="142" t="n">
        <v>1718.31</v>
      </c>
      <c r="F11" s="142">
        <f>IFERROR(E11/1.13,0)</f>
        <v/>
      </c>
      <c r="G11" s="143" t="n">
        <v>31</v>
      </c>
      <c r="H11" s="144">
        <f>IFERROR(G11/SUMIF($A:$A,A11,$G:$G),0)</f>
        <v/>
      </c>
      <c r="I11" s="142">
        <f>IFERROR(E11/G11,0)</f>
        <v/>
      </c>
      <c r="J11" s="142" t="n">
        <v>214.931251679355</v>
      </c>
      <c r="K11" s="142" t="n">
        <v>812.643472906404</v>
      </c>
      <c r="L11" s="145">
        <f>IFERROR(K11/J11,0)</f>
        <v/>
      </c>
      <c r="M11" s="142" t="n">
        <v>14.0964621585311</v>
      </c>
      <c r="N11" s="142" t="n">
        <v>37.6448701298701</v>
      </c>
      <c r="O11" s="145">
        <f>IFERROR(N11/M11,0)</f>
        <v/>
      </c>
      <c r="P11" s="142">
        <f>J11+M11</f>
        <v/>
      </c>
      <c r="Q11" s="142">
        <f>K11+N11</f>
        <v/>
      </c>
      <c r="R11" s="145">
        <f>IFERROR(Q11/P11,0)</f>
        <v/>
      </c>
      <c r="S11" s="144">
        <f>IFERROR(P11/SUMIF($A:$A,A11,$P:$P),0)</f>
        <v/>
      </c>
      <c r="T11" s="144">
        <f>IFERROR(P11/E11,0)</f>
        <v/>
      </c>
      <c r="U11" s="142">
        <f>E11-Q11</f>
        <v/>
      </c>
      <c r="V11" s="144">
        <f>IFERROR(U11/E11,0)</f>
        <v/>
      </c>
      <c r="W11" s="142">
        <f>IFERROR(VLOOKUP(A11,周报其他费用!$A:$B,2,FALSE)*H11,0)</f>
        <v/>
      </c>
      <c r="X11" s="142" t="n">
        <v>325.027</v>
      </c>
      <c r="Y11" s="144">
        <f>IFERROR(X11/F11,0)</f>
        <v/>
      </c>
      <c r="Z11" s="142">
        <f>X11-J11/1.06</f>
        <v/>
      </c>
      <c r="AA11" s="144">
        <f>IFERROR(Z11/F11,0)</f>
        <v/>
      </c>
      <c r="AB11" s="142">
        <f>X11-(P11+W11)/1.06</f>
        <v/>
      </c>
      <c r="AC11" s="144">
        <f>IFERROR(AB11/F11,0)</f>
        <v/>
      </c>
    </row>
    <row r="12" ht="14.25" customHeight="1" s="65">
      <c r="A12" s="146" t="inlineStr">
        <is>
          <t>5.11-5.17</t>
        </is>
      </c>
      <c r="B12" s="147" t="n">
        <v>929504658691</v>
      </c>
      <c r="C12" s="146" t="inlineStr">
        <is>
          <t>日式袋面</t>
        </is>
      </c>
      <c r="D12" s="146" t="inlineStr">
        <is>
          <t>营多捞面日式鸡肉汤面原味辛辣味袋装泡面方便面速食宿舍夜宵食品</t>
        </is>
      </c>
      <c r="E12" s="148" t="n">
        <v>626.3200000000001</v>
      </c>
      <c r="F12" s="148">
        <f>IFERROR(E12/1.13,0)</f>
        <v/>
      </c>
      <c r="G12" s="149" t="n">
        <v>24</v>
      </c>
      <c r="H12" s="150">
        <f>IFERROR(G12/SUMIF($A:$A,A12,$G:$G),0)</f>
        <v/>
      </c>
      <c r="I12" s="148">
        <f>IFERROR(E12/G12,0)</f>
        <v/>
      </c>
      <c r="J12" s="148" t="n">
        <v>163.457098074339</v>
      </c>
      <c r="K12" s="148" t="n">
        <v>502.40881773399</v>
      </c>
      <c r="L12" s="151">
        <f>IFERROR(K12/J12,0)</f>
        <v/>
      </c>
      <c r="M12" s="148" t="n">
        <v>10.9133900582176</v>
      </c>
      <c r="N12" s="148" t="n">
        <v>29.1444155844156</v>
      </c>
      <c r="O12" s="151">
        <f>IFERROR(N12/M12,0)</f>
        <v/>
      </c>
      <c r="P12" s="148">
        <f>J12+M12</f>
        <v/>
      </c>
      <c r="Q12" s="148">
        <f>K12+N12</f>
        <v/>
      </c>
      <c r="R12" s="151">
        <f>IFERROR(Q12/P12,0)</f>
        <v/>
      </c>
      <c r="S12" s="150">
        <f>IFERROR(P12/SUMIF($A:$A,A12,$P:$P),0)</f>
        <v/>
      </c>
      <c r="T12" s="150">
        <f>IFERROR(P12/E12,0)</f>
        <v/>
      </c>
      <c r="U12" s="148">
        <f>E12-Q12</f>
        <v/>
      </c>
      <c r="V12" s="150">
        <f>IFERROR(U12/E12,0)</f>
        <v/>
      </c>
      <c r="W12" s="148">
        <f>IFERROR(VLOOKUP(A12,周报其他费用!$A:$B,2,FALSE)*H12,0)</f>
        <v/>
      </c>
      <c r="X12" s="148" t="n">
        <v>110.142</v>
      </c>
      <c r="Y12" s="150">
        <f>IFERROR(X12/F12,0)</f>
        <v/>
      </c>
      <c r="Z12" s="148">
        <f>X12-J12/1.06</f>
        <v/>
      </c>
      <c r="AA12" s="150">
        <f>IFERROR(Z12/F12,0)</f>
        <v/>
      </c>
      <c r="AB12" s="148">
        <f>X12-(P12+W12)/1.06</f>
        <v/>
      </c>
      <c r="AC12" s="150">
        <f>IFERROR(AB12/F12,0)</f>
        <v/>
      </c>
    </row>
    <row r="13" ht="14.25" customHeight="1" s="65">
      <c r="A13" s="140" t="inlineStr">
        <is>
          <t>5.11-5.17</t>
        </is>
      </c>
      <c r="B13" s="141" t="n">
        <v>648681860568</v>
      </c>
      <c r="C13" s="140" t="inlineStr">
        <is>
          <t>杯面次链接</t>
        </is>
      </c>
      <c r="D13" s="140" t="inlineStr">
        <is>
          <t>营多捞面杯装方便面泡面速食干拌面原味整箱批发印尼进口桶装拌面</t>
        </is>
      </c>
      <c r="E13" s="142" t="n">
        <v>1000.29</v>
      </c>
      <c r="F13" s="142">
        <f>IFERROR(E13/1.13,0)</f>
        <v/>
      </c>
      <c r="G13" s="143" t="n">
        <v>41</v>
      </c>
      <c r="H13" s="144">
        <f>IFERROR(G13/SUMIF($A:$A,A13,$G:$G),0)</f>
        <v/>
      </c>
      <c r="I13" s="142">
        <f>IFERROR(E13/G13,0)</f>
        <v/>
      </c>
      <c r="J13" s="142" t="n">
        <v>171.610042543663</v>
      </c>
      <c r="K13" s="142" t="n">
        <v>836.272980295567</v>
      </c>
      <c r="L13" s="145">
        <f>IFERROR(K13/J13,0)</f>
        <v/>
      </c>
      <c r="M13" s="142" t="n">
        <v>18.6437080161218</v>
      </c>
      <c r="N13" s="142" t="n">
        <v>49.7883766233766</v>
      </c>
      <c r="O13" s="145">
        <f>IFERROR(N13/M13,0)</f>
        <v/>
      </c>
      <c r="P13" s="142">
        <f>J13+M13</f>
        <v/>
      </c>
      <c r="Q13" s="142">
        <f>K13+N13</f>
        <v/>
      </c>
      <c r="R13" s="145">
        <f>IFERROR(Q13/P13,0)</f>
        <v/>
      </c>
      <c r="S13" s="144">
        <f>IFERROR(P13/SUMIF($A:$A,A13,$P:$P),0)</f>
        <v/>
      </c>
      <c r="T13" s="144">
        <f>IFERROR(P13/E13,0)</f>
        <v/>
      </c>
      <c r="U13" s="142">
        <f>E13-Q13</f>
        <v/>
      </c>
      <c r="V13" s="144">
        <f>IFERROR(U13/E13,0)</f>
        <v/>
      </c>
      <c r="W13" s="142">
        <f>IFERROR(VLOOKUP(A13,周报其他费用!$A:$B,2,FALSE)*H13,0)</f>
        <v/>
      </c>
      <c r="X13" s="142" t="n">
        <v>101.013</v>
      </c>
      <c r="Y13" s="144">
        <f>IFERROR(X13/F13,0)</f>
        <v/>
      </c>
      <c r="Z13" s="142">
        <f>X13-J13/1.06</f>
        <v/>
      </c>
      <c r="AA13" s="144">
        <f>IFERROR(Z13/F13,0)</f>
        <v/>
      </c>
      <c r="AB13" s="142">
        <f>X13-(P13+W13)/1.06</f>
        <v/>
      </c>
      <c r="AC13" s="144">
        <f>IFERROR(AB13/F13,0)</f>
        <v/>
      </c>
    </row>
    <row r="14" ht="14.25" customHeight="1" s="65">
      <c r="A14" s="146" t="inlineStr">
        <is>
          <t>5.11-5.17</t>
        </is>
      </c>
      <c r="B14" s="147" t="n">
        <v>937005385662</v>
      </c>
      <c r="C14" s="146" t="inlineStr">
        <is>
          <t>日式袋面</t>
        </is>
      </c>
      <c r="D14" s="146" t="inlineStr">
        <is>
          <t>进口营多正品捞面日式鸡肉鸡汤辛辣味袋装泡面辣味速食方便面汤面</t>
        </is>
      </c>
      <c r="E14" s="148" t="n">
        <v>425.12</v>
      </c>
      <c r="F14" s="148">
        <f>IFERROR(E14/1.13,0)</f>
        <v/>
      </c>
      <c r="G14" s="149" t="n">
        <v>19</v>
      </c>
      <c r="H14" s="150">
        <f>IFERROR(G14/SUMIF($A:$A,A14,$G:$G),0)</f>
        <v/>
      </c>
      <c r="I14" s="148">
        <f>IFERROR(E14/G14,0)</f>
        <v/>
      </c>
      <c r="J14" s="148" t="n">
        <v>181.772702642185</v>
      </c>
      <c r="K14" s="148" t="n">
        <v>397.104064039409</v>
      </c>
      <c r="L14" s="151">
        <f>IFERROR(K14/J14,0)</f>
        <v/>
      </c>
      <c r="M14" s="148" t="n">
        <v>8.6397671294223</v>
      </c>
      <c r="N14" s="148" t="n">
        <v>23.0726623376623</v>
      </c>
      <c r="O14" s="151">
        <f>IFERROR(N14/M14,0)</f>
        <v/>
      </c>
      <c r="P14" s="148">
        <f>J14+M14</f>
        <v/>
      </c>
      <c r="Q14" s="148">
        <f>K14+N14</f>
        <v/>
      </c>
      <c r="R14" s="151">
        <f>IFERROR(Q14/P14,0)</f>
        <v/>
      </c>
      <c r="S14" s="150">
        <f>IFERROR(P14/SUMIF($A:$A,A14,$P:$P),0)</f>
        <v/>
      </c>
      <c r="T14" s="150">
        <f>IFERROR(P14/E14,0)</f>
        <v/>
      </c>
      <c r="U14" s="148">
        <f>E14-Q14</f>
        <v/>
      </c>
      <c r="V14" s="150">
        <f>IFERROR(U14/E14,0)</f>
        <v/>
      </c>
      <c r="W14" s="148">
        <f>IFERROR(VLOOKUP(A14,周报其他费用!$A:$B,2,FALSE)*H14,0)</f>
        <v/>
      </c>
      <c r="X14" s="148" t="n">
        <v>75.032</v>
      </c>
      <c r="Y14" s="150">
        <f>IFERROR(X14/F14,0)</f>
        <v/>
      </c>
      <c r="Z14" s="148">
        <f>X14-J14/1.06</f>
        <v/>
      </c>
      <c r="AA14" s="150">
        <f>IFERROR(Z14/F14,0)</f>
        <v/>
      </c>
      <c r="AB14" s="148">
        <f>X14-(P14+W14)/1.06</f>
        <v/>
      </c>
      <c r="AC14" s="150">
        <f>IFERROR(AB14/F14,0)</f>
        <v/>
      </c>
    </row>
    <row r="15" ht="14.25" customHeight="1" s="65">
      <c r="A15" s="140" t="inlineStr">
        <is>
          <t>5.11-5.17</t>
        </is>
      </c>
      <c r="B15" s="141" t="n">
        <v>969433743398</v>
      </c>
      <c r="C15" s="140" t="inlineStr">
        <is>
          <t>韩蘑菇</t>
        </is>
      </c>
      <c r="D15" s="140" t="inlineStr">
        <is>
          <t>新品营多捞面韩式辣蘑菇汤面泡面方便面速食干拌面宿舍宵夜旅行</t>
        </is>
      </c>
      <c r="E15" s="142" t="n">
        <v>495.56</v>
      </c>
      <c r="F15" s="142">
        <f>IFERROR(E15/1.13,0)</f>
        <v/>
      </c>
      <c r="G15" s="143" t="n">
        <v>23</v>
      </c>
      <c r="H15" s="144">
        <f>IFERROR(G15/SUMIF($A:$A,A15,$G:$G),0)</f>
        <v/>
      </c>
      <c r="I15" s="142">
        <f>IFERROR(E15/G15,0)</f>
        <v/>
      </c>
      <c r="J15" s="142" t="n">
        <v>141.192218987909</v>
      </c>
      <c r="K15" s="142" t="n">
        <v>387.793866995074</v>
      </c>
      <c r="L15" s="145">
        <f>IFERROR(K15/J15,0)</f>
        <v/>
      </c>
      <c r="M15" s="142" t="n">
        <v>10.4586654724586</v>
      </c>
      <c r="N15" s="142" t="n">
        <v>27.9300649350649</v>
      </c>
      <c r="O15" s="145">
        <f>IFERROR(N15/M15,0)</f>
        <v/>
      </c>
      <c r="P15" s="142">
        <f>J15+M15</f>
        <v/>
      </c>
      <c r="Q15" s="142">
        <f>K15+N15</f>
        <v/>
      </c>
      <c r="R15" s="145">
        <f>IFERROR(Q15/P15,0)</f>
        <v/>
      </c>
      <c r="S15" s="144">
        <f>IFERROR(P15/SUMIF($A:$A,A15,$P:$P),0)</f>
        <v/>
      </c>
      <c r="T15" s="144">
        <f>IFERROR(P15/E15,0)</f>
        <v/>
      </c>
      <c r="U15" s="142">
        <f>E15-Q15</f>
        <v/>
      </c>
      <c r="V15" s="144">
        <f>IFERROR(U15/E15,0)</f>
        <v/>
      </c>
      <c r="W15" s="142">
        <f>IFERROR(VLOOKUP(A15,周报其他费用!$A:$B,2,FALSE)*H15,0)</f>
        <v/>
      </c>
      <c r="X15" s="142" t="n">
        <v>67.205</v>
      </c>
      <c r="Y15" s="144">
        <f>IFERROR(X15/F15,0)</f>
        <v/>
      </c>
      <c r="Z15" s="142">
        <f>X15-J15/1.06</f>
        <v/>
      </c>
      <c r="AA15" s="144">
        <f>IFERROR(Z15/F15,0)</f>
        <v/>
      </c>
      <c r="AB15" s="142">
        <f>X15-(P15+W15)/1.06</f>
        <v/>
      </c>
      <c r="AC15" s="144">
        <f>IFERROR(AB15/F15,0)</f>
        <v/>
      </c>
    </row>
    <row r="16" ht="14.25" customHeight="1" s="65">
      <c r="A16" s="146" t="inlineStr">
        <is>
          <t>5.11-5.17</t>
        </is>
      </c>
      <c r="B16" s="147" t="n">
        <v>1013887677295</v>
      </c>
      <c r="C16" s="146" t="inlineStr">
        <is>
          <t>混搭5杯</t>
        </is>
      </c>
      <c r="D16" s="146" t="inlineStr">
        <is>
          <t>进口营多原味杯面日式杯面韩式杯面泡面方便面汤面宿舍速食夜宵</t>
        </is>
      </c>
      <c r="E16" s="148" t="n">
        <v>574.12</v>
      </c>
      <c r="F16" s="148">
        <f>IFERROR(E16/1.13,0)</f>
        <v/>
      </c>
      <c r="G16" s="149" t="n">
        <v>23</v>
      </c>
      <c r="H16" s="150">
        <f>IFERROR(G16/SUMIF($A:$A,A16,$G:$G),0)</f>
        <v/>
      </c>
      <c r="I16" s="148">
        <f>IFERROR(E16/G16,0)</f>
        <v/>
      </c>
      <c r="J16" s="148" t="n">
        <v>115.042218987909</v>
      </c>
      <c r="K16" s="148" t="n">
        <v>632.203866995074</v>
      </c>
      <c r="L16" s="151">
        <f>IFERROR(K16/J16,0)</f>
        <v/>
      </c>
      <c r="M16" s="148" t="n">
        <v>10.4586654724586</v>
      </c>
      <c r="N16" s="148" t="n">
        <v>27.9300649350649</v>
      </c>
      <c r="O16" s="151">
        <f>IFERROR(N16/M16,0)</f>
        <v/>
      </c>
      <c r="P16" s="148">
        <f>J16+M16</f>
        <v/>
      </c>
      <c r="Q16" s="148">
        <f>K16+N16</f>
        <v/>
      </c>
      <c r="R16" s="151">
        <f>IFERROR(Q16/P16,0)</f>
        <v/>
      </c>
      <c r="S16" s="150">
        <f>IFERROR(P16/SUMIF($A:$A,A16,$P:$P),0)</f>
        <v/>
      </c>
      <c r="T16" s="150">
        <f>IFERROR(P16/E16,0)</f>
        <v/>
      </c>
      <c r="U16" s="148">
        <f>E16-Q16</f>
        <v/>
      </c>
      <c r="V16" s="150">
        <f>IFERROR(U16/E16,0)</f>
        <v/>
      </c>
      <c r="W16" s="148">
        <f>IFERROR(VLOOKUP(A16,周报其他费用!$A:$B,2,FALSE)*H16,0)</f>
        <v/>
      </c>
      <c r="X16" s="148" t="n">
        <v>58.235</v>
      </c>
      <c r="Y16" s="150">
        <f>IFERROR(X16/F16,0)</f>
        <v/>
      </c>
      <c r="Z16" s="148">
        <f>X16-J16/1.06</f>
        <v/>
      </c>
      <c r="AA16" s="150">
        <f>IFERROR(Z16/F16,0)</f>
        <v/>
      </c>
      <c r="AB16" s="148">
        <f>X16-(P16+W16)/1.06</f>
        <v/>
      </c>
      <c r="AC16" s="150">
        <f>IFERROR(AB16/F16,0)</f>
        <v/>
      </c>
    </row>
    <row r="17" ht="14.25" customHeight="1" s="65">
      <c r="A17" s="140" t="inlineStr">
        <is>
          <t>5.11-5.17</t>
        </is>
      </c>
      <c r="B17" s="141" t="n">
        <v>744317232690</v>
      </c>
      <c r="C17" s="140" t="inlineStr">
        <is>
          <t>多规格</t>
        </is>
      </c>
      <c r="D17" s="140" t="inlineStr">
        <is>
          <t>营多捞面汤面清香牛肉味方便面泡面速食食品泡面拉面整箱旅行宿舍</t>
        </is>
      </c>
      <c r="E17" s="142" t="n">
        <v>371.41</v>
      </c>
      <c r="F17" s="142">
        <f>IFERROR(E17/1.13,0)</f>
        <v/>
      </c>
      <c r="G17" s="143" t="n">
        <v>20</v>
      </c>
      <c r="H17" s="144">
        <f>IFERROR(G17/SUMIF($A:$A,A17,$G:$G),0)</f>
        <v/>
      </c>
      <c r="I17" s="142">
        <f>IFERROR(E17/G17,0)</f>
        <v/>
      </c>
      <c r="J17" s="142" t="n">
        <v>51.6975817286162</v>
      </c>
      <c r="K17" s="142" t="n">
        <v>257.259014778325</v>
      </c>
      <c r="L17" s="145">
        <f>IFERROR(K17/J17,0)</f>
        <v/>
      </c>
      <c r="M17" s="142" t="n">
        <v>9.09449171518137</v>
      </c>
      <c r="N17" s="142" t="n">
        <v>24.287012987013</v>
      </c>
      <c r="O17" s="145">
        <f>IFERROR(N17/M17,0)</f>
        <v/>
      </c>
      <c r="P17" s="142">
        <f>J17+M17</f>
        <v/>
      </c>
      <c r="Q17" s="142">
        <f>K17+N17</f>
        <v/>
      </c>
      <c r="R17" s="145">
        <f>IFERROR(Q17/P17,0)</f>
        <v/>
      </c>
      <c r="S17" s="144">
        <f>IFERROR(P17/SUMIF($A:$A,A17,$P:$P),0)</f>
        <v/>
      </c>
      <c r="T17" s="144">
        <f>IFERROR(P17/E17,0)</f>
        <v/>
      </c>
      <c r="U17" s="142">
        <f>E17-Q17</f>
        <v/>
      </c>
      <c r="V17" s="144">
        <f>IFERROR(U17/E17,0)</f>
        <v/>
      </c>
      <c r="W17" s="142">
        <f>IFERROR(VLOOKUP(A17,周报其他费用!$A:$B,2,FALSE)*H17,0)</f>
        <v/>
      </c>
      <c r="X17" s="142" t="n">
        <v>30.124</v>
      </c>
      <c r="Y17" s="144">
        <f>IFERROR(X17/F17,0)</f>
        <v/>
      </c>
      <c r="Z17" s="142">
        <f>X17-J17/1.06</f>
        <v/>
      </c>
      <c r="AA17" s="144">
        <f>IFERROR(Z17/F17,0)</f>
        <v/>
      </c>
      <c r="AB17" s="142">
        <f>X17-(P17+W17)/1.06</f>
        <v/>
      </c>
      <c r="AC17" s="144">
        <f>IFERROR(AB17/F17,0)</f>
        <v/>
      </c>
    </row>
    <row r="18" ht="14.25" customHeight="1" s="65">
      <c r="A18" s="146" t="inlineStr">
        <is>
          <t>5.11-5.17</t>
        </is>
      </c>
      <c r="B18" s="147" t="n">
        <v>649729851594</v>
      </c>
      <c r="C18" s="146" t="inlineStr">
        <is>
          <t>小规格</t>
        </is>
      </c>
      <c r="D18" s="146" t="inlineStr">
        <is>
          <t>营多捞面袋装8包装泡面宿舍速食面热干面干拌面方便面火鸡面食品</t>
        </is>
      </c>
      <c r="E18" s="148" t="n">
        <v>177.42</v>
      </c>
      <c r="F18" s="148">
        <f>IFERROR(E18/1.13,0)</f>
        <v/>
      </c>
      <c r="G18" s="149" t="n">
        <v>8</v>
      </c>
      <c r="H18" s="150">
        <f>IFERROR(G18/SUMIF($A:$A,A18,$G:$G),0)</f>
        <v/>
      </c>
      <c r="I18" s="148">
        <f>IFERROR(E18/G18,0)</f>
        <v/>
      </c>
      <c r="J18" s="148" t="n">
        <v>29.1290326914465</v>
      </c>
      <c r="K18" s="148" t="n">
        <v>43.9796059113301</v>
      </c>
      <c r="L18" s="151">
        <f>IFERROR(K18/J18,0)</f>
        <v/>
      </c>
      <c r="M18" s="148" t="n">
        <v>3.63779668607255</v>
      </c>
      <c r="N18" s="148" t="n">
        <v>9.714805194805191</v>
      </c>
      <c r="O18" s="151">
        <f>IFERROR(N18/M18,0)</f>
        <v/>
      </c>
      <c r="P18" s="148">
        <f>J18+M18</f>
        <v/>
      </c>
      <c r="Q18" s="148">
        <f>K18+N18</f>
        <v/>
      </c>
      <c r="R18" s="151">
        <f>IFERROR(Q18/P18,0)</f>
        <v/>
      </c>
      <c r="S18" s="150">
        <f>IFERROR(P18/SUMIF($A:$A,A18,$P:$P),0)</f>
        <v/>
      </c>
      <c r="T18" s="150">
        <f>IFERROR(P18/E18,0)</f>
        <v/>
      </c>
      <c r="U18" s="148">
        <f>E18-Q18</f>
        <v/>
      </c>
      <c r="V18" s="150">
        <f>IFERROR(U18/E18,0)</f>
        <v/>
      </c>
      <c r="W18" s="148">
        <f>IFERROR(VLOOKUP(A18,周报其他费用!$A:$B,2,FALSE)*H18,0)</f>
        <v/>
      </c>
      <c r="X18" s="148" t="n">
        <v>27.291</v>
      </c>
      <c r="Y18" s="150">
        <f>IFERROR(X18/F18,0)</f>
        <v/>
      </c>
      <c r="Z18" s="148">
        <f>X18-J18/1.06</f>
        <v/>
      </c>
      <c r="AA18" s="150">
        <f>IFERROR(Z18/F18,0)</f>
        <v/>
      </c>
      <c r="AB18" s="148">
        <f>X18-(P18+W18)/1.06</f>
        <v/>
      </c>
      <c r="AC18" s="150">
        <f>IFERROR(AB18/F18,0)</f>
        <v/>
      </c>
    </row>
    <row r="19" ht="14.25" customHeight="1" s="65">
      <c r="A19" s="140" t="inlineStr">
        <is>
          <t>5.11-5.17</t>
        </is>
      </c>
      <c r="B19" s="141" t="n">
        <v>648604228786</v>
      </c>
      <c r="C19" s="140" t="inlineStr">
        <is>
          <t>杯面混搭</t>
        </is>
      </c>
      <c r="D19" s="140" t="inlineStr">
        <is>
          <t>INDOMIE营多日式杯面原味经典泡面整箱批发速食宿舍旅行宵夜宿舍</t>
        </is>
      </c>
      <c r="E19" s="142" t="n">
        <v>239.95</v>
      </c>
      <c r="F19" s="142">
        <f>IFERROR(E19/1.13,0)</f>
        <v/>
      </c>
      <c r="G19" s="143" t="n">
        <v>9</v>
      </c>
      <c r="H19" s="144">
        <f>IFERROR(G19/SUMIF($A:$A,A19,$G:$G),0)</f>
        <v/>
      </c>
      <c r="I19" s="142">
        <f>IFERROR(E19/G19,0)</f>
        <v/>
      </c>
      <c r="J19" s="142" t="n">
        <v>44.7139117778773</v>
      </c>
      <c r="K19" s="142" t="n">
        <v>63.8345566502464</v>
      </c>
      <c r="L19" s="145">
        <f>IFERROR(K19/J19,0)</f>
        <v/>
      </c>
      <c r="M19" s="142" t="n">
        <v>4.09252127183162</v>
      </c>
      <c r="N19" s="142" t="n">
        <v>10.9291558441558</v>
      </c>
      <c r="O19" s="145">
        <f>IFERROR(N19/M19,0)</f>
        <v/>
      </c>
      <c r="P19" s="142">
        <f>J19+M19</f>
        <v/>
      </c>
      <c r="Q19" s="142">
        <f>K19+N19</f>
        <v/>
      </c>
      <c r="R19" s="145">
        <f>IFERROR(Q19/P19,0)</f>
        <v/>
      </c>
      <c r="S19" s="144">
        <f>IFERROR(P19/SUMIF($A:$A,A19,$P:$P),0)</f>
        <v/>
      </c>
      <c r="T19" s="144">
        <f>IFERROR(P19/E19,0)</f>
        <v/>
      </c>
      <c r="U19" s="142">
        <f>E19-Q19</f>
        <v/>
      </c>
      <c r="V19" s="144">
        <f>IFERROR(U19/E19,0)</f>
        <v/>
      </c>
      <c r="W19" s="142">
        <f>IFERROR(VLOOKUP(A19,周报其他费用!$A:$B,2,FALSE)*H19,0)</f>
        <v/>
      </c>
      <c r="X19" s="142" t="n">
        <v>23.72</v>
      </c>
      <c r="Y19" s="144">
        <f>IFERROR(X19/F19,0)</f>
        <v/>
      </c>
      <c r="Z19" s="142">
        <f>X19-J19/1.06</f>
        <v/>
      </c>
      <c r="AA19" s="144">
        <f>IFERROR(Z19/F19,0)</f>
        <v/>
      </c>
      <c r="AB19" s="142">
        <f>X19-(P19+W19)/1.06</f>
        <v/>
      </c>
      <c r="AC19" s="144">
        <f>IFERROR(AB19/F19,0)</f>
        <v/>
      </c>
    </row>
    <row r="20" ht="14.25" customHeight="1" s="65">
      <c r="A20" s="146" t="inlineStr">
        <is>
          <t>5.11-5.17</t>
        </is>
      </c>
      <c r="B20" s="147" t="n">
        <v>969423151512</v>
      </c>
      <c r="C20" s="146" t="inlineStr">
        <is>
          <t>日韩混搭</t>
        </is>
      </c>
      <c r="D20" s="146" t="inlineStr">
        <is>
          <t>营多捞面甜辣炸鸡火鸡面辣蘑菇泡面方便面速食干拌面宿舍宵夜旅行</t>
        </is>
      </c>
      <c r="E20" s="148" t="n">
        <v>173.78</v>
      </c>
      <c r="F20" s="148">
        <f>IFERROR(E20/1.13,0)</f>
        <v/>
      </c>
      <c r="G20" s="149" t="n">
        <v>9</v>
      </c>
      <c r="H20" s="150">
        <f>IFERROR(G20/SUMIF($A:$A,A20,$G:$G),0)</f>
        <v/>
      </c>
      <c r="I20" s="148">
        <f>IFERROR(E20/G20,0)</f>
        <v/>
      </c>
      <c r="J20" s="148" t="n">
        <v>28.1439117778773</v>
      </c>
      <c r="K20" s="148" t="n">
        <v>107.304556650246</v>
      </c>
      <c r="L20" s="151">
        <f>IFERROR(K20/J20,0)</f>
        <v/>
      </c>
      <c r="M20" s="148" t="n">
        <v>4.09252127183162</v>
      </c>
      <c r="N20" s="148" t="n">
        <v>10.9291558441558</v>
      </c>
      <c r="O20" s="151">
        <f>IFERROR(N20/M20,0)</f>
        <v/>
      </c>
      <c r="P20" s="148">
        <f>J20+M20</f>
        <v/>
      </c>
      <c r="Q20" s="148">
        <f>K20+N20</f>
        <v/>
      </c>
      <c r="R20" s="151">
        <f>IFERROR(Q20/P20,0)</f>
        <v/>
      </c>
      <c r="S20" s="150">
        <f>IFERROR(P20/SUMIF($A:$A,A20,$P:$P),0)</f>
        <v/>
      </c>
      <c r="T20" s="150">
        <f>IFERROR(P20/E20,0)</f>
        <v/>
      </c>
      <c r="U20" s="148">
        <f>E20-Q20</f>
        <v/>
      </c>
      <c r="V20" s="150">
        <f>IFERROR(U20/E20,0)</f>
        <v/>
      </c>
      <c r="W20" s="148">
        <f>IFERROR(VLOOKUP(A20,周报其他费用!$A:$B,2,FALSE)*H20,0)</f>
        <v/>
      </c>
      <c r="X20" s="148" t="n">
        <v>20.193</v>
      </c>
      <c r="Y20" s="150">
        <f>IFERROR(X20/F20,0)</f>
        <v/>
      </c>
      <c r="Z20" s="148">
        <f>X20-J20/1.06</f>
        <v/>
      </c>
      <c r="AA20" s="150">
        <f>IFERROR(Z20/F20,0)</f>
        <v/>
      </c>
      <c r="AB20" s="148">
        <f>X20-(P20+W20)/1.06</f>
        <v/>
      </c>
      <c r="AC20" s="150">
        <f>IFERROR(AB20/F20,0)</f>
        <v/>
      </c>
    </row>
    <row r="21" ht="14.25" customHeight="1" s="65">
      <c r="A21" s="140" t="inlineStr">
        <is>
          <t>5.11-5.17</t>
        </is>
      </c>
      <c r="B21" s="141" t="n">
        <v>649731447266</v>
      </c>
      <c r="C21" s="140" t="inlineStr">
        <is>
          <t>20包经典/牛系列</t>
        </is>
      </c>
      <c r="D21" s="140" t="inlineStr">
        <is>
          <t>营多印尼进口营多捞面方便面火鸡面干拌面20包宿舍速食泡面夜宵</t>
        </is>
      </c>
      <c r="E21" s="142" t="n">
        <v>96.65000000000001</v>
      </c>
      <c r="F21" s="142">
        <f>IFERROR(E21/1.13,0)</f>
        <v/>
      </c>
      <c r="G21" s="143" t="n">
        <v>2</v>
      </c>
      <c r="H21" s="144">
        <f>IFERROR(G21/SUMIF($A:$A,A21,$G:$G),0)</f>
        <v/>
      </c>
      <c r="I21" s="142">
        <f>IFERROR(E21/G21,0)</f>
        <v/>
      </c>
      <c r="J21" s="142" t="n">
        <v>6.31975817286162</v>
      </c>
      <c r="K21" s="142" t="n">
        <v>73.7299014778325</v>
      </c>
      <c r="L21" s="145">
        <f>IFERROR(K21/J21,0)</f>
        <v/>
      </c>
      <c r="M21" s="142" t="n">
        <v>0.909449171518137</v>
      </c>
      <c r="N21" s="142" t="n">
        <v>2.4287012987013</v>
      </c>
      <c r="O21" s="145">
        <f>IFERROR(N21/M21,0)</f>
        <v/>
      </c>
      <c r="P21" s="142">
        <f>J21+M21</f>
        <v/>
      </c>
      <c r="Q21" s="142">
        <f>K21+N21</f>
        <v/>
      </c>
      <c r="R21" s="145">
        <f>IFERROR(Q21/P21,0)</f>
        <v/>
      </c>
      <c r="S21" s="144">
        <f>IFERROR(P21/SUMIF($A:$A,A21,$P:$P),0)</f>
        <v/>
      </c>
      <c r="T21" s="144">
        <f>IFERROR(P21/E21,0)</f>
        <v/>
      </c>
      <c r="U21" s="142">
        <f>E21-Q21</f>
        <v/>
      </c>
      <c r="V21" s="144">
        <f>IFERROR(U21/E21,0)</f>
        <v/>
      </c>
      <c r="W21" s="142">
        <f>IFERROR(VLOOKUP(A21,周报其他费用!$A:$B,2,FALSE)*H21,0)</f>
        <v/>
      </c>
      <c r="X21" s="142" t="n">
        <v>19.508</v>
      </c>
      <c r="Y21" s="144">
        <f>IFERROR(X21/F21,0)</f>
        <v/>
      </c>
      <c r="Z21" s="142">
        <f>X21-J21/1.06</f>
        <v/>
      </c>
      <c r="AA21" s="144">
        <f>IFERROR(Z21/F21,0)</f>
        <v/>
      </c>
      <c r="AB21" s="142">
        <f>X21-(P21+W21)/1.06</f>
        <v/>
      </c>
      <c r="AC21" s="144">
        <f>IFERROR(AB21/F21,0)</f>
        <v/>
      </c>
    </row>
    <row r="22" ht="14.25" customHeight="1" s="65">
      <c r="A22" s="146" t="inlineStr">
        <is>
          <t>5.11-5.17</t>
        </is>
      </c>
      <c r="B22" s="147" t="n">
        <v>932687928859</v>
      </c>
      <c r="C22" s="146" t="inlineStr">
        <is>
          <t>8包组合</t>
        </is>
      </c>
      <c r="D22" s="146" t="inlineStr">
        <is>
          <t>营多捞面八口味袋装泡面拌面速食面干拌面方便面宿舍宵夜速食家用</t>
        </is>
      </c>
      <c r="E22" s="148" t="n">
        <v>60.35</v>
      </c>
      <c r="F22" s="148">
        <f>IFERROR(E22/1.13,0)</f>
        <v/>
      </c>
      <c r="G22" s="149" t="n">
        <v>2</v>
      </c>
      <c r="H22" s="150">
        <f>IFERROR(G22/SUMIF($A:$A,A22,$G:$G),0)</f>
        <v/>
      </c>
      <c r="I22" s="148">
        <f>IFERROR(E22/G22,0)</f>
        <v/>
      </c>
      <c r="J22" s="148" t="n">
        <v>1.58975817286162</v>
      </c>
      <c r="K22" s="148" t="n">
        <v>1.92990147783253</v>
      </c>
      <c r="L22" s="151">
        <f>IFERROR(K22/J22,0)</f>
        <v/>
      </c>
      <c r="M22" s="148" t="n">
        <v>0.909449171518137</v>
      </c>
      <c r="N22" s="148" t="n">
        <v>2.4287012987013</v>
      </c>
      <c r="O22" s="151">
        <f>IFERROR(N22/M22,0)</f>
        <v/>
      </c>
      <c r="P22" s="148">
        <f>J22+M22</f>
        <v/>
      </c>
      <c r="Q22" s="148">
        <f>K22+N22</f>
        <v/>
      </c>
      <c r="R22" s="151">
        <f>IFERROR(Q22/P22,0)</f>
        <v/>
      </c>
      <c r="S22" s="150">
        <f>IFERROR(P22/SUMIF($A:$A,A22,$P:$P),0)</f>
        <v/>
      </c>
      <c r="T22" s="150">
        <f>IFERROR(P22/E22,0)</f>
        <v/>
      </c>
      <c r="U22" s="148">
        <f>E22-Q22</f>
        <v/>
      </c>
      <c r="V22" s="150">
        <f>IFERROR(U22/E22,0)</f>
        <v/>
      </c>
      <c r="W22" s="148">
        <f>IFERROR(VLOOKUP(A22,周报其他费用!$A:$B,2,FALSE)*H22,0)</f>
        <v/>
      </c>
      <c r="X22" s="148" t="n">
        <v>16.971</v>
      </c>
      <c r="Y22" s="150">
        <f>IFERROR(X22/F22,0)</f>
        <v/>
      </c>
      <c r="Z22" s="148">
        <f>X22-J22/1.06</f>
        <v/>
      </c>
      <c r="AA22" s="150">
        <f>IFERROR(Z22/F22,0)</f>
        <v/>
      </c>
      <c r="AB22" s="148">
        <f>X22-(P22+W22)/1.06</f>
        <v/>
      </c>
      <c r="AC22" s="150">
        <f>IFERROR(AB22/F22,0)</f>
        <v/>
      </c>
    </row>
    <row r="23" ht="14.25" customHeight="1" s="65">
      <c r="A23" s="140" t="inlineStr">
        <is>
          <t>5.11-5.17</t>
        </is>
      </c>
      <c r="B23" s="141" t="n">
        <v>886856687067</v>
      </c>
      <c r="C23" s="140" t="inlineStr">
        <is>
          <t>大骨</t>
        </is>
      </c>
      <c r="D23" s="140" t="inlineStr">
        <is>
          <t>营多捞面牛系列大骨牛肉味方便面食品泡面拉面汤面宿舍宵夜旅行</t>
        </is>
      </c>
      <c r="E23" s="142" t="n">
        <v>169.96</v>
      </c>
      <c r="F23" s="142">
        <f>IFERROR(E23/1.13,0)</f>
        <v/>
      </c>
      <c r="G23" s="143" t="n">
        <v>9</v>
      </c>
      <c r="H23" s="144">
        <f>IFERROR(G23/SUMIF($A:$A,A23,$G:$G),0)</f>
        <v/>
      </c>
      <c r="I23" s="142">
        <f>IFERROR(E23/G23,0)</f>
        <v/>
      </c>
      <c r="J23" s="142" t="n">
        <v>8.0239117778773</v>
      </c>
      <c r="K23" s="142" t="n">
        <v>22.5845566502464</v>
      </c>
      <c r="L23" s="145">
        <f>IFERROR(K23/J23,0)</f>
        <v/>
      </c>
      <c r="M23" s="142" t="n">
        <v>4.09252127183162</v>
      </c>
      <c r="N23" s="142" t="n">
        <v>10.9291558441558</v>
      </c>
      <c r="O23" s="145">
        <f>IFERROR(N23/M23,0)</f>
        <v/>
      </c>
      <c r="P23" s="142">
        <f>J23+M23</f>
        <v/>
      </c>
      <c r="Q23" s="142">
        <f>K23+N23</f>
        <v/>
      </c>
      <c r="R23" s="145">
        <f>IFERROR(Q23/P23,0)</f>
        <v/>
      </c>
      <c r="S23" s="144">
        <f>IFERROR(P23/SUMIF($A:$A,A23,$P:$P),0)</f>
        <v/>
      </c>
      <c r="T23" s="144">
        <f>IFERROR(P23/E23,0)</f>
        <v/>
      </c>
      <c r="U23" s="142">
        <f>E23-Q23</f>
        <v/>
      </c>
      <c r="V23" s="144">
        <f>IFERROR(U23/E23,0)</f>
        <v/>
      </c>
      <c r="W23" s="142">
        <f>IFERROR(VLOOKUP(A23,周报其他费用!$A:$B,2,FALSE)*H23,0)</f>
        <v/>
      </c>
      <c r="X23" s="142" t="n">
        <v>14.642</v>
      </c>
      <c r="Y23" s="144">
        <f>IFERROR(X23/F23,0)</f>
        <v/>
      </c>
      <c r="Z23" s="142">
        <f>X23-J23/1.06</f>
        <v/>
      </c>
      <c r="AA23" s="144">
        <f>IFERROR(Z23/F23,0)</f>
        <v/>
      </c>
      <c r="AB23" s="142">
        <f>X23-(P23+W23)/1.06</f>
        <v/>
      </c>
      <c r="AC23" s="144">
        <f>IFERROR(AB23/F23,0)</f>
        <v/>
      </c>
    </row>
    <row r="24" ht="14.25" customHeight="1" s="65">
      <c r="A24" s="146" t="inlineStr">
        <is>
          <t>5.11-5.17</t>
        </is>
      </c>
      <c r="B24" s="147" t="n">
        <v>949962665617</v>
      </c>
      <c r="C24" s="146" t="inlineStr">
        <is>
          <t>组合</t>
        </is>
      </c>
      <c r="D24" s="146" t="inlineStr">
        <is>
          <t>营多捞面多口味袋装泡面拌面速食面干拌面方便面宿舍宵夜速食旅行</t>
        </is>
      </c>
      <c r="E24" s="148" t="n">
        <v>142.91</v>
      </c>
      <c r="F24" s="148">
        <f>IFERROR(E24/1.13,0)</f>
        <v/>
      </c>
      <c r="G24" s="149" t="n">
        <v>6</v>
      </c>
      <c r="H24" s="150">
        <f>IFERROR(G24/SUMIF($A:$A,A24,$G:$G),0)</f>
        <v/>
      </c>
      <c r="I24" s="148">
        <f>IFERROR(E24/G24,0)</f>
        <v/>
      </c>
      <c r="J24" s="148" t="n">
        <v>61.5492745185849</v>
      </c>
      <c r="K24" s="148" t="n">
        <v>262.769704433498</v>
      </c>
      <c r="L24" s="151">
        <f>IFERROR(K24/J24,0)</f>
        <v/>
      </c>
      <c r="M24" s="148" t="n">
        <v>2.72834751455441</v>
      </c>
      <c r="N24" s="148" t="n">
        <v>7.2861038961039</v>
      </c>
      <c r="O24" s="151">
        <f>IFERROR(N24/M24,0)</f>
        <v/>
      </c>
      <c r="P24" s="148">
        <f>J24+M24</f>
        <v/>
      </c>
      <c r="Q24" s="148">
        <f>K24+N24</f>
        <v/>
      </c>
      <c r="R24" s="151">
        <f>IFERROR(Q24/P24,0)</f>
        <v/>
      </c>
      <c r="S24" s="150">
        <f>IFERROR(P24/SUMIF($A:$A,A24,$P:$P),0)</f>
        <v/>
      </c>
      <c r="T24" s="150">
        <f>IFERROR(P24/E24,0)</f>
        <v/>
      </c>
      <c r="U24" s="148">
        <f>E24-Q24</f>
        <v/>
      </c>
      <c r="V24" s="150">
        <f>IFERROR(U24/E24,0)</f>
        <v/>
      </c>
      <c r="W24" s="148">
        <f>IFERROR(VLOOKUP(A24,周报其他费用!$A:$B,2,FALSE)*H24,0)</f>
        <v/>
      </c>
      <c r="X24" s="148" t="n">
        <v>14.182</v>
      </c>
      <c r="Y24" s="150">
        <f>IFERROR(X24/F24,0)</f>
        <v/>
      </c>
      <c r="Z24" s="148">
        <f>X24-J24/1.06</f>
        <v/>
      </c>
      <c r="AA24" s="150">
        <f>IFERROR(Z24/F24,0)</f>
        <v/>
      </c>
      <c r="AB24" s="148">
        <f>X24-(P24+W24)/1.06</f>
        <v/>
      </c>
      <c r="AC24" s="150">
        <f>IFERROR(AB24/F24,0)</f>
        <v/>
      </c>
    </row>
    <row r="25" ht="14.25" customHeight="1" s="65">
      <c r="A25" s="140" t="inlineStr">
        <is>
          <t>5.11-5.17</t>
        </is>
      </c>
      <c r="B25" s="141" t="n">
        <v>971242260371</v>
      </c>
      <c r="C25" s="140" t="inlineStr">
        <is>
          <t>韩式袋面</t>
        </is>
      </c>
      <c r="D25" s="140" t="inlineStr">
        <is>
          <t>新品营多捞面韩式辣蘑菇汤面泡面方便面速食干拌面宿舍宵夜旅行</t>
        </is>
      </c>
      <c r="E25" s="142" t="n">
        <v>52.03</v>
      </c>
      <c r="F25" s="142">
        <f>IFERROR(E25/1.13,0)</f>
        <v/>
      </c>
      <c r="G25" s="143" t="n">
        <v>2</v>
      </c>
      <c r="H25" s="144">
        <f>IFERROR(G25/SUMIF($A:$A,A25,$G:$G),0)</f>
        <v/>
      </c>
      <c r="I25" s="142">
        <f>IFERROR(E25/G25,0)</f>
        <v/>
      </c>
      <c r="J25" s="142" t="n">
        <v>5.71975817286162</v>
      </c>
      <c r="K25" s="142" t="n">
        <v>37.8299014778325</v>
      </c>
      <c r="L25" s="145">
        <f>IFERROR(K25/J25,0)</f>
        <v/>
      </c>
      <c r="M25" s="142" t="n">
        <v>0.909449171518137</v>
      </c>
      <c r="N25" s="142" t="n">
        <v>2.4287012987013</v>
      </c>
      <c r="O25" s="145">
        <f>IFERROR(N25/M25,0)</f>
        <v/>
      </c>
      <c r="P25" s="142">
        <f>J25+M25</f>
        <v/>
      </c>
      <c r="Q25" s="142">
        <f>K25+N25</f>
        <v/>
      </c>
      <c r="R25" s="145">
        <f>IFERROR(Q25/P25,0)</f>
        <v/>
      </c>
      <c r="S25" s="144">
        <f>IFERROR(P25/SUMIF($A:$A,A25,$P:$P),0)</f>
        <v/>
      </c>
      <c r="T25" s="144">
        <f>IFERROR(P25/E25,0)</f>
        <v/>
      </c>
      <c r="U25" s="142">
        <f>E25-Q25</f>
        <v/>
      </c>
      <c r="V25" s="144">
        <f>IFERROR(U25/E25,0)</f>
        <v/>
      </c>
      <c r="W25" s="142">
        <f>IFERROR(VLOOKUP(A25,周报其他费用!$A:$B,2,FALSE)*H25,0)</f>
        <v/>
      </c>
      <c r="X25" s="142" t="n">
        <v>7.659</v>
      </c>
      <c r="Y25" s="144">
        <f>IFERROR(X25/F25,0)</f>
        <v/>
      </c>
      <c r="Z25" s="142">
        <f>X25-J25/1.06</f>
        <v/>
      </c>
      <c r="AA25" s="144">
        <f>IFERROR(Z25/F25,0)</f>
        <v/>
      </c>
      <c r="AB25" s="142">
        <f>X25-(P25+W25)/1.06</f>
        <v/>
      </c>
      <c r="AC25" s="144">
        <f>IFERROR(AB25/F25,0)</f>
        <v/>
      </c>
    </row>
    <row r="26" ht="14.25" customHeight="1" s="65">
      <c r="A26" s="146" t="inlineStr">
        <is>
          <t>5.11-5.17</t>
        </is>
      </c>
      <c r="B26" s="147" t="n">
        <v>947413291596</v>
      </c>
      <c r="C26" s="146" t="inlineStr">
        <is>
          <t>杯面</t>
        </is>
      </c>
      <c r="D26" s="146" t="inlineStr">
        <is>
          <t>营多捞面杯装方便面泡面速食干拌面原味整箱批发印尼进口桶装拌面</t>
        </is>
      </c>
      <c r="E26" s="148" t="n">
        <v>55.15</v>
      </c>
      <c r="F26" s="148">
        <f>IFERROR(E26/1.13,0)</f>
        <v/>
      </c>
      <c r="G26" s="149" t="n">
        <v>2</v>
      </c>
      <c r="H26" s="150">
        <f>IFERROR(G26/SUMIF($A:$A,A26,$G:$G),0)</f>
        <v/>
      </c>
      <c r="I26" s="148">
        <f>IFERROR(E26/G26,0)</f>
        <v/>
      </c>
      <c r="J26" s="148" t="n">
        <v>5.43975817286162</v>
      </c>
      <c r="K26" s="148" t="n">
        <v>1.92990147783253</v>
      </c>
      <c r="L26" s="151">
        <f>IFERROR(K26/J26,0)</f>
        <v/>
      </c>
      <c r="M26" s="148" t="n">
        <v>0.909449171518137</v>
      </c>
      <c r="N26" s="148" t="n">
        <v>2.4287012987013</v>
      </c>
      <c r="O26" s="151">
        <f>IFERROR(N26/M26,0)</f>
        <v/>
      </c>
      <c r="P26" s="148">
        <f>J26+M26</f>
        <v/>
      </c>
      <c r="Q26" s="148">
        <f>K26+N26</f>
        <v/>
      </c>
      <c r="R26" s="151">
        <f>IFERROR(Q26/P26,0)</f>
        <v/>
      </c>
      <c r="S26" s="150">
        <f>IFERROR(P26/SUMIF($A:$A,A26,$P:$P),0)</f>
        <v/>
      </c>
      <c r="T26" s="150">
        <f>IFERROR(P26/E26,0)</f>
        <v/>
      </c>
      <c r="U26" s="148">
        <f>E26-Q26</f>
        <v/>
      </c>
      <c r="V26" s="150">
        <f>IFERROR(U26/E26,0)</f>
        <v/>
      </c>
      <c r="W26" s="148">
        <f>IFERROR(VLOOKUP(A26,周报其他费用!$A:$B,2,FALSE)*H26,0)</f>
        <v/>
      </c>
      <c r="X26" s="148" t="n">
        <v>6.768</v>
      </c>
      <c r="Y26" s="150">
        <f>IFERROR(X26/F26,0)</f>
        <v/>
      </c>
      <c r="Z26" s="148">
        <f>X26-J26/1.06</f>
        <v/>
      </c>
      <c r="AA26" s="150">
        <f>IFERROR(Z26/F26,0)</f>
        <v/>
      </c>
      <c r="AB26" s="148">
        <f>X26-(P26+W26)/1.06</f>
        <v/>
      </c>
      <c r="AC26" s="150">
        <f>IFERROR(AB26/F26,0)</f>
        <v/>
      </c>
    </row>
    <row r="27" ht="14.25" customHeight="1" s="65">
      <c r="A27" s="140" t="inlineStr">
        <is>
          <t>5.11-5.17</t>
        </is>
      </c>
      <c r="B27" s="141" t="n">
        <v>898120785283</v>
      </c>
      <c r="C27" s="140" t="inlineStr">
        <is>
          <t>番茄</t>
        </is>
      </c>
      <c r="D27" s="140" t="inlineStr">
        <is>
          <t>进口意大利面风味奶香番茄牛肉味意式营多早餐儿童宝妈家庭餐拌面</t>
        </is>
      </c>
      <c r="E27" s="142" t="n">
        <v>25.9</v>
      </c>
      <c r="F27" s="142">
        <f>IFERROR(E27/1.13,0)</f>
        <v/>
      </c>
      <c r="G27" s="143" t="n">
        <v>1</v>
      </c>
      <c r="H27" s="144">
        <f>IFERROR(G27/SUMIF($A:$A,A27,$G:$G),0)</f>
        <v/>
      </c>
      <c r="I27" s="142">
        <f>IFERROR(E27/G27,0)</f>
        <v/>
      </c>
      <c r="J27" s="142" t="n">
        <v>2.77487908643081</v>
      </c>
      <c r="K27" s="142" t="n">
        <v>0.964950738916263</v>
      </c>
      <c r="L27" s="145">
        <f>IFERROR(K27/J27,0)</f>
        <v/>
      </c>
      <c r="M27" s="142" t="n">
        <v>0.454724585759068</v>
      </c>
      <c r="N27" s="142" t="n">
        <v>1.21435064935065</v>
      </c>
      <c r="O27" s="145">
        <f>IFERROR(N27/M27,0)</f>
        <v/>
      </c>
      <c r="P27" s="142">
        <f>J27+M27</f>
        <v/>
      </c>
      <c r="Q27" s="142">
        <f>K27+N27</f>
        <v/>
      </c>
      <c r="R27" s="145">
        <f>IFERROR(Q27/P27,0)</f>
        <v/>
      </c>
      <c r="S27" s="144">
        <f>IFERROR(P27/SUMIF($A:$A,A27,$P:$P),0)</f>
        <v/>
      </c>
      <c r="T27" s="144">
        <f>IFERROR(P27/E27,0)</f>
        <v/>
      </c>
      <c r="U27" s="142">
        <f>E27-Q27</f>
        <v/>
      </c>
      <c r="V27" s="144">
        <f>IFERROR(U27/E27,0)</f>
        <v/>
      </c>
      <c r="W27" s="142">
        <f>IFERROR(VLOOKUP(A27,周报其他费用!$A:$B,2,FALSE)*H27,0)</f>
        <v/>
      </c>
      <c r="X27" s="142" t="n">
        <v>4.059</v>
      </c>
      <c r="Y27" s="144">
        <f>IFERROR(X27/F27,0)</f>
        <v/>
      </c>
      <c r="Z27" s="142">
        <f>X27-J27/1.06</f>
        <v/>
      </c>
      <c r="AA27" s="144">
        <f>IFERROR(Z27/F27,0)</f>
        <v/>
      </c>
      <c r="AB27" s="142">
        <f>X27-(P27+W27)/1.06</f>
        <v/>
      </c>
      <c r="AC27" s="144">
        <f>IFERROR(AB27/F27,0)</f>
        <v/>
      </c>
    </row>
    <row r="28" ht="14.25" customHeight="1" s="65">
      <c r="A28" s="146" t="inlineStr">
        <is>
          <t>5.11-5.17</t>
        </is>
      </c>
      <c r="B28" s="147" t="n">
        <v>1040679932754</v>
      </c>
      <c r="C28" s="146" t="inlineStr">
        <is>
          <t>韩式杯面</t>
        </is>
      </c>
      <c r="D28" s="146" t="inlineStr">
        <is>
          <t>印尼进口营多捞面杯面原味甜辣蘑菇味整箱速食拌面拉面泡面方便面</t>
        </is>
      </c>
      <c r="E28" s="148" t="n">
        <v>39.33</v>
      </c>
      <c r="F28" s="148">
        <f>IFERROR(E28/1.13,0)</f>
        <v/>
      </c>
      <c r="G28" s="149" t="n">
        <v>2</v>
      </c>
      <c r="H28" s="150">
        <f>IFERROR(G28/SUMIF($A:$A,A28,$G:$G),0)</f>
        <v/>
      </c>
      <c r="I28" s="148">
        <f>IFERROR(E28/G28,0)</f>
        <v/>
      </c>
      <c r="J28" s="148" t="n">
        <v>10.2797581728616</v>
      </c>
      <c r="K28" s="148" t="n">
        <v>1.92990147783253</v>
      </c>
      <c r="L28" s="151">
        <f>IFERROR(K28/J28,0)</f>
        <v/>
      </c>
      <c r="M28" s="148" t="n">
        <v>0.909449171518137</v>
      </c>
      <c r="N28" s="148" t="n">
        <v>2.4287012987013</v>
      </c>
      <c r="O28" s="151">
        <f>IFERROR(N28/M28,0)</f>
        <v/>
      </c>
      <c r="P28" s="148">
        <f>J28+M28</f>
        <v/>
      </c>
      <c r="Q28" s="148">
        <f>K28+N28</f>
        <v/>
      </c>
      <c r="R28" s="151">
        <f>IFERROR(Q28/P28,0)</f>
        <v/>
      </c>
      <c r="S28" s="150">
        <f>IFERROR(P28/SUMIF($A:$A,A28,$P:$P),0)</f>
        <v/>
      </c>
      <c r="T28" s="150">
        <f>IFERROR(P28/E28,0)</f>
        <v/>
      </c>
      <c r="U28" s="148">
        <f>E28-Q28</f>
        <v/>
      </c>
      <c r="V28" s="150">
        <f>IFERROR(U28/E28,0)</f>
        <v/>
      </c>
      <c r="W28" s="148">
        <f>IFERROR(VLOOKUP(A28,周报其他费用!$A:$B,2,FALSE)*H28,0)</f>
        <v/>
      </c>
      <c r="X28" s="148" t="n">
        <v>3.684</v>
      </c>
      <c r="Y28" s="150">
        <f>IFERROR(X28/F28,0)</f>
        <v/>
      </c>
      <c r="Z28" s="148">
        <f>X28-J28/1.06</f>
        <v/>
      </c>
      <c r="AA28" s="150">
        <f>IFERROR(Z28/F28,0)</f>
        <v/>
      </c>
      <c r="AB28" s="148">
        <f>X28-(P28+W28)/1.06</f>
        <v/>
      </c>
      <c r="AC28" s="150">
        <f>IFERROR(AB28/F28,0)</f>
        <v/>
      </c>
    </row>
    <row r="29" ht="14.25" customHeight="1" s="65">
      <c r="A29" s="140" t="inlineStr">
        <is>
          <t>5.11-5.17</t>
        </is>
      </c>
      <c r="B29" s="141" t="n">
        <v>885645733215</v>
      </c>
      <c r="C29" s="140" t="inlineStr">
        <is>
          <t>大骨牛肉</t>
        </is>
      </c>
      <c r="D29" s="140" t="inlineStr">
        <is>
          <t>进口营多大骨番茄牛肉味营多捞面意式泡面宿舍宿舍宵夜速食方便面</t>
        </is>
      </c>
      <c r="E29" s="142" t="n">
        <v>19.2</v>
      </c>
      <c r="F29" s="142">
        <f>IFERROR(E29/1.13,0)</f>
        <v/>
      </c>
      <c r="G29" s="143" t="n">
        <v>1</v>
      </c>
      <c r="H29" s="144">
        <f>IFERROR(G29/SUMIF($A:$A,A29,$G:$G),0)</f>
        <v/>
      </c>
      <c r="I29" s="142">
        <f>IFERROR(E29/G29,0)</f>
        <v/>
      </c>
      <c r="J29" s="142" t="n">
        <v>5.06487908643081</v>
      </c>
      <c r="K29" s="142" t="n">
        <v>14.5449507389163</v>
      </c>
      <c r="L29" s="145">
        <f>IFERROR(K29/J29,0)</f>
        <v/>
      </c>
      <c r="M29" s="142" t="n">
        <v>0.454724585759068</v>
      </c>
      <c r="N29" s="142" t="n">
        <v>1.21435064935065</v>
      </c>
      <c r="O29" s="145">
        <f>IFERROR(N29/M29,0)</f>
        <v/>
      </c>
      <c r="P29" s="142">
        <f>J29+M29</f>
        <v/>
      </c>
      <c r="Q29" s="142">
        <f>K29+N29</f>
        <v/>
      </c>
      <c r="R29" s="145">
        <f>IFERROR(Q29/P29,0)</f>
        <v/>
      </c>
      <c r="S29" s="144">
        <f>IFERROR(P29/SUMIF($A:$A,A29,$P:$P),0)</f>
        <v/>
      </c>
      <c r="T29" s="144">
        <f>IFERROR(P29/E29,0)</f>
        <v/>
      </c>
      <c r="U29" s="142">
        <f>E29-Q29</f>
        <v/>
      </c>
      <c r="V29" s="144">
        <f>IFERROR(U29/E29,0)</f>
        <v/>
      </c>
      <c r="W29" s="142">
        <f>IFERROR(VLOOKUP(A29,周报其他费用!$A:$B,2,FALSE)*H29,0)</f>
        <v/>
      </c>
      <c r="X29" s="142" t="n">
        <v>3.373</v>
      </c>
      <c r="Y29" s="144">
        <f>IFERROR(X29/F29,0)</f>
        <v/>
      </c>
      <c r="Z29" s="142">
        <f>X29-J29/1.06</f>
        <v/>
      </c>
      <c r="AA29" s="144">
        <f>IFERROR(Z29/F29,0)</f>
        <v/>
      </c>
      <c r="AB29" s="142">
        <f>X29-(P29+W29)/1.06</f>
        <v/>
      </c>
      <c r="AC29" s="144">
        <f>IFERROR(AB29/F29,0)</f>
        <v/>
      </c>
    </row>
    <row r="30" ht="14.25" customHeight="1" s="65">
      <c r="A30" s="146" t="inlineStr">
        <is>
          <t>5.11-5.17</t>
        </is>
      </c>
      <c r="B30" s="147" t="n">
        <v>1019572719528</v>
      </c>
      <c r="C30" s="146" t="inlineStr">
        <is>
          <t>日韩袋面</t>
        </is>
      </c>
      <c r="D30" s="146" t="inlineStr">
        <is>
          <t>新品营多捞面韩式辣蘑菇汤面泡面方便面速食干拌面宿舍宵夜旅行</t>
        </is>
      </c>
      <c r="E30" s="148" t="n">
        <v>17.9</v>
      </c>
      <c r="F30" s="148">
        <f>IFERROR(E30/1.13,0)</f>
        <v/>
      </c>
      <c r="G30" s="149" t="n">
        <v>1</v>
      </c>
      <c r="H30" s="150">
        <f>IFERROR(G30/SUMIF($A:$A,A30,$G:$G),0)</f>
        <v/>
      </c>
      <c r="I30" s="148">
        <f>IFERROR(E30/G30,0)</f>
        <v/>
      </c>
      <c r="J30" s="148" t="n">
        <v>0.824879086430811</v>
      </c>
      <c r="K30" s="148" t="n">
        <v>0.964950738916263</v>
      </c>
      <c r="L30" s="151">
        <f>IFERROR(K30/J30,0)</f>
        <v/>
      </c>
      <c r="M30" s="148" t="n">
        <v>0.454724585759068</v>
      </c>
      <c r="N30" s="148" t="n">
        <v>1.21435064935065</v>
      </c>
      <c r="O30" s="151">
        <f>IFERROR(N30/M30,0)</f>
        <v/>
      </c>
      <c r="P30" s="148">
        <f>J30+M30</f>
        <v/>
      </c>
      <c r="Q30" s="148">
        <f>K30+N30</f>
        <v/>
      </c>
      <c r="R30" s="151">
        <f>IFERROR(Q30/P30,0)</f>
        <v/>
      </c>
      <c r="S30" s="150">
        <f>IFERROR(P30/SUMIF($A:$A,A30,$P:$P),0)</f>
        <v/>
      </c>
      <c r="T30" s="150">
        <f>IFERROR(P30/E30,0)</f>
        <v/>
      </c>
      <c r="U30" s="148">
        <f>E30-Q30</f>
        <v/>
      </c>
      <c r="V30" s="150">
        <f>IFERROR(U30/E30,0)</f>
        <v/>
      </c>
      <c r="W30" s="148">
        <f>IFERROR(VLOOKUP(A30,周报其他费用!$A:$B,2,FALSE)*H30,0)</f>
        <v/>
      </c>
      <c r="X30" s="148" t="n">
        <v>3.149</v>
      </c>
      <c r="Y30" s="150">
        <f>IFERROR(X30/F30,0)</f>
        <v/>
      </c>
      <c r="Z30" s="148">
        <f>X30-J30/1.06</f>
        <v/>
      </c>
      <c r="AA30" s="150">
        <f>IFERROR(Z30/F30,0)</f>
        <v/>
      </c>
      <c r="AB30" s="148">
        <f>X30-(P30+W30)/1.06</f>
        <v/>
      </c>
      <c r="AC30" s="150">
        <f>IFERROR(AB30/F30,0)</f>
        <v/>
      </c>
    </row>
    <row r="31" ht="14.25" customHeight="1" s="65">
      <c r="A31" s="140" t="inlineStr">
        <is>
          <t>5.11-5.17</t>
        </is>
      </c>
      <c r="B31" s="141" t="n">
        <v>773972883430</v>
      </c>
      <c r="C31" s="140" t="inlineStr">
        <is>
          <t>日式袋面</t>
        </is>
      </c>
      <c r="D31" s="140" t="inlineStr">
        <is>
          <t>营多捞面韩式火鸡面辣蘑菇汤面袋装泡面辣味速食方便面宿舍宵夜面</t>
        </is>
      </c>
      <c r="E31" s="142" t="n">
        <v>18.9</v>
      </c>
      <c r="F31" s="142">
        <f>IFERROR(E31/1.13,0)</f>
        <v/>
      </c>
      <c r="G31" s="143" t="n">
        <v>1</v>
      </c>
      <c r="H31" s="144">
        <f>IFERROR(G31/SUMIF($A:$A,A31,$G:$G),0)</f>
        <v/>
      </c>
      <c r="I31" s="142">
        <f>IFERROR(E31/G31,0)</f>
        <v/>
      </c>
      <c r="J31" s="142" t="n">
        <v>15.6048790864308</v>
      </c>
      <c r="K31" s="142" t="n">
        <v>0.964950738916263</v>
      </c>
      <c r="L31" s="145">
        <f>IFERROR(K31/J31,0)</f>
        <v/>
      </c>
      <c r="M31" s="142" t="n">
        <v>0.454724585759068</v>
      </c>
      <c r="N31" s="142" t="n">
        <v>1.21435064935065</v>
      </c>
      <c r="O31" s="145">
        <f>IFERROR(N31/M31,0)</f>
        <v/>
      </c>
      <c r="P31" s="142">
        <f>J31+M31</f>
        <v/>
      </c>
      <c r="Q31" s="142">
        <f>K31+N31</f>
        <v/>
      </c>
      <c r="R31" s="145">
        <f>IFERROR(Q31/P31,0)</f>
        <v/>
      </c>
      <c r="S31" s="144">
        <f>IFERROR(P31/SUMIF($A:$A,A31,$P:$P),0)</f>
        <v/>
      </c>
      <c r="T31" s="144">
        <f>IFERROR(P31/E31,0)</f>
        <v/>
      </c>
      <c r="U31" s="142">
        <f>E31-Q31</f>
        <v/>
      </c>
      <c r="V31" s="144">
        <f>IFERROR(U31/E31,0)</f>
        <v/>
      </c>
      <c r="W31" s="142">
        <f>IFERROR(VLOOKUP(A31,周报其他费用!$A:$B,2,FALSE)*H31,0)</f>
        <v/>
      </c>
      <c r="X31" s="142" t="n">
        <v>2.317</v>
      </c>
      <c r="Y31" s="144">
        <f>IFERROR(X31/F31,0)</f>
        <v/>
      </c>
      <c r="Z31" s="142">
        <f>X31-J31/1.06</f>
        <v/>
      </c>
      <c r="AA31" s="144">
        <f>IFERROR(Z31/F31,0)</f>
        <v/>
      </c>
      <c r="AB31" s="142">
        <f>X31-(P31+W31)/1.06</f>
        <v/>
      </c>
      <c r="AC31" s="144">
        <f>IFERROR(AB31/F31,0)</f>
        <v/>
      </c>
    </row>
    <row r="32" ht="14.25" customHeight="1" s="65">
      <c r="A32" s="146" t="inlineStr">
        <is>
          <t>5.11-5.17</t>
        </is>
      </c>
      <c r="B32" s="147" t="n">
        <v>898076297965</v>
      </c>
      <c r="C32" s="146" t="inlineStr">
        <is>
          <t>番茄牛肉</t>
        </is>
      </c>
      <c r="D32" s="146" t="inlineStr">
        <is>
          <t>进口正品意面风味奶香番茄牛肉味意式拌面营多捞面早餐儿童宝妈餐</t>
        </is>
      </c>
      <c r="E32" s="148" t="n">
        <v>190.49</v>
      </c>
      <c r="F32" s="148">
        <f>IFERROR(E32/1.13,0)</f>
        <v/>
      </c>
      <c r="G32" s="149" t="n">
        <v>13</v>
      </c>
      <c r="H32" s="150">
        <f>IFERROR(G32/SUMIF($A:$A,A32,$G:$G),0)</f>
        <v/>
      </c>
      <c r="I32" s="148">
        <f>IFERROR(E32/G32,0)</f>
        <v/>
      </c>
      <c r="J32" s="148" t="n">
        <v>52.5634281236005</v>
      </c>
      <c r="K32" s="148" t="n">
        <v>133.044359605911</v>
      </c>
      <c r="L32" s="151">
        <f>IFERROR(K32/J32,0)</f>
        <v/>
      </c>
      <c r="M32" s="148" t="n">
        <v>5.91141961486789</v>
      </c>
      <c r="N32" s="148" t="n">
        <v>15.7865584415584</v>
      </c>
      <c r="O32" s="151">
        <f>IFERROR(N32/M32,0)</f>
        <v/>
      </c>
      <c r="P32" s="148">
        <f>J32+M32</f>
        <v/>
      </c>
      <c r="Q32" s="148">
        <f>K32+N32</f>
        <v/>
      </c>
      <c r="R32" s="151">
        <f>IFERROR(Q32/P32,0)</f>
        <v/>
      </c>
      <c r="S32" s="150">
        <f>IFERROR(P32/SUMIF($A:$A,A32,$P:$P),0)</f>
        <v/>
      </c>
      <c r="T32" s="150">
        <f>IFERROR(P32/E32,0)</f>
        <v/>
      </c>
      <c r="U32" s="148">
        <f>E32-Q32</f>
        <v/>
      </c>
      <c r="V32" s="150">
        <f>IFERROR(U32/E32,0)</f>
        <v/>
      </c>
      <c r="W32" s="148">
        <f>IFERROR(VLOOKUP(A32,周报其他费用!$A:$B,2,FALSE)*H32,0)</f>
        <v/>
      </c>
      <c r="X32" s="148" t="n">
        <v>1.53</v>
      </c>
      <c r="Y32" s="150">
        <f>IFERROR(X32/F32,0)</f>
        <v/>
      </c>
      <c r="Z32" s="148">
        <f>X32-J32/1.06</f>
        <v/>
      </c>
      <c r="AA32" s="150">
        <f>IFERROR(Z32/F32,0)</f>
        <v/>
      </c>
      <c r="AB32" s="148">
        <f>X32-(P32+W32)/1.06</f>
        <v/>
      </c>
      <c r="AC32" s="150">
        <f>IFERROR(AB32/F32,0)</f>
        <v/>
      </c>
    </row>
    <row r="33" ht="14.25" customHeight="1" s="65">
      <c r="A33" s="140" t="inlineStr">
        <is>
          <t>5.11-5.17</t>
        </is>
      </c>
      <c r="B33" s="141" t="n">
        <v>754828376158</v>
      </c>
      <c r="C33" s="140" t="inlineStr">
        <is>
          <t>六口味混搭</t>
        </is>
      </c>
      <c r="D33" s="140" t="inlineStr">
        <is>
          <t>进口营多捞面汤面拌面六口味混合方便面速食食品泡面</t>
        </is>
      </c>
      <c r="E33" s="142" t="n">
        <v>16.51</v>
      </c>
      <c r="F33" s="142">
        <f>IFERROR(E33/1.13,0)</f>
        <v/>
      </c>
      <c r="G33" s="143" t="n">
        <v>1</v>
      </c>
      <c r="H33" s="144">
        <f>IFERROR(G33/SUMIF($A:$A,A33,$G:$G),0)</f>
        <v/>
      </c>
      <c r="I33" s="142">
        <f>IFERROR(E33/G33,0)</f>
        <v/>
      </c>
      <c r="J33" s="142" t="n">
        <v>1.96487908643081</v>
      </c>
      <c r="K33" s="142" t="n">
        <v>17.4749507389163</v>
      </c>
      <c r="L33" s="145">
        <f>IFERROR(K33/J33,0)</f>
        <v/>
      </c>
      <c r="M33" s="142" t="n">
        <v>0.454724585759068</v>
      </c>
      <c r="N33" s="142" t="n">
        <v>1.21435064935065</v>
      </c>
      <c r="O33" s="145">
        <f>IFERROR(N33/M33,0)</f>
        <v/>
      </c>
      <c r="P33" s="142">
        <f>J33+M33</f>
        <v/>
      </c>
      <c r="Q33" s="142">
        <f>K33+N33</f>
        <v/>
      </c>
      <c r="R33" s="145">
        <f>IFERROR(Q33/P33,0)</f>
        <v/>
      </c>
      <c r="S33" s="144">
        <f>IFERROR(P33/SUMIF($A:$A,A33,$P:$P),0)</f>
        <v/>
      </c>
      <c r="T33" s="144">
        <f>IFERROR(P33/E33,0)</f>
        <v/>
      </c>
      <c r="U33" s="142">
        <f>E33-Q33</f>
        <v/>
      </c>
      <c r="V33" s="144">
        <f>IFERROR(U33/E33,0)</f>
        <v/>
      </c>
      <c r="W33" s="142">
        <f>IFERROR(VLOOKUP(A33,周报其他费用!$A:$B,2,FALSE)*H33,0)</f>
        <v/>
      </c>
      <c r="X33" s="142" t="n">
        <v>1.17</v>
      </c>
      <c r="Y33" s="144">
        <f>IFERROR(X33/F33,0)</f>
        <v/>
      </c>
      <c r="Z33" s="142">
        <f>X33-J33/1.06</f>
        <v/>
      </c>
      <c r="AA33" s="144">
        <f>IFERROR(Z33/F33,0)</f>
        <v/>
      </c>
      <c r="AB33" s="142">
        <f>X33-(P33+W33)/1.06</f>
        <v/>
      </c>
      <c r="AC33" s="144">
        <f>IFERROR(AB33/F33,0)</f>
        <v/>
      </c>
    </row>
    <row r="34" ht="14.25" customHeight="1" s="65">
      <c r="A34" s="146" t="inlineStr">
        <is>
          <t>5.11-5.17</t>
        </is>
      </c>
      <c r="B34" s="147" t="n">
        <v>903183018417</v>
      </c>
      <c r="C34" s="146" t="inlineStr">
        <is>
          <t>七口味混搭</t>
        </is>
      </c>
      <c r="D34" s="146" t="inlineStr">
        <is>
          <t>进口营多捞面汤面拌面七口味混合方便面速拉面宿舍拌面泡面食食品</t>
        </is>
      </c>
      <c r="E34" s="148" t="n">
        <v>18.46</v>
      </c>
      <c r="F34" s="148">
        <f>IFERROR(E34/1.13,0)</f>
        <v/>
      </c>
      <c r="G34" s="149" t="n">
        <v>1</v>
      </c>
      <c r="H34" s="150">
        <f>IFERROR(G34/SUMIF($A:$A,A34,$G:$G),0)</f>
        <v/>
      </c>
      <c r="I34" s="148">
        <f>IFERROR(E34/G34,0)</f>
        <v/>
      </c>
      <c r="J34" s="148" t="n">
        <v>2.67487908643081</v>
      </c>
      <c r="K34" s="148" t="n">
        <v>0.964950738916263</v>
      </c>
      <c r="L34" s="151">
        <f>IFERROR(K34/J34,0)</f>
        <v/>
      </c>
      <c r="M34" s="148" t="n">
        <v>0.454724585759068</v>
      </c>
      <c r="N34" s="148" t="n">
        <v>1.21435064935065</v>
      </c>
      <c r="O34" s="151">
        <f>IFERROR(N34/M34,0)</f>
        <v/>
      </c>
      <c r="P34" s="148">
        <f>J34+M34</f>
        <v/>
      </c>
      <c r="Q34" s="148">
        <f>K34+N34</f>
        <v/>
      </c>
      <c r="R34" s="151">
        <f>IFERROR(Q34/P34,0)</f>
        <v/>
      </c>
      <c r="S34" s="150">
        <f>IFERROR(P34/SUMIF($A:$A,A34,$P:$P),0)</f>
        <v/>
      </c>
      <c r="T34" s="150">
        <f>IFERROR(P34/E34,0)</f>
        <v/>
      </c>
      <c r="U34" s="148">
        <f>E34-Q34</f>
        <v/>
      </c>
      <c r="V34" s="150">
        <f>IFERROR(U34/E34,0)</f>
        <v/>
      </c>
      <c r="W34" s="148">
        <f>IFERROR(VLOOKUP(A34,周报其他费用!$A:$B,2,FALSE)*H34,0)</f>
        <v/>
      </c>
      <c r="X34" s="148" t="n">
        <v>0.977</v>
      </c>
      <c r="Y34" s="150">
        <f>IFERROR(X34/F34,0)</f>
        <v/>
      </c>
      <c r="Z34" s="148">
        <f>X34-J34/1.06</f>
        <v/>
      </c>
      <c r="AA34" s="150">
        <f>IFERROR(Z34/F34,0)</f>
        <v/>
      </c>
      <c r="AB34" s="148">
        <f>X34-(P34+W34)/1.06</f>
        <v/>
      </c>
      <c r="AC34" s="150">
        <f>IFERROR(AB34/F34,0)</f>
        <v/>
      </c>
    </row>
    <row r="35" ht="14.25" customHeight="1" s="65">
      <c r="A35" s="140" t="inlineStr">
        <is>
          <t>5.11-5.17</t>
        </is>
      </c>
      <c r="B35" s="141" t="n">
        <v>869217868453</v>
      </c>
      <c r="C35" s="140" t="inlineStr">
        <is>
          <t>韩式杯面</t>
        </is>
      </c>
      <c r="D35" s="140" t="inlineStr">
        <is>
          <t>营多捞面韩式甜辣炸鸡辣蘑菇杯面方便面拌面泡面宿舍速食面</t>
        </is>
      </c>
      <c r="E35" s="142" t="n">
        <v>15.53</v>
      </c>
      <c r="F35" s="142">
        <f>IFERROR(E35/1.13,0)</f>
        <v/>
      </c>
      <c r="G35" s="143" t="n">
        <v>1</v>
      </c>
      <c r="H35" s="144">
        <f>IFERROR(G35/SUMIF($A:$A,A35,$G:$G),0)</f>
        <v/>
      </c>
      <c r="I35" s="142">
        <f>IFERROR(E35/G35,0)</f>
        <v/>
      </c>
      <c r="J35" s="142" t="n">
        <v>8.024879086430809</v>
      </c>
      <c r="K35" s="142" t="n">
        <v>0.964950738916263</v>
      </c>
      <c r="L35" s="145">
        <f>IFERROR(K35/J35,0)</f>
        <v/>
      </c>
      <c r="M35" s="142" t="n">
        <v>0.454724585759068</v>
      </c>
      <c r="N35" s="142" t="n">
        <v>1.21435064935065</v>
      </c>
      <c r="O35" s="145">
        <f>IFERROR(N35/M35,0)</f>
        <v/>
      </c>
      <c r="P35" s="142">
        <f>J35+M35</f>
        <v/>
      </c>
      <c r="Q35" s="142">
        <f>K35+N35</f>
        <v/>
      </c>
      <c r="R35" s="145">
        <f>IFERROR(Q35/P35,0)</f>
        <v/>
      </c>
      <c r="S35" s="144">
        <f>IFERROR(P35/SUMIF($A:$A,A35,$P:$P),0)</f>
        <v/>
      </c>
      <c r="T35" s="144">
        <f>IFERROR(P35/E35,0)</f>
        <v/>
      </c>
      <c r="U35" s="142">
        <f>E35-Q35</f>
        <v/>
      </c>
      <c r="V35" s="144">
        <f>IFERROR(U35/E35,0)</f>
        <v/>
      </c>
      <c r="W35" s="142">
        <f>IFERROR(VLOOKUP(A35,周报其他费用!$A:$B,2,FALSE)*H35,0)</f>
        <v/>
      </c>
      <c r="X35" s="142" t="n">
        <v>0.788</v>
      </c>
      <c r="Y35" s="144">
        <f>IFERROR(X35/F35,0)</f>
        <v/>
      </c>
      <c r="Z35" s="142">
        <f>X35-J35/1.06</f>
        <v/>
      </c>
      <c r="AA35" s="144">
        <f>IFERROR(Z35/F35,0)</f>
        <v/>
      </c>
      <c r="AB35" s="142">
        <f>X35-(P35+W35)/1.06</f>
        <v/>
      </c>
      <c r="AC35" s="144">
        <f>IFERROR(AB35/F35,0)</f>
        <v/>
      </c>
    </row>
    <row r="36" ht="14.25" customHeight="1" s="65">
      <c r="A36" s="146" t="inlineStr">
        <is>
          <t>5.11-5.17</t>
        </is>
      </c>
      <c r="B36" s="147" t="n">
        <v>1019397839311</v>
      </c>
      <c r="C36" s="146" t="inlineStr">
        <is>
          <t>多口味混搭</t>
        </is>
      </c>
      <c r="D36" s="146" t="inlineStr">
        <is>
          <t>营多捞面原味番茄牛肉袋装泡面汤面干拌面方便面宿舍速食旅行宵夜</t>
        </is>
      </c>
      <c r="E36" s="148" t="n">
        <v>13.41</v>
      </c>
      <c r="F36" s="148">
        <f>IFERROR(E36/1.13,0)</f>
        <v/>
      </c>
      <c r="G36" s="149" t="n">
        <v>1</v>
      </c>
      <c r="H36" s="150">
        <f>IFERROR(G36/SUMIF($A:$A,A36,$G:$G),0)</f>
        <v/>
      </c>
      <c r="I36" s="148">
        <f>IFERROR(E36/G36,0)</f>
        <v/>
      </c>
      <c r="J36" s="148" t="n">
        <v>0.914879086430811</v>
      </c>
      <c r="K36" s="148" t="n">
        <v>0.964950738916263</v>
      </c>
      <c r="L36" s="151">
        <f>IFERROR(K36/J36,0)</f>
        <v/>
      </c>
      <c r="M36" s="148" t="n">
        <v>0.454724585759068</v>
      </c>
      <c r="N36" s="148" t="n">
        <v>1.21435064935065</v>
      </c>
      <c r="O36" s="151">
        <f>IFERROR(N36/M36,0)</f>
        <v/>
      </c>
      <c r="P36" s="148">
        <f>J36+M36</f>
        <v/>
      </c>
      <c r="Q36" s="148">
        <f>K36+N36</f>
        <v/>
      </c>
      <c r="R36" s="151">
        <f>IFERROR(Q36/P36,0)</f>
        <v/>
      </c>
      <c r="S36" s="150">
        <f>IFERROR(P36/SUMIF($A:$A,A36,$P:$P),0)</f>
        <v/>
      </c>
      <c r="T36" s="150">
        <f>IFERROR(P36/E36,0)</f>
        <v/>
      </c>
      <c r="U36" s="148">
        <f>E36-Q36</f>
        <v/>
      </c>
      <c r="V36" s="150">
        <f>IFERROR(U36/E36,0)</f>
        <v/>
      </c>
      <c r="W36" s="148">
        <f>IFERROR(VLOOKUP(A36,周报其他费用!$A:$B,2,FALSE)*H36,0)</f>
        <v/>
      </c>
      <c r="X36" s="148" t="n">
        <v>0.111</v>
      </c>
      <c r="Y36" s="150">
        <f>IFERROR(X36/F36,0)</f>
        <v/>
      </c>
      <c r="Z36" s="148">
        <f>X36-J36/1.06</f>
        <v/>
      </c>
      <c r="AA36" s="150">
        <f>IFERROR(Z36/F36,0)</f>
        <v/>
      </c>
      <c r="AB36" s="148">
        <f>X36-(P36+W36)/1.06</f>
        <v/>
      </c>
      <c r="AC36" s="150">
        <f>IFERROR(AB36/F36,0)</f>
        <v/>
      </c>
    </row>
    <row r="37" ht="14.25" customHeight="1" s="65">
      <c r="A37" s="140" t="inlineStr">
        <is>
          <t>5.11-5.17</t>
        </is>
      </c>
      <c r="B37" s="141" t="n">
        <v>916072786304</v>
      </c>
      <c r="C37" s="140" t="inlineStr">
        <is>
          <t>小规格</t>
        </is>
      </c>
      <c r="D37" s="140" t="inlineStr">
        <is>
          <t>营多印尼进口营多捞面方便面火鸡面干拌面10包宿舍速食泡面夜宵</t>
        </is>
      </c>
      <c r="E37" s="142" t="n">
        <v>39.23</v>
      </c>
      <c r="F37" s="142">
        <f>IFERROR(E37/1.13,0)</f>
        <v/>
      </c>
      <c r="G37" s="143" t="n">
        <v>3</v>
      </c>
      <c r="H37" s="144">
        <f>IFERROR(G37/SUMIF($A:$A,A37,$G:$G),0)</f>
        <v/>
      </c>
      <c r="I37" s="142">
        <f>IFERROR(E37/G37,0)</f>
        <v/>
      </c>
      <c r="J37" s="142" t="n">
        <v>5.27463725929243</v>
      </c>
      <c r="K37" s="142" t="n">
        <v>2.89485221674879</v>
      </c>
      <c r="L37" s="145">
        <f>IFERROR(K37/J37,0)</f>
        <v/>
      </c>
      <c r="M37" s="142" t="n">
        <v>1.36417375727721</v>
      </c>
      <c r="N37" s="142" t="n">
        <v>3.64305194805195</v>
      </c>
      <c r="O37" s="145">
        <f>IFERROR(N37/M37,0)</f>
        <v/>
      </c>
      <c r="P37" s="142">
        <f>J37+M37</f>
        <v/>
      </c>
      <c r="Q37" s="142">
        <f>K37+N37</f>
        <v/>
      </c>
      <c r="R37" s="145">
        <f>IFERROR(Q37/P37,0)</f>
        <v/>
      </c>
      <c r="S37" s="144">
        <f>IFERROR(P37/SUMIF($A:$A,A37,$P:$P),0)</f>
        <v/>
      </c>
      <c r="T37" s="144">
        <f>IFERROR(P37/E37,0)</f>
        <v/>
      </c>
      <c r="U37" s="142">
        <f>E37-Q37</f>
        <v/>
      </c>
      <c r="V37" s="144">
        <f>IFERROR(U37/E37,0)</f>
        <v/>
      </c>
      <c r="W37" s="142">
        <f>IFERROR(VLOOKUP(A37,周报其他费用!$A:$B,2,FALSE)*H37,0)</f>
        <v/>
      </c>
      <c r="X37" s="142" t="n">
        <v>-0.484</v>
      </c>
      <c r="Y37" s="144">
        <f>IFERROR(X37/F37,0)</f>
        <v/>
      </c>
      <c r="Z37" s="142">
        <f>X37-J37/1.06</f>
        <v/>
      </c>
      <c r="AA37" s="144">
        <f>IFERROR(Z37/F37,0)</f>
        <v/>
      </c>
      <c r="AB37" s="142">
        <f>X37-(P37+W37)/1.06</f>
        <v/>
      </c>
      <c r="AC37" s="144">
        <f>IFERROR(AB37/F37,0)</f>
        <v/>
      </c>
    </row>
    <row r="38" ht="14.25" customHeight="1" s="65">
      <c r="A38" s="146" t="inlineStr">
        <is>
          <t>5.11-5.17</t>
        </is>
      </c>
      <c r="B38" s="147" t="n">
        <v>976467954327</v>
      </c>
      <c r="C38" s="146" t="inlineStr">
        <is>
          <t>日韩杯面</t>
        </is>
      </c>
      <c r="D38" s="146" t="inlineStr">
        <is>
          <t>【天猫U选】indomie营多捞面辣蘑菇味日式辣味杯面</t>
        </is>
      </c>
      <c r="E38" s="148" t="n">
        <v>15.17</v>
      </c>
      <c r="F38" s="148">
        <f>IFERROR(E38/1.13,0)</f>
        <v/>
      </c>
      <c r="G38" s="149" t="n">
        <v>2</v>
      </c>
      <c r="H38" s="150">
        <f>IFERROR(G38/SUMIF($A:$A,A38,$G:$G),0)</f>
        <v/>
      </c>
      <c r="I38" s="148">
        <f>IFERROR(E38/G38,0)</f>
        <v/>
      </c>
      <c r="J38" s="148" t="n">
        <v>0.469758172861622</v>
      </c>
      <c r="K38" s="148" t="n">
        <v>1.92990147783253</v>
      </c>
      <c r="L38" s="151">
        <f>IFERROR(K38/J38,0)</f>
        <v/>
      </c>
      <c r="M38" s="148" t="n">
        <v>0.909449171518137</v>
      </c>
      <c r="N38" s="148" t="n">
        <v>2.4287012987013</v>
      </c>
      <c r="O38" s="151">
        <f>IFERROR(N38/M38,0)</f>
        <v/>
      </c>
      <c r="P38" s="148">
        <f>J38+M38</f>
        <v/>
      </c>
      <c r="Q38" s="148">
        <f>K38+N38</f>
        <v/>
      </c>
      <c r="R38" s="151">
        <f>IFERROR(Q38/P38,0)</f>
        <v/>
      </c>
      <c r="S38" s="150">
        <f>IFERROR(P38/SUMIF($A:$A,A38,$P:$P),0)</f>
        <v/>
      </c>
      <c r="T38" s="150">
        <f>IFERROR(P38/E38,0)</f>
        <v/>
      </c>
      <c r="U38" s="148">
        <f>E38-Q38</f>
        <v/>
      </c>
      <c r="V38" s="150">
        <f>IFERROR(U38/E38,0)</f>
        <v/>
      </c>
      <c r="W38" s="148">
        <f>IFERROR(VLOOKUP(A38,周报其他费用!$A:$B,2,FALSE)*H38,0)</f>
        <v/>
      </c>
      <c r="X38" s="148" t="n">
        <v>-6.508</v>
      </c>
      <c r="Y38" s="150">
        <f>IFERROR(X38/F38,0)</f>
        <v/>
      </c>
      <c r="Z38" s="148">
        <f>X38-J38/1.06</f>
        <v/>
      </c>
      <c r="AA38" s="150">
        <f>IFERROR(Z38/F38,0)</f>
        <v/>
      </c>
      <c r="AB38" s="148">
        <f>X38-(P38+W38)/1.06</f>
        <v/>
      </c>
      <c r="AC38" s="150">
        <f>IFERROR(AB38/F38,0)</f>
        <v/>
      </c>
    </row>
    <row r="39" ht="14.25" customHeight="1" s="65">
      <c r="A39" s="140" t="inlineStr">
        <is>
          <t>5.11-5.17</t>
        </is>
      </c>
      <c r="B39" s="141" t="n">
        <v>976466902934</v>
      </c>
      <c r="C39" s="140" t="inlineStr">
        <is>
          <t>【U选】日式原杯1+日式辣杯1</t>
        </is>
      </c>
      <c r="D39" s="140" t="inlineStr">
        <is>
          <t>【天猫U选】indomie营多捞面辣火鸡味日式鸡肉原味杯面</t>
        </is>
      </c>
      <c r="E39" s="142" t="n">
        <v>72.81999999999999</v>
      </c>
      <c r="F39" s="142">
        <f>IFERROR(E39/1.13,0)</f>
        <v/>
      </c>
      <c r="G39" s="143" t="n">
        <v>9</v>
      </c>
      <c r="H39" s="144">
        <f>IFERROR(G39/SUMIF($A:$A,A39,$G:$G),0)</f>
        <v/>
      </c>
      <c r="I39" s="142">
        <f>IFERROR(E39/G39,0)</f>
        <v/>
      </c>
      <c r="J39" s="142" t="n">
        <v>2.1139117778773</v>
      </c>
      <c r="K39" s="142" t="n">
        <v>8.684556650246369</v>
      </c>
      <c r="L39" s="145">
        <f>IFERROR(K39/J39,0)</f>
        <v/>
      </c>
      <c r="M39" s="142" t="n">
        <v>4.09252127183162</v>
      </c>
      <c r="N39" s="142" t="n">
        <v>10.9291558441558</v>
      </c>
      <c r="O39" s="145">
        <f>IFERROR(N39/M39,0)</f>
        <v/>
      </c>
      <c r="P39" s="142">
        <f>J39+M39</f>
        <v/>
      </c>
      <c r="Q39" s="142">
        <f>K39+N39</f>
        <v/>
      </c>
      <c r="R39" s="145">
        <f>IFERROR(Q39/P39,0)</f>
        <v/>
      </c>
      <c r="S39" s="144">
        <f>IFERROR(P39/SUMIF($A:$A,A39,$P:$P),0)</f>
        <v/>
      </c>
      <c r="T39" s="144">
        <f>IFERROR(P39/E39,0)</f>
        <v/>
      </c>
      <c r="U39" s="142">
        <f>E39-Q39</f>
        <v/>
      </c>
      <c r="V39" s="144">
        <f>IFERROR(U39/E39,0)</f>
        <v/>
      </c>
      <c r="W39" s="142">
        <f>IFERROR(VLOOKUP(A39,周报其他费用!$A:$B,2,FALSE)*H39,0)</f>
        <v/>
      </c>
      <c r="X39" s="142" t="n">
        <v>-25.561</v>
      </c>
      <c r="Y39" s="144">
        <f>IFERROR(X39/F39,0)</f>
        <v/>
      </c>
      <c r="Z39" s="142">
        <f>X39-J39/1.06</f>
        <v/>
      </c>
      <c r="AA39" s="144">
        <f>IFERROR(Z39/F39,0)</f>
        <v/>
      </c>
      <c r="AB39" s="142">
        <f>X39-(P39+W39)/1.06</f>
        <v/>
      </c>
      <c r="AC39" s="144">
        <f>IFERROR(AB39/F39,0)</f>
        <v/>
      </c>
    </row>
    <row r="40" ht="14.25" customHeight="1" s="65">
      <c r="A40" s="146" t="inlineStr">
        <is>
          <t>5.11-5.17</t>
        </is>
      </c>
      <c r="B40" s="147" t="n">
        <v>976479938842</v>
      </c>
      <c r="C40" s="146" t="inlineStr">
        <is>
          <t>【U选】原味5</t>
        </is>
      </c>
      <c r="D40" s="146" t="inlineStr">
        <is>
          <t>【天猫U选】indomie营多大骨牛肉味捞面拌面5包</t>
        </is>
      </c>
      <c r="E40" s="148" t="n">
        <v>144.54</v>
      </c>
      <c r="F40" s="148">
        <f>IFERROR(E40/1.13,0)</f>
        <v/>
      </c>
      <c r="G40" s="149" t="n">
        <v>18</v>
      </c>
      <c r="H40" s="150">
        <f>IFERROR(G40/SUMIF($A:$A,A40,$G:$G),0)</f>
        <v/>
      </c>
      <c r="I40" s="148">
        <f>IFERROR(E40/G40,0)</f>
        <v/>
      </c>
      <c r="J40" s="148" t="n">
        <v>4.2278235557546</v>
      </c>
      <c r="K40" s="148" t="n">
        <v>17.3691133004927</v>
      </c>
      <c r="L40" s="151">
        <f>IFERROR(K40/J40,0)</f>
        <v/>
      </c>
      <c r="M40" s="148" t="n">
        <v>8.185042543663229</v>
      </c>
      <c r="N40" s="148" t="n">
        <v>21.8583116883117</v>
      </c>
      <c r="O40" s="151">
        <f>IFERROR(N40/M40,0)</f>
        <v/>
      </c>
      <c r="P40" s="148">
        <f>J40+M40</f>
        <v/>
      </c>
      <c r="Q40" s="148">
        <f>K40+N40</f>
        <v/>
      </c>
      <c r="R40" s="151">
        <f>IFERROR(Q40/P40,0)</f>
        <v/>
      </c>
      <c r="S40" s="150">
        <f>IFERROR(P40/SUMIF($A:$A,A40,$P:$P),0)</f>
        <v/>
      </c>
      <c r="T40" s="150">
        <f>IFERROR(P40/E40,0)</f>
        <v/>
      </c>
      <c r="U40" s="148">
        <f>E40-Q40</f>
        <v/>
      </c>
      <c r="V40" s="150">
        <f>IFERROR(U40/E40,0)</f>
        <v/>
      </c>
      <c r="W40" s="148">
        <f>IFERROR(VLOOKUP(A40,周报其他费用!$A:$B,2,FALSE)*H40,0)</f>
        <v/>
      </c>
      <c r="X40" s="148" t="n">
        <v>-77.292</v>
      </c>
      <c r="Y40" s="150">
        <f>IFERROR(X40/F40,0)</f>
        <v/>
      </c>
      <c r="Z40" s="148">
        <f>X40-J40/1.06</f>
        <v/>
      </c>
      <c r="AA40" s="150">
        <f>IFERROR(Z40/F40,0)</f>
        <v/>
      </c>
      <c r="AB40" s="148">
        <f>X40-(P40+W40)/1.06</f>
        <v/>
      </c>
      <c r="AC40" s="150">
        <f>IFERROR(AB40/F40,0)</f>
        <v/>
      </c>
    </row>
    <row r="41" ht="14.25" customHeight="1" s="65">
      <c r="A41" s="140" t="inlineStr">
        <is>
          <t>5.25-5.31</t>
        </is>
      </c>
      <c r="B41" s="141" t="n">
        <v>668566625747</v>
      </c>
      <c r="C41" s="140" t="inlineStr">
        <is>
          <t>袋面主链接</t>
        </is>
      </c>
      <c r="D41" s="140" t="inlineStr">
        <is>
          <t>印尼营多捞面进口网红泡面袋装方便面速食食品拉面火鸡面拌面整箱</t>
        </is>
      </c>
      <c r="E41" s="142" t="n">
        <v>44844.950000001</v>
      </c>
      <c r="F41" s="142">
        <f>IFERROR(E41/1.13,0)</f>
        <v/>
      </c>
      <c r="G41" s="143" t="n">
        <v>1819</v>
      </c>
      <c r="H41" s="144">
        <f>IFERROR(G41/SUMIF($A:$A,A41,$G:$G),0)</f>
        <v/>
      </c>
      <c r="I41" s="142">
        <f>IFERROR(E41/G41,0)</f>
        <v/>
      </c>
      <c r="J41" s="142" t="n">
        <v>7100.33867212761</v>
      </c>
      <c r="K41" s="142" t="n">
        <v>33168.3263677517</v>
      </c>
      <c r="L41" s="145">
        <f>IFERROR(K41/J41,0)</f>
        <v/>
      </c>
      <c r="M41" s="142" t="n">
        <v>809.966704031041</v>
      </c>
      <c r="N41" s="142" t="n">
        <v>1605.70372278508</v>
      </c>
      <c r="O41" s="145">
        <f>IFERROR(N41/M41,0)</f>
        <v/>
      </c>
      <c r="P41" s="142">
        <f>J41+M41</f>
        <v/>
      </c>
      <c r="Q41" s="142">
        <f>K41+N41</f>
        <v/>
      </c>
      <c r="R41" s="145">
        <f>IFERROR(Q41/P41,0)</f>
        <v/>
      </c>
      <c r="S41" s="144">
        <f>IFERROR(P41/SUMIF($A:$A,A41,$P:$P),0)</f>
        <v/>
      </c>
      <c r="T41" s="144">
        <f>IFERROR(P41/E41,0)</f>
        <v/>
      </c>
      <c r="U41" s="142">
        <f>E41-Q41</f>
        <v/>
      </c>
      <c r="V41" s="144">
        <f>IFERROR(U41/E41,0)</f>
        <v/>
      </c>
      <c r="W41" s="142">
        <f>IFERROR(VLOOKUP(A41,周报其他费用!$A:$B,2,FALSE)*H41,0)</f>
        <v/>
      </c>
      <c r="X41" s="142" t="n">
        <v>5985.80900000003</v>
      </c>
      <c r="Y41" s="144">
        <f>IFERROR(X41/F41,0)</f>
        <v/>
      </c>
      <c r="Z41" s="142">
        <f>X41-J41/1.06</f>
        <v/>
      </c>
      <c r="AA41" s="144">
        <f>IFERROR(Z41/F41,0)</f>
        <v/>
      </c>
      <c r="AB41" s="142">
        <f>X41-(P41+W41)/1.06</f>
        <v/>
      </c>
      <c r="AC41" s="144">
        <f>IFERROR(AB41/F41,0)</f>
        <v/>
      </c>
    </row>
    <row r="42" ht="14.25" customHeight="1" s="65">
      <c r="A42" s="146" t="inlineStr">
        <is>
          <t>5.25-5.31</t>
        </is>
      </c>
      <c r="B42" s="147" t="n">
        <v>649361890551</v>
      </c>
      <c r="C42" s="146" t="inlineStr">
        <is>
          <t>袋面次链接</t>
        </is>
      </c>
      <c r="D42" s="146" t="inlineStr">
        <is>
          <t>营多捞面印尼进口Indomie网红夜宵早餐方便面火鸡面泡面拌面</t>
        </is>
      </c>
      <c r="E42" s="148" t="n">
        <v>21166.4700000002</v>
      </c>
      <c r="F42" s="148">
        <f>IFERROR(E42/1.13,0)</f>
        <v/>
      </c>
      <c r="G42" s="149" t="n">
        <v>1147</v>
      </c>
      <c r="H42" s="150">
        <f>IFERROR(G42/SUMIF($A:$A,A42,$G:$G),0)</f>
        <v/>
      </c>
      <c r="I42" s="148">
        <f>IFERROR(E42/G42,0)</f>
        <v/>
      </c>
      <c r="J42" s="148" t="n">
        <v>3796.54150463462</v>
      </c>
      <c r="K42" s="148" t="n">
        <v>15321.648693684</v>
      </c>
      <c r="L42" s="151">
        <f>IFERROR(K42/J42,0)</f>
        <v/>
      </c>
      <c r="M42" s="148" t="n">
        <v>510.737663289502</v>
      </c>
      <c r="N42" s="148" t="n">
        <v>1012.50256736366</v>
      </c>
      <c r="O42" s="151">
        <f>IFERROR(N42/M42,0)</f>
        <v/>
      </c>
      <c r="P42" s="148">
        <f>J42+M42</f>
        <v/>
      </c>
      <c r="Q42" s="148">
        <f>K42+N42</f>
        <v/>
      </c>
      <c r="R42" s="151">
        <f>IFERROR(Q42/P42,0)</f>
        <v/>
      </c>
      <c r="S42" s="150">
        <f>IFERROR(P42/SUMIF($A:$A,A42,$P:$P),0)</f>
        <v/>
      </c>
      <c r="T42" s="150">
        <f>IFERROR(P42/E42,0)</f>
        <v/>
      </c>
      <c r="U42" s="148">
        <f>E42-Q42</f>
        <v/>
      </c>
      <c r="V42" s="150">
        <f>IFERROR(U42/E42,0)</f>
        <v/>
      </c>
      <c r="W42" s="148">
        <f>IFERROR(VLOOKUP(A42,周报其他费用!$A:$B,2,FALSE)*H42,0)</f>
        <v/>
      </c>
      <c r="X42" s="148" t="n">
        <v>1882.99899999999</v>
      </c>
      <c r="Y42" s="150">
        <f>IFERROR(X42/F42,0)</f>
        <v/>
      </c>
      <c r="Z42" s="148">
        <f>X42-J42/1.06</f>
        <v/>
      </c>
      <c r="AA42" s="150">
        <f>IFERROR(Z42/F42,0)</f>
        <v/>
      </c>
      <c r="AB42" s="148">
        <f>X42-(P42+W42)/1.06</f>
        <v/>
      </c>
      <c r="AC42" s="150">
        <f>IFERROR(AB42/F42,0)</f>
        <v/>
      </c>
    </row>
    <row r="43" ht="14.25" customHeight="1" s="65">
      <c r="A43" s="140" t="inlineStr">
        <is>
          <t>5.25-5.31</t>
        </is>
      </c>
      <c r="B43" s="141" t="n">
        <v>649735171438</v>
      </c>
      <c r="C43" s="140" t="inlineStr">
        <is>
          <t>杯面主链接</t>
        </is>
      </c>
      <c r="D43" s="140" t="inlineStr">
        <is>
          <t>印尼进口indomie营多捞面杯面速食泡面干拌面盒桶装方便面火鸡面</t>
        </is>
      </c>
      <c r="E43" s="142" t="n">
        <v>20488.73</v>
      </c>
      <c r="F43" s="142">
        <f>IFERROR(E43/1.13,0)</f>
        <v/>
      </c>
      <c r="G43" s="143" t="n">
        <v>824</v>
      </c>
      <c r="H43" s="144">
        <f>IFERROR(G43/SUMIF($A:$A,A43,$G:$G),0)</f>
        <v/>
      </c>
      <c r="I43" s="142">
        <f>IFERROR(E43/G43,0)</f>
        <v/>
      </c>
      <c r="J43" s="142" t="n">
        <v>3066.62295537831</v>
      </c>
      <c r="K43" s="142" t="n">
        <v>12052.7656003449</v>
      </c>
      <c r="L43" s="145">
        <f>IFERROR(K43/J43,0)</f>
        <v/>
      </c>
      <c r="M43" s="142" t="n">
        <v>366.911799956887</v>
      </c>
      <c r="N43" s="142" t="n">
        <v>727.37760724294</v>
      </c>
      <c r="O43" s="145">
        <f>IFERROR(N43/M43,0)</f>
        <v/>
      </c>
      <c r="P43" s="142">
        <f>J43+M43</f>
        <v/>
      </c>
      <c r="Q43" s="142">
        <f>K43+N43</f>
        <v/>
      </c>
      <c r="R43" s="145">
        <f>IFERROR(Q43/P43,0)</f>
        <v/>
      </c>
      <c r="S43" s="144">
        <f>IFERROR(P43/SUMIF($A:$A,A43,$P:$P),0)</f>
        <v/>
      </c>
      <c r="T43" s="144">
        <f>IFERROR(P43/E43,0)</f>
        <v/>
      </c>
      <c r="U43" s="142">
        <f>E43-Q43</f>
        <v/>
      </c>
      <c r="V43" s="144">
        <f>IFERROR(U43/E43,0)</f>
        <v/>
      </c>
      <c r="W43" s="142">
        <f>IFERROR(VLOOKUP(A43,周报其他费用!$A:$B,2,FALSE)*H43,0)</f>
        <v/>
      </c>
      <c r="X43" s="142" t="n">
        <v>2209.51100000001</v>
      </c>
      <c r="Y43" s="144">
        <f>IFERROR(X43/F43,0)</f>
        <v/>
      </c>
      <c r="Z43" s="142">
        <f>X43-J43/1.06</f>
        <v/>
      </c>
      <c r="AA43" s="144">
        <f>IFERROR(Z43/F43,0)</f>
        <v/>
      </c>
      <c r="AB43" s="142">
        <f>X43-(P43+W43)/1.06</f>
        <v/>
      </c>
      <c r="AC43" s="144">
        <f>IFERROR(AB43/F43,0)</f>
        <v/>
      </c>
    </row>
    <row r="44" ht="14.25" customHeight="1" s="65">
      <c r="A44" s="146" t="inlineStr">
        <is>
          <t>5.25-5.31</t>
        </is>
      </c>
      <c r="B44" s="147" t="n">
        <v>648600900806</v>
      </c>
      <c r="C44" s="146" t="inlineStr">
        <is>
          <t>30包</t>
        </is>
      </c>
      <c r="D44" s="146" t="inlineStr">
        <is>
          <t>进口营多捞面一整箱30包网红速食方便面宿舍速食泡面干拌面拉面</t>
        </is>
      </c>
      <c r="E44" s="148" t="n">
        <v>10637.06</v>
      </c>
      <c r="F44" s="148">
        <f>IFERROR(E44/1.13,0)</f>
        <v/>
      </c>
      <c r="G44" s="149" t="n">
        <v>155</v>
      </c>
      <c r="H44" s="150">
        <f>IFERROR(G44/SUMIF($A:$A,A44,$G:$G),0)</f>
        <v/>
      </c>
      <c r="I44" s="148">
        <f>IFERROR(E44/G44,0)</f>
        <v/>
      </c>
      <c r="J44" s="148" t="n">
        <v>2129.99425738306</v>
      </c>
      <c r="K44" s="148" t="n">
        <v>10786.9511748222</v>
      </c>
      <c r="L44" s="151">
        <f>IFERROR(K44/J44,0)</f>
        <v/>
      </c>
      <c r="M44" s="148" t="n">
        <v>69.01860314723</v>
      </c>
      <c r="N44" s="148" t="n">
        <v>136.824671265359</v>
      </c>
      <c r="O44" s="151">
        <f>IFERROR(N44/M44,0)</f>
        <v/>
      </c>
      <c r="P44" s="148">
        <f>J44+M44</f>
        <v/>
      </c>
      <c r="Q44" s="148">
        <f>K44+N44</f>
        <v/>
      </c>
      <c r="R44" s="151">
        <f>IFERROR(Q44/P44,0)</f>
        <v/>
      </c>
      <c r="S44" s="150">
        <f>IFERROR(P44/SUMIF($A:$A,A44,$P:$P),0)</f>
        <v/>
      </c>
      <c r="T44" s="150">
        <f>IFERROR(P44/E44,0)</f>
        <v/>
      </c>
      <c r="U44" s="148">
        <f>E44-Q44</f>
        <v/>
      </c>
      <c r="V44" s="150">
        <f>IFERROR(U44/E44,0)</f>
        <v/>
      </c>
      <c r="W44" s="148">
        <f>IFERROR(VLOOKUP(A44,周报其他费用!$A:$B,2,FALSE)*H44,0)</f>
        <v/>
      </c>
      <c r="X44" s="148" t="n">
        <v>2055.215</v>
      </c>
      <c r="Y44" s="150">
        <f>IFERROR(X44/F44,0)</f>
        <v/>
      </c>
      <c r="Z44" s="148">
        <f>X44-J44/1.06</f>
        <v/>
      </c>
      <c r="AA44" s="150">
        <f>IFERROR(Z44/F44,0)</f>
        <v/>
      </c>
      <c r="AB44" s="148">
        <f>X44-(P44+W44)/1.06</f>
        <v/>
      </c>
      <c r="AC44" s="150">
        <f>IFERROR(AB44/F44,0)</f>
        <v/>
      </c>
    </row>
    <row r="45" ht="14.25" customHeight="1" s="65">
      <c r="A45" s="140" t="inlineStr">
        <is>
          <t>5.25-5.31</t>
        </is>
      </c>
      <c r="B45" s="141" t="n">
        <v>649014937782</v>
      </c>
      <c r="C45" s="140" t="inlineStr">
        <is>
          <t>24包</t>
        </is>
      </c>
      <c r="D45" s="140" t="inlineStr">
        <is>
          <t>印尼营多捞面干拌面一整箱24袋装批发泡面宿舍速食方便面火鸡面</t>
        </is>
      </c>
      <c r="E45" s="142" t="n">
        <v>7568.56</v>
      </c>
      <c r="F45" s="142">
        <f>IFERROR(E45/1.13,0)</f>
        <v/>
      </c>
      <c r="G45" s="143" t="n">
        <v>134</v>
      </c>
      <c r="H45" s="144">
        <f>IFERROR(G45/SUMIF($A:$A,A45,$G:$G),0)</f>
        <v/>
      </c>
      <c r="I45" s="142">
        <f>IFERROR(E45/G45,0)</f>
        <v/>
      </c>
      <c r="J45" s="142" t="n">
        <v>1629.0249708989</v>
      </c>
      <c r="K45" s="142" t="n">
        <v>6792.11843500754</v>
      </c>
      <c r="L45" s="145">
        <f>IFERROR(K45/J45,0)</f>
        <v/>
      </c>
      <c r="M45" s="142" t="n">
        <v>59.6676956240569</v>
      </c>
      <c r="N45" s="142" t="n">
        <v>118.287135158439</v>
      </c>
      <c r="O45" s="145">
        <f>IFERROR(N45/M45,0)</f>
        <v/>
      </c>
      <c r="P45" s="142">
        <f>J45+M45</f>
        <v/>
      </c>
      <c r="Q45" s="142">
        <f>K45+N45</f>
        <v/>
      </c>
      <c r="R45" s="145">
        <f>IFERROR(Q45/P45,0)</f>
        <v/>
      </c>
      <c r="S45" s="144">
        <f>IFERROR(P45/SUMIF($A:$A,A45,$P:$P),0)</f>
        <v/>
      </c>
      <c r="T45" s="144">
        <f>IFERROR(P45/E45,0)</f>
        <v/>
      </c>
      <c r="U45" s="142">
        <f>E45-Q45</f>
        <v/>
      </c>
      <c r="V45" s="144">
        <f>IFERROR(U45/E45,0)</f>
        <v/>
      </c>
      <c r="W45" s="142">
        <f>IFERROR(VLOOKUP(A45,周报其他费用!$A:$B,2,FALSE)*H45,0)</f>
        <v/>
      </c>
      <c r="X45" s="142" t="n">
        <v>1491.221</v>
      </c>
      <c r="Y45" s="144">
        <f>IFERROR(X45/F45,0)</f>
        <v/>
      </c>
      <c r="Z45" s="142">
        <f>X45-J45/1.06</f>
        <v/>
      </c>
      <c r="AA45" s="144">
        <f>IFERROR(Z45/F45,0)</f>
        <v/>
      </c>
      <c r="AB45" s="142">
        <f>X45-(P45+W45)/1.06</f>
        <v/>
      </c>
      <c r="AC45" s="144">
        <f>IFERROR(AB45/F45,0)</f>
        <v/>
      </c>
    </row>
    <row r="46" ht="14.25" customHeight="1" s="65">
      <c r="A46" s="146" t="inlineStr">
        <is>
          <t>5.25-5.31</t>
        </is>
      </c>
      <c r="B46" s="147" t="n">
        <v>648598580775</v>
      </c>
      <c r="C46" s="146" t="inlineStr">
        <is>
          <t>15包</t>
        </is>
      </c>
      <c r="D46" s="146" t="inlineStr">
        <is>
          <t>进口营多捞面15包Indomie方便面干拌面夜宵方便速食五连包85g*5</t>
        </is>
      </c>
      <c r="E46" s="148" t="n">
        <v>4802.52</v>
      </c>
      <c r="F46" s="148">
        <f>IFERROR(E46/1.13,0)</f>
        <v/>
      </c>
      <c r="G46" s="149" t="n">
        <v>131</v>
      </c>
      <c r="H46" s="150">
        <f>IFERROR(G46/SUMIF($A:$A,A46,$G:$G),0)</f>
        <v/>
      </c>
      <c r="I46" s="148">
        <f>IFERROR(E46/G46,0)</f>
        <v/>
      </c>
      <c r="J46" s="148" t="n">
        <v>863.066501401164</v>
      </c>
      <c r="K46" s="148" t="n">
        <v>3451.1751864626</v>
      </c>
      <c r="L46" s="151">
        <f>IFERROR(K46/J46,0)</f>
        <v/>
      </c>
      <c r="M46" s="148" t="n">
        <v>58.331851692175</v>
      </c>
      <c r="N46" s="148" t="n">
        <v>115.638915714594</v>
      </c>
      <c r="O46" s="151">
        <f>IFERROR(N46/M46,0)</f>
        <v/>
      </c>
      <c r="P46" s="148">
        <f>J46+M46</f>
        <v/>
      </c>
      <c r="Q46" s="148">
        <f>K46+N46</f>
        <v/>
      </c>
      <c r="R46" s="151">
        <f>IFERROR(Q46/P46,0)</f>
        <v/>
      </c>
      <c r="S46" s="150">
        <f>IFERROR(P46/SUMIF($A:$A,A46,$P:$P),0)</f>
        <v/>
      </c>
      <c r="T46" s="150">
        <f>IFERROR(P46/E46,0)</f>
        <v/>
      </c>
      <c r="U46" s="148">
        <f>E46-Q46</f>
        <v/>
      </c>
      <c r="V46" s="150">
        <f>IFERROR(U46/E46,0)</f>
        <v/>
      </c>
      <c r="W46" s="148">
        <f>IFERROR(VLOOKUP(A46,周报其他费用!$A:$B,2,FALSE)*H46,0)</f>
        <v/>
      </c>
      <c r="X46" s="148" t="n">
        <v>844.4829999999999</v>
      </c>
      <c r="Y46" s="150">
        <f>IFERROR(X46/F46,0)</f>
        <v/>
      </c>
      <c r="Z46" s="148">
        <f>X46-J46/1.06</f>
        <v/>
      </c>
      <c r="AA46" s="150">
        <f>IFERROR(Z46/F46,0)</f>
        <v/>
      </c>
      <c r="AB46" s="148">
        <f>X46-(P46+W46)/1.06</f>
        <v/>
      </c>
      <c r="AC46" s="150">
        <f>IFERROR(AB46/F46,0)</f>
        <v/>
      </c>
    </row>
    <row r="47" ht="14.25" customHeight="1" s="65">
      <c r="A47" s="140" t="inlineStr">
        <is>
          <t>5.25-5.31</t>
        </is>
      </c>
      <c r="B47" s="141" t="n">
        <v>766165464414</v>
      </c>
      <c r="C47" s="140" t="inlineStr">
        <is>
          <t>12包</t>
        </is>
      </c>
      <c r="D47" s="140" t="inlineStr">
        <is>
          <t>营多印尼进口营多捞面方便面火鸡面干拌面12包宿舍速食泡面夜宵</t>
        </is>
      </c>
      <c r="E47" s="142" t="n">
        <v>3219.9</v>
      </c>
      <c r="F47" s="142">
        <f>IFERROR(E47/1.13,0)</f>
        <v/>
      </c>
      <c r="G47" s="143" t="n">
        <v>108</v>
      </c>
      <c r="H47" s="144">
        <f>IFERROR(G47/SUMIF($A:$A,A47,$G:$G),0)</f>
        <v/>
      </c>
      <c r="I47" s="142">
        <f>IFERROR(E47/G47,0)</f>
        <v/>
      </c>
      <c r="J47" s="142" t="n">
        <v>217.444901918517</v>
      </c>
      <c r="K47" s="142" t="n">
        <v>999.576947618021</v>
      </c>
      <c r="L47" s="145">
        <f>IFERROR(K47/J47,0)</f>
        <v/>
      </c>
      <c r="M47" s="142" t="n">
        <v>48.0903815477474</v>
      </c>
      <c r="N47" s="142" t="n">
        <v>95.33589997844361</v>
      </c>
      <c r="O47" s="145">
        <f>IFERROR(N47/M47,0)</f>
        <v/>
      </c>
      <c r="P47" s="142">
        <f>J47+M47</f>
        <v/>
      </c>
      <c r="Q47" s="142">
        <f>K47+N47</f>
        <v/>
      </c>
      <c r="R47" s="145">
        <f>IFERROR(Q47/P47,0)</f>
        <v/>
      </c>
      <c r="S47" s="144">
        <f>IFERROR(P47/SUMIF($A:$A,A47,$P:$P),0)</f>
        <v/>
      </c>
      <c r="T47" s="144">
        <f>IFERROR(P47/E47,0)</f>
        <v/>
      </c>
      <c r="U47" s="142">
        <f>E47-Q47</f>
        <v/>
      </c>
      <c r="V47" s="144">
        <f>IFERROR(U47/E47,0)</f>
        <v/>
      </c>
      <c r="W47" s="142">
        <f>IFERROR(VLOOKUP(A47,周报其他费用!$A:$B,2,FALSE)*H47,0)</f>
        <v/>
      </c>
      <c r="X47" s="142" t="n">
        <v>494.858</v>
      </c>
      <c r="Y47" s="144">
        <f>IFERROR(X47/F47,0)</f>
        <v/>
      </c>
      <c r="Z47" s="142">
        <f>X47-J47/1.06</f>
        <v/>
      </c>
      <c r="AA47" s="144">
        <f>IFERROR(Z47/F47,0)</f>
        <v/>
      </c>
      <c r="AB47" s="142">
        <f>X47-(P47+W47)/1.06</f>
        <v/>
      </c>
      <c r="AC47" s="144">
        <f>IFERROR(AB47/F47,0)</f>
        <v/>
      </c>
    </row>
    <row r="48" ht="14.25" customHeight="1" s="65">
      <c r="A48" s="146" t="inlineStr">
        <is>
          <t>5.25-5.31</t>
        </is>
      </c>
      <c r="B48" s="147" t="n">
        <v>649369494424</v>
      </c>
      <c r="C48" s="146" t="inlineStr">
        <is>
          <t>24包经典/牛系列</t>
        </is>
      </c>
      <c r="D48" s="146" t="inlineStr">
        <is>
          <t>营多捞面干拌面一整箱24袋装批发泡面混搭宿舍速食方便面火鸡面</t>
        </is>
      </c>
      <c r="E48" s="148" t="n">
        <v>2814.81</v>
      </c>
      <c r="F48" s="148">
        <f>IFERROR(E48/1.13,0)</f>
        <v/>
      </c>
      <c r="G48" s="149" t="n">
        <v>51</v>
      </c>
      <c r="H48" s="150">
        <f>IFERROR(G48/SUMIF($A:$A,A48,$G:$G),0)</f>
        <v/>
      </c>
      <c r="I48" s="148">
        <f>IFERROR(E48/G48,0)</f>
        <v/>
      </c>
      <c r="J48" s="148" t="n">
        <v>420.153981461522</v>
      </c>
      <c r="K48" s="148" t="n">
        <v>1313.85522526407</v>
      </c>
      <c r="L48" s="151">
        <f>IFERROR(K48/J48,0)</f>
        <v/>
      </c>
      <c r="M48" s="148" t="n">
        <v>22.7093468419918</v>
      </c>
      <c r="N48" s="148" t="n">
        <v>45.0197305453762</v>
      </c>
      <c r="O48" s="151">
        <f>IFERROR(N48/M48,0)</f>
        <v/>
      </c>
      <c r="P48" s="148">
        <f>J48+M48</f>
        <v/>
      </c>
      <c r="Q48" s="148">
        <f>K48+N48</f>
        <v/>
      </c>
      <c r="R48" s="151">
        <f>IFERROR(Q48/P48,0)</f>
        <v/>
      </c>
      <c r="S48" s="150">
        <f>IFERROR(P48/SUMIF($A:$A,A48,$P:$P),0)</f>
        <v/>
      </c>
      <c r="T48" s="150">
        <f>IFERROR(P48/E48,0)</f>
        <v/>
      </c>
      <c r="U48" s="148">
        <f>E48-Q48</f>
        <v/>
      </c>
      <c r="V48" s="150">
        <f>IFERROR(U48/E48,0)</f>
        <v/>
      </c>
      <c r="W48" s="148">
        <f>IFERROR(VLOOKUP(A48,周报其他费用!$A:$B,2,FALSE)*H48,0)</f>
        <v/>
      </c>
      <c r="X48" s="148" t="n">
        <v>524.538</v>
      </c>
      <c r="Y48" s="150">
        <f>IFERROR(X48/F48,0)</f>
        <v/>
      </c>
      <c r="Z48" s="148">
        <f>X48-J48/1.06</f>
        <v/>
      </c>
      <c r="AA48" s="150">
        <f>IFERROR(Z48/F48,0)</f>
        <v/>
      </c>
      <c r="AB48" s="148">
        <f>X48-(P48+W48)/1.06</f>
        <v/>
      </c>
      <c r="AC48" s="150">
        <f>IFERROR(AB48/F48,0)</f>
        <v/>
      </c>
    </row>
    <row r="49" ht="14.25" customHeight="1" s="65">
      <c r="A49" s="140" t="inlineStr">
        <is>
          <t>5.25-5.31</t>
        </is>
      </c>
      <c r="B49" s="141" t="n">
        <v>648681860568</v>
      </c>
      <c r="C49" s="140" t="inlineStr">
        <is>
          <t>杯面次链接</t>
        </is>
      </c>
      <c r="D49" s="140" t="inlineStr">
        <is>
          <t>营多捞面杯装方便面泡面速食干拌面原味整箱批发印尼进口桶装拌面</t>
        </is>
      </c>
      <c r="E49" s="142" t="n">
        <v>1377.05</v>
      </c>
      <c r="F49" s="142">
        <f>IFERROR(E49/1.13,0)</f>
        <v/>
      </c>
      <c r="G49" s="143" t="n">
        <v>47</v>
      </c>
      <c r="H49" s="144">
        <f>IFERROR(G49/SUMIF($A:$A,A49,$G:$G),0)</f>
        <v/>
      </c>
      <c r="I49" s="142">
        <f>IFERROR(E49/G49,0)</f>
        <v/>
      </c>
      <c r="J49" s="142" t="n">
        <v>225.51935546454</v>
      </c>
      <c r="K49" s="142" t="n">
        <v>904.904227204139</v>
      </c>
      <c r="L49" s="145">
        <f>IFERROR(K49/J49,0)</f>
        <v/>
      </c>
      <c r="M49" s="142" t="n">
        <v>20.9282215994826</v>
      </c>
      <c r="N49" s="142" t="n">
        <v>41.4887712869153</v>
      </c>
      <c r="O49" s="145">
        <f>IFERROR(N49/M49,0)</f>
        <v/>
      </c>
      <c r="P49" s="142">
        <f>J49+M49</f>
        <v/>
      </c>
      <c r="Q49" s="142">
        <f>K49+N49</f>
        <v/>
      </c>
      <c r="R49" s="145">
        <f>IFERROR(Q49/P49,0)</f>
        <v/>
      </c>
      <c r="S49" s="144">
        <f>IFERROR(P49/SUMIF($A:$A,A49,$P:$P),0)</f>
        <v/>
      </c>
      <c r="T49" s="144">
        <f>IFERROR(P49/E49,0)</f>
        <v/>
      </c>
      <c r="U49" s="142">
        <f>E49-Q49</f>
        <v/>
      </c>
      <c r="V49" s="144">
        <f>IFERROR(U49/E49,0)</f>
        <v/>
      </c>
      <c r="W49" s="142">
        <f>IFERROR(VLOOKUP(A49,周报其他费用!$A:$B,2,FALSE)*H49,0)</f>
        <v/>
      </c>
      <c r="X49" s="142" t="n">
        <v>150.139</v>
      </c>
      <c r="Y49" s="144">
        <f>IFERROR(X49/F49,0)</f>
        <v/>
      </c>
      <c r="Z49" s="142">
        <f>X49-J49/1.06</f>
        <v/>
      </c>
      <c r="AA49" s="144">
        <f>IFERROR(Z49/F49,0)</f>
        <v/>
      </c>
      <c r="AB49" s="142">
        <f>X49-(P49+W49)/1.06</f>
        <v/>
      </c>
      <c r="AC49" s="144">
        <f>IFERROR(AB49/F49,0)</f>
        <v/>
      </c>
    </row>
    <row r="50" ht="14.25" customHeight="1" s="65">
      <c r="A50" s="146" t="inlineStr">
        <is>
          <t>5.25-5.31</t>
        </is>
      </c>
      <c r="B50" s="147" t="n">
        <v>735014804839</v>
      </c>
      <c r="C50" s="146" t="inlineStr">
        <is>
          <t>24/30包</t>
        </is>
      </c>
      <c r="D50" s="146" t="inlineStr">
        <is>
          <t>进口营多捞面多口味Indomie网红方便面干拌面泡面30包整箱批发面</t>
        </is>
      </c>
      <c r="E50" s="148" t="n">
        <v>2331.14</v>
      </c>
      <c r="F50" s="148">
        <f>IFERROR(E50/1.13,0)</f>
        <v/>
      </c>
      <c r="G50" s="149" t="n">
        <v>35</v>
      </c>
      <c r="H50" s="150">
        <f>IFERROR(G50/SUMIF($A:$A,A50,$G:$G),0)</f>
        <v/>
      </c>
      <c r="I50" s="148">
        <f>IFERROR(E50/G50,0)</f>
        <v/>
      </c>
      <c r="J50" s="148" t="n">
        <v>470.635477473593</v>
      </c>
      <c r="K50" s="148" t="n">
        <v>2228.59123302436</v>
      </c>
      <c r="L50" s="151">
        <f>IFERROR(K50/J50,0)</f>
        <v/>
      </c>
      <c r="M50" s="148" t="n">
        <v>15.5848458719552</v>
      </c>
      <c r="N50" s="148" t="n">
        <v>30.8958935115327</v>
      </c>
      <c r="O50" s="151">
        <f>IFERROR(N50/M50,0)</f>
        <v/>
      </c>
      <c r="P50" s="148">
        <f>J50+M50</f>
        <v/>
      </c>
      <c r="Q50" s="148">
        <f>K50+N50</f>
        <v/>
      </c>
      <c r="R50" s="151">
        <f>IFERROR(Q50/P50,0)</f>
        <v/>
      </c>
      <c r="S50" s="150">
        <f>IFERROR(P50/SUMIF($A:$A,A50,$P:$P),0)</f>
        <v/>
      </c>
      <c r="T50" s="150">
        <f>IFERROR(P50/E50,0)</f>
        <v/>
      </c>
      <c r="U50" s="148">
        <f>E50-Q50</f>
        <v/>
      </c>
      <c r="V50" s="150">
        <f>IFERROR(U50/E50,0)</f>
        <v/>
      </c>
      <c r="W50" s="148">
        <f>IFERROR(VLOOKUP(A50,周报其他费用!$A:$B,2,FALSE)*H50,0)</f>
        <v/>
      </c>
      <c r="X50" s="148" t="n">
        <v>433.402</v>
      </c>
      <c r="Y50" s="150">
        <f>IFERROR(X50/F50,0)</f>
        <v/>
      </c>
      <c r="Z50" s="148">
        <f>X50-J50/1.06</f>
        <v/>
      </c>
      <c r="AA50" s="150">
        <f>IFERROR(Z50/F50,0)</f>
        <v/>
      </c>
      <c r="AB50" s="148">
        <f>X50-(P50+W50)/1.06</f>
        <v/>
      </c>
      <c r="AC50" s="150">
        <f>IFERROR(AB50/F50,0)</f>
        <v/>
      </c>
    </row>
    <row r="51" ht="14.25" customHeight="1" s="65">
      <c r="A51" s="140" t="inlineStr">
        <is>
          <t>5.25-5.31</t>
        </is>
      </c>
      <c r="B51" s="141" t="n">
        <v>929504658691</v>
      </c>
      <c r="C51" s="140" t="inlineStr">
        <is>
          <t>日式袋面</t>
        </is>
      </c>
      <c r="D51" s="140" t="inlineStr">
        <is>
          <t>营多捞面日式鸡肉汤面原味辛辣味袋装泡面方便面速食宿舍夜宵食品</t>
        </is>
      </c>
      <c r="E51" s="142" t="n">
        <v>504.89</v>
      </c>
      <c r="F51" s="142">
        <f>IFERROR(E51/1.13,0)</f>
        <v/>
      </c>
      <c r="G51" s="143" t="n">
        <v>26</v>
      </c>
      <c r="H51" s="144">
        <f>IFERROR(G51/SUMIF($A:$A,A51,$G:$G),0)</f>
        <v/>
      </c>
      <c r="I51" s="142">
        <f>IFERROR(E51/G51,0)</f>
        <v/>
      </c>
      <c r="J51" s="142" t="n">
        <v>145.710068980384</v>
      </c>
      <c r="K51" s="142" t="n">
        <v>316.741487389524</v>
      </c>
      <c r="L51" s="145">
        <f>IFERROR(K51/J51,0)</f>
        <v/>
      </c>
      <c r="M51" s="142" t="n">
        <v>11.5773140763095</v>
      </c>
      <c r="N51" s="142" t="n">
        <v>22.9512351799957</v>
      </c>
      <c r="O51" s="145">
        <f>IFERROR(N51/M51,0)</f>
        <v/>
      </c>
      <c r="P51" s="142">
        <f>J51+M51</f>
        <v/>
      </c>
      <c r="Q51" s="142">
        <f>K51+N51</f>
        <v/>
      </c>
      <c r="R51" s="145">
        <f>IFERROR(Q51/P51,0)</f>
        <v/>
      </c>
      <c r="S51" s="144">
        <f>IFERROR(P51/SUMIF($A:$A,A51,$P:$P),0)</f>
        <v/>
      </c>
      <c r="T51" s="144">
        <f>IFERROR(P51/E51,0)</f>
        <v/>
      </c>
      <c r="U51" s="142">
        <f>E51-Q51</f>
        <v/>
      </c>
      <c r="V51" s="144">
        <f>IFERROR(U51/E51,0)</f>
        <v/>
      </c>
      <c r="W51" s="142">
        <f>IFERROR(VLOOKUP(A51,周报其他费用!$A:$B,2,FALSE)*H51,0)</f>
        <v/>
      </c>
      <c r="X51" s="142" t="n">
        <v>61.869</v>
      </c>
      <c r="Y51" s="144">
        <f>IFERROR(X51/F51,0)</f>
        <v/>
      </c>
      <c r="Z51" s="142">
        <f>X51-J51/1.06</f>
        <v/>
      </c>
      <c r="AA51" s="144">
        <f>IFERROR(Z51/F51,0)</f>
        <v/>
      </c>
      <c r="AB51" s="142">
        <f>X51-(P51+W51)/1.06</f>
        <v/>
      </c>
      <c r="AC51" s="144">
        <f>IFERROR(AB51/F51,0)</f>
        <v/>
      </c>
    </row>
    <row r="52" ht="14.25" customHeight="1" s="65">
      <c r="A52" s="146" t="inlineStr">
        <is>
          <t>5.25-5.31</t>
        </is>
      </c>
      <c r="B52" s="147" t="n">
        <v>1013887677295</v>
      </c>
      <c r="C52" s="146" t="inlineStr">
        <is>
          <t>混搭5杯</t>
        </is>
      </c>
      <c r="D52" s="146" t="inlineStr">
        <is>
          <t>进口营多原味杯面日式杯面韩式杯面泡面方便面汤面宿舍速食夜宵</t>
        </is>
      </c>
      <c r="E52" s="148" t="n">
        <v>605.45</v>
      </c>
      <c r="F52" s="148">
        <f>IFERROR(E52/1.13,0)</f>
        <v/>
      </c>
      <c r="G52" s="149" t="n">
        <v>24</v>
      </c>
      <c r="H52" s="150">
        <f>IFERROR(G52/SUMIF($A:$A,A52,$G:$G),0)</f>
        <v/>
      </c>
      <c r="I52" s="148">
        <f>IFERROR(E52/G52,0)</f>
        <v/>
      </c>
      <c r="J52" s="148" t="n">
        <v>201.327755981893</v>
      </c>
      <c r="K52" s="148" t="n">
        <v>626.02598835956</v>
      </c>
      <c r="L52" s="151">
        <f>IFERROR(K52/J52,0)</f>
        <v/>
      </c>
      <c r="M52" s="148" t="n">
        <v>10.686751455055</v>
      </c>
      <c r="N52" s="148" t="n">
        <v>21.1857555507653</v>
      </c>
      <c r="O52" s="151">
        <f>IFERROR(N52/M52,0)</f>
        <v/>
      </c>
      <c r="P52" s="148">
        <f>J52+M52</f>
        <v/>
      </c>
      <c r="Q52" s="148">
        <f>K52+N52</f>
        <v/>
      </c>
      <c r="R52" s="151">
        <f>IFERROR(Q52/P52,0)</f>
        <v/>
      </c>
      <c r="S52" s="150">
        <f>IFERROR(P52/SUMIF($A:$A,A52,$P:$P),0)</f>
        <v/>
      </c>
      <c r="T52" s="150">
        <f>IFERROR(P52/E52,0)</f>
        <v/>
      </c>
      <c r="U52" s="148">
        <f>E52-Q52</f>
        <v/>
      </c>
      <c r="V52" s="150">
        <f>IFERROR(U52/E52,0)</f>
        <v/>
      </c>
      <c r="W52" s="148">
        <f>IFERROR(VLOOKUP(A52,周报其他费用!$A:$B,2,FALSE)*H52,0)</f>
        <v/>
      </c>
      <c r="X52" s="148" t="n">
        <v>59.859</v>
      </c>
      <c r="Y52" s="150">
        <f>IFERROR(X52/F52,0)</f>
        <v/>
      </c>
      <c r="Z52" s="148">
        <f>X52-J52/1.06</f>
        <v/>
      </c>
      <c r="AA52" s="150">
        <f>IFERROR(Z52/F52,0)</f>
        <v/>
      </c>
      <c r="AB52" s="148">
        <f>X52-(P52+W52)/1.06</f>
        <v/>
      </c>
      <c r="AC52" s="150">
        <f>IFERROR(AB52/F52,0)</f>
        <v/>
      </c>
    </row>
    <row r="53" ht="14.25" customHeight="1" s="65">
      <c r="A53" s="140" t="inlineStr">
        <is>
          <t>5.25-5.31</t>
        </is>
      </c>
      <c r="B53" s="141" t="n">
        <v>744317232690</v>
      </c>
      <c r="C53" s="140" t="inlineStr">
        <is>
          <t>多规格</t>
        </is>
      </c>
      <c r="D53" s="140" t="inlineStr">
        <is>
          <t>营多捞面汤面清香牛肉味方便面泡面速食食品泡面拉面整箱旅行宿舍</t>
        </is>
      </c>
      <c r="E53" s="142" t="n">
        <v>444.76</v>
      </c>
      <c r="F53" s="142">
        <f>IFERROR(E53/1.13,0)</f>
        <v/>
      </c>
      <c r="G53" s="143" t="n">
        <v>18</v>
      </c>
      <c r="H53" s="144">
        <f>IFERROR(G53/SUMIF($A:$A,A53,$G:$G),0)</f>
        <v/>
      </c>
      <c r="I53" s="142">
        <f>IFERROR(E53/G53,0)</f>
        <v/>
      </c>
      <c r="J53" s="142" t="n">
        <v>50.0008169864195</v>
      </c>
      <c r="K53" s="142" t="n">
        <v>187.41949126967</v>
      </c>
      <c r="L53" s="145">
        <f>IFERROR(K53/J53,0)</f>
        <v/>
      </c>
      <c r="M53" s="142" t="n">
        <v>8.015063591291231</v>
      </c>
      <c r="N53" s="142" t="n">
        <v>15.8893166630739</v>
      </c>
      <c r="O53" s="145">
        <f>IFERROR(N53/M53,0)</f>
        <v/>
      </c>
      <c r="P53" s="142">
        <f>J53+M53</f>
        <v/>
      </c>
      <c r="Q53" s="142">
        <f>K53+N53</f>
        <v/>
      </c>
      <c r="R53" s="145">
        <f>IFERROR(Q53/P53,0)</f>
        <v/>
      </c>
      <c r="S53" s="144">
        <f>IFERROR(P53/SUMIF($A:$A,A53,$P:$P),0)</f>
        <v/>
      </c>
      <c r="T53" s="144">
        <f>IFERROR(P53/E53,0)</f>
        <v/>
      </c>
      <c r="U53" s="142">
        <f>E53-Q53</f>
        <v/>
      </c>
      <c r="V53" s="144">
        <f>IFERROR(U53/E53,0)</f>
        <v/>
      </c>
      <c r="W53" s="142">
        <f>IFERROR(VLOOKUP(A53,周报其他费用!$A:$B,2,FALSE)*H53,0)</f>
        <v/>
      </c>
      <c r="X53" s="142" t="n">
        <v>54.966</v>
      </c>
      <c r="Y53" s="144">
        <f>IFERROR(X53/F53,0)</f>
        <v/>
      </c>
      <c r="Z53" s="142">
        <f>X53-J53/1.06</f>
        <v/>
      </c>
      <c r="AA53" s="144">
        <f>IFERROR(Z53/F53,0)</f>
        <v/>
      </c>
      <c r="AB53" s="142">
        <f>X53-(P53+W53)/1.06</f>
        <v/>
      </c>
      <c r="AC53" s="144">
        <f>IFERROR(AB53/F53,0)</f>
        <v/>
      </c>
    </row>
    <row r="54" ht="14.25" customHeight="1" s="65">
      <c r="A54" s="146" t="inlineStr">
        <is>
          <t>5.25-5.31</t>
        </is>
      </c>
      <c r="B54" s="147" t="n">
        <v>898076297965</v>
      </c>
      <c r="C54" s="146" t="inlineStr">
        <is>
          <t>番茄牛肉</t>
        </is>
      </c>
      <c r="D54" s="146" t="inlineStr">
        <is>
          <t>进口正品意面风味奶香番茄牛肉味意式拌面营多捞面早餐儿童宝妈餐</t>
        </is>
      </c>
      <c r="E54" s="148" t="n">
        <v>308.57</v>
      </c>
      <c r="F54" s="148">
        <f>IFERROR(E54/1.13,0)</f>
        <v/>
      </c>
      <c r="G54" s="149" t="n">
        <v>15</v>
      </c>
      <c r="H54" s="150">
        <f>IFERROR(G54/SUMIF($A:$A,A54,$G:$G),0)</f>
        <v/>
      </c>
      <c r="I54" s="148">
        <f>IFERROR(E54/G54,0)</f>
        <v/>
      </c>
      <c r="J54" s="148" t="n">
        <v>28.5723474886829</v>
      </c>
      <c r="K54" s="148" t="n">
        <v>196.616242724725</v>
      </c>
      <c r="L54" s="151">
        <f>IFERROR(K54/J54,0)</f>
        <v/>
      </c>
      <c r="M54" s="148" t="n">
        <v>6.67921965940935</v>
      </c>
      <c r="N54" s="148" t="n">
        <v>13.2410972192283</v>
      </c>
      <c r="O54" s="151">
        <f>IFERROR(N54/M54,0)</f>
        <v/>
      </c>
      <c r="P54" s="148">
        <f>J54+M54</f>
        <v/>
      </c>
      <c r="Q54" s="148">
        <f>K54+N54</f>
        <v/>
      </c>
      <c r="R54" s="151">
        <f>IFERROR(Q54/P54,0)</f>
        <v/>
      </c>
      <c r="S54" s="150">
        <f>IFERROR(P54/SUMIF($A:$A,A54,$P:$P),0)</f>
        <v/>
      </c>
      <c r="T54" s="150">
        <f>IFERROR(P54/E54,0)</f>
        <v/>
      </c>
      <c r="U54" s="148">
        <f>E54-Q54</f>
        <v/>
      </c>
      <c r="V54" s="150">
        <f>IFERROR(U54/E54,0)</f>
        <v/>
      </c>
      <c r="W54" s="148">
        <f>IFERROR(VLOOKUP(A54,周报其他费用!$A:$B,2,FALSE)*H54,0)</f>
        <v/>
      </c>
      <c r="X54" s="148" t="n">
        <v>26.627</v>
      </c>
      <c r="Y54" s="150">
        <f>IFERROR(X54/F54,0)</f>
        <v/>
      </c>
      <c r="Z54" s="148">
        <f>X54-J54/1.06</f>
        <v/>
      </c>
      <c r="AA54" s="150">
        <f>IFERROR(Z54/F54,0)</f>
        <v/>
      </c>
      <c r="AB54" s="148">
        <f>X54-(P54+W54)/1.06</f>
        <v/>
      </c>
      <c r="AC54" s="150">
        <f>IFERROR(AB54/F54,0)</f>
        <v/>
      </c>
    </row>
    <row r="55" ht="14.25" customHeight="1" s="65">
      <c r="A55" s="140" t="inlineStr">
        <is>
          <t>5.25-5.31</t>
        </is>
      </c>
      <c r="B55" s="141" t="n">
        <v>969433743398</v>
      </c>
      <c r="C55" s="140" t="inlineStr">
        <is>
          <t>韩蘑菇</t>
        </is>
      </c>
      <c r="D55" s="140" t="inlineStr">
        <is>
          <t>新品营多捞面韩式辣蘑菇汤面泡面方便面速食干拌面宿舍宵夜旅行</t>
        </is>
      </c>
      <c r="E55" s="142" t="n">
        <v>252.3</v>
      </c>
      <c r="F55" s="142">
        <f>IFERROR(E55/1.13,0)</f>
        <v/>
      </c>
      <c r="G55" s="143" t="n">
        <v>13</v>
      </c>
      <c r="H55" s="144">
        <f>IFERROR(G55/SUMIF($A:$A,A55,$G:$G),0)</f>
        <v/>
      </c>
      <c r="I55" s="142">
        <f>IFERROR(E55/G55,0)</f>
        <v/>
      </c>
      <c r="J55" s="142" t="n">
        <v>110.040034490192</v>
      </c>
      <c r="K55" s="142" t="n">
        <v>222.950743694762</v>
      </c>
      <c r="L55" s="145">
        <f>IFERROR(K55/J55,0)</f>
        <v/>
      </c>
      <c r="M55" s="142" t="n">
        <v>5.78865703815477</v>
      </c>
      <c r="N55" s="142" t="n">
        <v>11.4756175899978</v>
      </c>
      <c r="O55" s="145">
        <f>IFERROR(N55/M55,0)</f>
        <v/>
      </c>
      <c r="P55" s="142">
        <f>J55+M55</f>
        <v/>
      </c>
      <c r="Q55" s="142">
        <f>K55+N55</f>
        <v/>
      </c>
      <c r="R55" s="145">
        <f>IFERROR(Q55/P55,0)</f>
        <v/>
      </c>
      <c r="S55" s="144">
        <f>IFERROR(P55/SUMIF($A:$A,A55,$P:$P),0)</f>
        <v/>
      </c>
      <c r="T55" s="144">
        <f>IFERROR(P55/E55,0)</f>
        <v/>
      </c>
      <c r="U55" s="142">
        <f>E55-Q55</f>
        <v/>
      </c>
      <c r="V55" s="144">
        <f>IFERROR(U55/E55,0)</f>
        <v/>
      </c>
      <c r="W55" s="142">
        <f>IFERROR(VLOOKUP(A55,周报其他费用!$A:$B,2,FALSE)*H55,0)</f>
        <v/>
      </c>
      <c r="X55" s="142" t="n">
        <v>31.473</v>
      </c>
      <c r="Y55" s="144">
        <f>IFERROR(X55/F55,0)</f>
        <v/>
      </c>
      <c r="Z55" s="142">
        <f>X55-J55/1.06</f>
        <v/>
      </c>
      <c r="AA55" s="144">
        <f>IFERROR(Z55/F55,0)</f>
        <v/>
      </c>
      <c r="AB55" s="142">
        <f>X55-(P55+W55)/1.06</f>
        <v/>
      </c>
      <c r="AC55" s="144">
        <f>IFERROR(AB55/F55,0)</f>
        <v/>
      </c>
    </row>
    <row r="56" ht="14.25" customHeight="1" s="65">
      <c r="A56" s="146" t="inlineStr">
        <is>
          <t>5.25-5.31</t>
        </is>
      </c>
      <c r="B56" s="147" t="n">
        <v>969423151512</v>
      </c>
      <c r="C56" s="146" t="inlineStr">
        <is>
          <t>日韩混搭</t>
        </is>
      </c>
      <c r="D56" s="146" t="inlineStr">
        <is>
          <t>营多捞面甜辣炸鸡火鸡面辣蘑菇泡面方便面速食干拌面宿舍宵夜旅行</t>
        </is>
      </c>
      <c r="E56" s="148" t="n">
        <v>288.18</v>
      </c>
      <c r="F56" s="148">
        <f>IFERROR(E56/1.13,0)</f>
        <v/>
      </c>
      <c r="G56" s="149" t="n">
        <v>12</v>
      </c>
      <c r="H56" s="150">
        <f>IFERROR(G56/SUMIF($A:$A,A56,$G:$G),0)</f>
        <v/>
      </c>
      <c r="I56" s="148">
        <f>IFERROR(E56/G56,0)</f>
        <v/>
      </c>
      <c r="J56" s="148" t="n">
        <v>49.6638779909463</v>
      </c>
      <c r="K56" s="148" t="n">
        <v>173.15299417978</v>
      </c>
      <c r="L56" s="151">
        <f>IFERROR(K56/J56,0)</f>
        <v/>
      </c>
      <c r="M56" s="148" t="n">
        <v>5.34337572752748</v>
      </c>
      <c r="N56" s="148" t="n">
        <v>10.5928777753826</v>
      </c>
      <c r="O56" s="151">
        <f>IFERROR(N56/M56,0)</f>
        <v/>
      </c>
      <c r="P56" s="148">
        <f>J56+M56</f>
        <v/>
      </c>
      <c r="Q56" s="148">
        <f>K56+N56</f>
        <v/>
      </c>
      <c r="R56" s="151">
        <f>IFERROR(Q56/P56,0)</f>
        <v/>
      </c>
      <c r="S56" s="150">
        <f>IFERROR(P56/SUMIF($A:$A,A56,$P:$P),0)</f>
        <v/>
      </c>
      <c r="T56" s="150">
        <f>IFERROR(P56/E56,0)</f>
        <v/>
      </c>
      <c r="U56" s="148">
        <f>E56-Q56</f>
        <v/>
      </c>
      <c r="V56" s="150">
        <f>IFERROR(U56/E56,0)</f>
        <v/>
      </c>
      <c r="W56" s="148">
        <f>IFERROR(VLOOKUP(A56,周报其他费用!$A:$B,2,FALSE)*H56,0)</f>
        <v/>
      </c>
      <c r="X56" s="148" t="n">
        <v>43.553</v>
      </c>
      <c r="Y56" s="150">
        <f>IFERROR(X56/F56,0)</f>
        <v/>
      </c>
      <c r="Z56" s="148">
        <f>X56-J56/1.06</f>
        <v/>
      </c>
      <c r="AA56" s="150">
        <f>IFERROR(Z56/F56,0)</f>
        <v/>
      </c>
      <c r="AB56" s="148">
        <f>X56-(P56+W56)/1.06</f>
        <v/>
      </c>
      <c r="AC56" s="150">
        <f>IFERROR(AB56/F56,0)</f>
        <v/>
      </c>
    </row>
    <row r="57" ht="14.25" customHeight="1" s="65">
      <c r="A57" s="140" t="inlineStr">
        <is>
          <t>5.25-5.31</t>
        </is>
      </c>
      <c r="B57" s="141" t="n">
        <v>649729851594</v>
      </c>
      <c r="C57" s="140" t="inlineStr">
        <is>
          <t>小规格</t>
        </is>
      </c>
      <c r="D57" s="140" t="inlineStr">
        <is>
          <t>营多捞面袋装8包装泡面宿舍速食面热干面干拌面方便面火鸡面食品</t>
        </is>
      </c>
      <c r="E57" s="142" t="n">
        <v>267.75</v>
      </c>
      <c r="F57" s="142">
        <f>IFERROR(E57/1.13,0)</f>
        <v/>
      </c>
      <c r="G57" s="143" t="n">
        <v>12</v>
      </c>
      <c r="H57" s="144">
        <f>IFERROR(G57/SUMIF($A:$A,A57,$G:$G),0)</f>
        <v/>
      </c>
      <c r="I57" s="142">
        <f>IFERROR(E57/G57,0)</f>
        <v/>
      </c>
      <c r="J57" s="142" t="n">
        <v>14.3538779909463</v>
      </c>
      <c r="K57" s="142" t="n">
        <v>55.8529941797801</v>
      </c>
      <c r="L57" s="145">
        <f>IFERROR(K57/J57,0)</f>
        <v/>
      </c>
      <c r="M57" s="142" t="n">
        <v>5.34337572752748</v>
      </c>
      <c r="N57" s="142" t="n">
        <v>10.5928777753826</v>
      </c>
      <c r="O57" s="145">
        <f>IFERROR(N57/M57,0)</f>
        <v/>
      </c>
      <c r="P57" s="142">
        <f>J57+M57</f>
        <v/>
      </c>
      <c r="Q57" s="142">
        <f>K57+N57</f>
        <v/>
      </c>
      <c r="R57" s="145">
        <f>IFERROR(Q57/P57,0)</f>
        <v/>
      </c>
      <c r="S57" s="144">
        <f>IFERROR(P57/SUMIF($A:$A,A57,$P:$P),0)</f>
        <v/>
      </c>
      <c r="T57" s="144">
        <f>IFERROR(P57/E57,0)</f>
        <v/>
      </c>
      <c r="U57" s="142">
        <f>E57-Q57</f>
        <v/>
      </c>
      <c r="V57" s="144">
        <f>IFERROR(U57/E57,0)</f>
        <v/>
      </c>
      <c r="W57" s="142">
        <f>IFERROR(VLOOKUP(A57,周报其他费用!$A:$B,2,FALSE)*H57,0)</f>
        <v/>
      </c>
      <c r="X57" s="142" t="n">
        <v>42.262</v>
      </c>
      <c r="Y57" s="144">
        <f>IFERROR(X57/F57,0)</f>
        <v/>
      </c>
      <c r="Z57" s="142">
        <f>X57-J57/1.06</f>
        <v/>
      </c>
      <c r="AA57" s="144">
        <f>IFERROR(Z57/F57,0)</f>
        <v/>
      </c>
      <c r="AB57" s="142">
        <f>X57-(P57+W57)/1.06</f>
        <v/>
      </c>
      <c r="AC57" s="144">
        <f>IFERROR(AB57/F57,0)</f>
        <v/>
      </c>
    </row>
    <row r="58" ht="14.25" customHeight="1" s="65">
      <c r="A58" s="146" t="inlineStr">
        <is>
          <t>5.25-5.31</t>
        </is>
      </c>
      <c r="B58" s="147" t="n">
        <v>886856687067</v>
      </c>
      <c r="C58" s="146" t="inlineStr">
        <is>
          <t>大骨</t>
        </is>
      </c>
      <c r="D58" s="146" t="inlineStr">
        <is>
          <t>营多捞面牛系列大骨牛肉味方便面食品泡面拉面汤面宿舍宵夜旅行</t>
        </is>
      </c>
      <c r="E58" s="148" t="n">
        <v>183.45</v>
      </c>
      <c r="F58" s="148">
        <f>IFERROR(E58/1.13,0)</f>
        <v/>
      </c>
      <c r="G58" s="149" t="n">
        <v>9</v>
      </c>
      <c r="H58" s="150">
        <f>IFERROR(G58/SUMIF($A:$A,A58,$G:$G),0)</f>
        <v/>
      </c>
      <c r="I58" s="148">
        <f>IFERROR(E58/G58,0)</f>
        <v/>
      </c>
      <c r="J58" s="148" t="n">
        <v>11.8154084932097</v>
      </c>
      <c r="K58" s="148" t="n">
        <v>106.059745634835</v>
      </c>
      <c r="L58" s="151">
        <f>IFERROR(K58/J58,0)</f>
        <v/>
      </c>
      <c r="M58" s="148" t="n">
        <v>4.00753179564561</v>
      </c>
      <c r="N58" s="148" t="n">
        <v>7.94465833153697</v>
      </c>
      <c r="O58" s="151">
        <f>IFERROR(N58/M58,0)</f>
        <v/>
      </c>
      <c r="P58" s="148">
        <f>J58+M58</f>
        <v/>
      </c>
      <c r="Q58" s="148">
        <f>K58+N58</f>
        <v/>
      </c>
      <c r="R58" s="151">
        <f>IFERROR(Q58/P58,0)</f>
        <v/>
      </c>
      <c r="S58" s="150">
        <f>IFERROR(P58/SUMIF($A:$A,A58,$P:$P),0)</f>
        <v/>
      </c>
      <c r="T58" s="150">
        <f>IFERROR(P58/E58,0)</f>
        <v/>
      </c>
      <c r="U58" s="148">
        <f>E58-Q58</f>
        <v/>
      </c>
      <c r="V58" s="150">
        <f>IFERROR(U58/E58,0)</f>
        <v/>
      </c>
      <c r="W58" s="148">
        <f>IFERROR(VLOOKUP(A58,周报其他费用!$A:$B,2,FALSE)*H58,0)</f>
        <v/>
      </c>
      <c r="X58" s="148" t="n">
        <v>19.411</v>
      </c>
      <c r="Y58" s="150">
        <f>IFERROR(X58/F58,0)</f>
        <v/>
      </c>
      <c r="Z58" s="148">
        <f>X58-J58/1.06</f>
        <v/>
      </c>
      <c r="AA58" s="150">
        <f>IFERROR(Z58/F58,0)</f>
        <v/>
      </c>
      <c r="AB58" s="148">
        <f>X58-(P58+W58)/1.06</f>
        <v/>
      </c>
      <c r="AC58" s="150">
        <f>IFERROR(AB58/F58,0)</f>
        <v/>
      </c>
    </row>
    <row r="59" ht="14.25" customHeight="1" s="65">
      <c r="A59" s="140" t="inlineStr">
        <is>
          <t>5.25-5.31</t>
        </is>
      </c>
      <c r="B59" s="141" t="n">
        <v>648604228786</v>
      </c>
      <c r="C59" s="140" t="inlineStr">
        <is>
          <t>杯面混搭</t>
        </is>
      </c>
      <c r="D59" s="140" t="inlineStr">
        <is>
          <t>INDOMIE营多日式杯面原味经典泡面整箱批发速食宿舍旅行宵夜宿舍</t>
        </is>
      </c>
      <c r="E59" s="142" t="n">
        <v>166.75</v>
      </c>
      <c r="F59" s="142">
        <f>IFERROR(E59/1.13,0)</f>
        <v/>
      </c>
      <c r="G59" s="143" t="n">
        <v>6</v>
      </c>
      <c r="H59" s="144">
        <f>IFERROR(G59/SUMIF($A:$A,A59,$G:$G),0)</f>
        <v/>
      </c>
      <c r="I59" s="142">
        <f>IFERROR(E59/G59,0)</f>
        <v/>
      </c>
      <c r="J59" s="142" t="n">
        <v>11.4469389954732</v>
      </c>
      <c r="K59" s="142" t="n">
        <v>47.45649708989</v>
      </c>
      <c r="L59" s="145">
        <f>IFERROR(K59/J59,0)</f>
        <v/>
      </c>
      <c r="M59" s="142" t="n">
        <v>2.67168786376374</v>
      </c>
      <c r="N59" s="142" t="n">
        <v>5.29643888769131</v>
      </c>
      <c r="O59" s="145">
        <f>IFERROR(N59/M59,0)</f>
        <v/>
      </c>
      <c r="P59" s="142">
        <f>J59+M59</f>
        <v/>
      </c>
      <c r="Q59" s="142">
        <f>K59+N59</f>
        <v/>
      </c>
      <c r="R59" s="145">
        <f>IFERROR(Q59/P59,0)</f>
        <v/>
      </c>
      <c r="S59" s="144">
        <f>IFERROR(P59/SUMIF($A:$A,A59,$P:$P),0)</f>
        <v/>
      </c>
      <c r="T59" s="144">
        <f>IFERROR(P59/E59,0)</f>
        <v/>
      </c>
      <c r="U59" s="142">
        <f>E59-Q59</f>
        <v/>
      </c>
      <c r="V59" s="144">
        <f>IFERROR(U59/E59,0)</f>
        <v/>
      </c>
      <c r="W59" s="142">
        <f>IFERROR(VLOOKUP(A59,周报其他费用!$A:$B,2,FALSE)*H59,0)</f>
        <v/>
      </c>
      <c r="X59" s="142" t="n">
        <v>21.368</v>
      </c>
      <c r="Y59" s="144">
        <f>IFERROR(X59/F59,0)</f>
        <v/>
      </c>
      <c r="Z59" s="142">
        <f>X59-J59/1.06</f>
        <v/>
      </c>
      <c r="AA59" s="144">
        <f>IFERROR(Z59/F59,0)</f>
        <v/>
      </c>
      <c r="AB59" s="142">
        <f>X59-(P59+W59)/1.06</f>
        <v/>
      </c>
      <c r="AC59" s="144">
        <f>IFERROR(AB59/F59,0)</f>
        <v/>
      </c>
    </row>
    <row r="60" ht="14.25" customHeight="1" s="65">
      <c r="A60" s="146" t="inlineStr">
        <is>
          <t>5.25-5.31</t>
        </is>
      </c>
      <c r="B60" s="147" t="n">
        <v>976479938842</v>
      </c>
      <c r="C60" s="146" t="inlineStr">
        <is>
          <t>【U选】原味5</t>
        </is>
      </c>
      <c r="D60" s="146" t="inlineStr">
        <is>
          <t>【天猫U选】indomie营多大骨牛肉味捞面拌面5包</t>
        </is>
      </c>
      <c r="E60" s="148" t="n">
        <v>47.72</v>
      </c>
      <c r="F60" s="148">
        <f>IFERROR(E60/1.13,0)</f>
        <v/>
      </c>
      <c r="G60" s="149" t="n">
        <v>5</v>
      </c>
      <c r="H60" s="150">
        <f>IFERROR(G60/SUMIF($A:$A,A60,$G:$G),0)</f>
        <v/>
      </c>
      <c r="I60" s="148">
        <f>IFERROR(E60/G60,0)</f>
        <v/>
      </c>
      <c r="J60" s="148" t="n">
        <v>1.18078249622763</v>
      </c>
      <c r="K60" s="148" t="n">
        <v>4.63874757490837</v>
      </c>
      <c r="L60" s="151">
        <f>IFERROR(K60/J60,0)</f>
        <v/>
      </c>
      <c r="M60" s="148" t="n">
        <v>2.22640655313645</v>
      </c>
      <c r="N60" s="148" t="n">
        <v>4.41369907307609</v>
      </c>
      <c r="O60" s="151">
        <f>IFERROR(N60/M60,0)</f>
        <v/>
      </c>
      <c r="P60" s="148">
        <f>J60+M60</f>
        <v/>
      </c>
      <c r="Q60" s="148">
        <f>K60+N60</f>
        <v/>
      </c>
      <c r="R60" s="151">
        <f>IFERROR(Q60/P60,0)</f>
        <v/>
      </c>
      <c r="S60" s="150">
        <f>IFERROR(P60/SUMIF($A:$A,A60,$P:$P),0)</f>
        <v/>
      </c>
      <c r="T60" s="150">
        <f>IFERROR(P60/E60,0)</f>
        <v/>
      </c>
      <c r="U60" s="148">
        <f>E60-Q60</f>
        <v/>
      </c>
      <c r="V60" s="150">
        <f>IFERROR(U60/E60,0)</f>
        <v/>
      </c>
      <c r="W60" s="148">
        <f>IFERROR(VLOOKUP(A60,周报其他费用!$A:$B,2,FALSE)*H60,0)</f>
        <v/>
      </c>
      <c r="X60" s="148" t="n">
        <v>-15.273</v>
      </c>
      <c r="Y60" s="150">
        <f>IFERROR(X60/F60,0)</f>
        <v/>
      </c>
      <c r="Z60" s="148">
        <f>X60-J60/1.06</f>
        <v/>
      </c>
      <c r="AA60" s="150">
        <f>IFERROR(Z60/F60,0)</f>
        <v/>
      </c>
      <c r="AB60" s="148">
        <f>X60-(P60+W60)/1.06</f>
        <v/>
      </c>
      <c r="AC60" s="150">
        <f>IFERROR(AB60/F60,0)</f>
        <v/>
      </c>
    </row>
    <row r="61" ht="14.25" customHeight="1" s="65">
      <c r="A61" s="140" t="inlineStr">
        <is>
          <t>5.25-5.31</t>
        </is>
      </c>
      <c r="B61" s="141" t="n">
        <v>773972883430</v>
      </c>
      <c r="C61" s="140" t="inlineStr">
        <is>
          <t>日式袋面</t>
        </is>
      </c>
      <c r="D61" s="140" t="inlineStr">
        <is>
          <t>营多捞面韩式火鸡面辣蘑菇汤面袋装泡面辣味速食方便面宿舍宵夜面</t>
        </is>
      </c>
      <c r="E61" s="142" t="n">
        <v>120.41</v>
      </c>
      <c r="F61" s="142">
        <f>IFERROR(E61/1.13,0)</f>
        <v/>
      </c>
      <c r="G61" s="143" t="n">
        <v>5</v>
      </c>
      <c r="H61" s="144">
        <f>IFERROR(G61/SUMIF($A:$A,A61,$G:$G),0)</f>
        <v/>
      </c>
      <c r="I61" s="142">
        <f>IFERROR(E61/G61,0)</f>
        <v/>
      </c>
      <c r="J61" s="142" t="n">
        <v>4.67078249622763</v>
      </c>
      <c r="K61" s="142" t="n">
        <v>78.3387475749084</v>
      </c>
      <c r="L61" s="145">
        <f>IFERROR(K61/J61,0)</f>
        <v/>
      </c>
      <c r="M61" s="142" t="n">
        <v>2.22640655313645</v>
      </c>
      <c r="N61" s="142" t="n">
        <v>4.41369907307609</v>
      </c>
      <c r="O61" s="145">
        <f>IFERROR(N61/M61,0)</f>
        <v/>
      </c>
      <c r="P61" s="142">
        <f>J61+M61</f>
        <v/>
      </c>
      <c r="Q61" s="142">
        <f>K61+N61</f>
        <v/>
      </c>
      <c r="R61" s="145">
        <f>IFERROR(Q61/P61,0)</f>
        <v/>
      </c>
      <c r="S61" s="144">
        <f>IFERROR(P61/SUMIF($A:$A,A61,$P:$P),0)</f>
        <v/>
      </c>
      <c r="T61" s="144">
        <f>IFERROR(P61/E61,0)</f>
        <v/>
      </c>
      <c r="U61" s="142">
        <f>E61-Q61</f>
        <v/>
      </c>
      <c r="V61" s="144">
        <f>IFERROR(U61/E61,0)</f>
        <v/>
      </c>
      <c r="W61" s="142">
        <f>IFERROR(VLOOKUP(A61,周报其他费用!$A:$B,2,FALSE)*H61,0)</f>
        <v/>
      </c>
      <c r="X61" s="142" t="n">
        <v>15.545</v>
      </c>
      <c r="Y61" s="144">
        <f>IFERROR(X61/F61,0)</f>
        <v/>
      </c>
      <c r="Z61" s="142">
        <f>X61-J61/1.06</f>
        <v/>
      </c>
      <c r="AA61" s="144">
        <f>IFERROR(Z61/F61,0)</f>
        <v/>
      </c>
      <c r="AB61" s="142">
        <f>X61-(P61+W61)/1.06</f>
        <v/>
      </c>
      <c r="AC61" s="144">
        <f>IFERROR(AB61/F61,0)</f>
        <v/>
      </c>
    </row>
    <row r="62" ht="14.25" customHeight="1" s="65">
      <c r="A62" s="146" t="inlineStr">
        <is>
          <t>5.25-5.31</t>
        </is>
      </c>
      <c r="B62" s="147" t="n">
        <v>976466902934</v>
      </c>
      <c r="C62" s="146" t="inlineStr">
        <is>
          <t>【U选】日式原杯1+日式辣杯1</t>
        </is>
      </c>
      <c r="D62" s="146" t="inlineStr">
        <is>
          <t>【天猫U选】indomie营多捞面辣火鸡味日式鸡肉原味杯面</t>
        </is>
      </c>
      <c r="E62" s="148" t="n">
        <v>38.62</v>
      </c>
      <c r="F62" s="148">
        <f>IFERROR(E62/1.13,0)</f>
        <v/>
      </c>
      <c r="G62" s="149" t="n">
        <v>4</v>
      </c>
      <c r="H62" s="150">
        <f>IFERROR(G62/SUMIF($A:$A,A62,$G:$G),0)</f>
        <v/>
      </c>
      <c r="I62" s="148">
        <f>IFERROR(E62/G62,0)</f>
        <v/>
      </c>
      <c r="J62" s="148" t="n">
        <v>0.944625996982104</v>
      </c>
      <c r="K62" s="148" t="n">
        <v>3.7109980599267</v>
      </c>
      <c r="L62" s="151">
        <f>IFERROR(K62/J62,0)</f>
        <v/>
      </c>
      <c r="M62" s="148" t="n">
        <v>1.78112524250916</v>
      </c>
      <c r="N62" s="148" t="n">
        <v>3.53095925846087</v>
      </c>
      <c r="O62" s="151">
        <f>IFERROR(N62/M62,0)</f>
        <v/>
      </c>
      <c r="P62" s="148">
        <f>J62+M62</f>
        <v/>
      </c>
      <c r="Q62" s="148">
        <f>K62+N62</f>
        <v/>
      </c>
      <c r="R62" s="151">
        <f>IFERROR(Q62/P62,0)</f>
        <v/>
      </c>
      <c r="S62" s="150">
        <f>IFERROR(P62/SUMIF($A:$A,A62,$P:$P),0)</f>
        <v/>
      </c>
      <c r="T62" s="150">
        <f>IFERROR(P62/E62,0)</f>
        <v/>
      </c>
      <c r="U62" s="148">
        <f>E62-Q62</f>
        <v/>
      </c>
      <c r="V62" s="150">
        <f>IFERROR(U62/E62,0)</f>
        <v/>
      </c>
      <c r="W62" s="148">
        <f>IFERROR(VLOOKUP(A62,周报其他费用!$A:$B,2,FALSE)*H62,0)</f>
        <v/>
      </c>
      <c r="X62" s="148" t="n">
        <v>-6.24</v>
      </c>
      <c r="Y62" s="150">
        <f>IFERROR(X62/F62,0)</f>
        <v/>
      </c>
      <c r="Z62" s="148">
        <f>X62-J62/1.06</f>
        <v/>
      </c>
      <c r="AA62" s="150">
        <f>IFERROR(Z62/F62,0)</f>
        <v/>
      </c>
      <c r="AB62" s="148">
        <f>X62-(P62+W62)/1.06</f>
        <v/>
      </c>
      <c r="AC62" s="150">
        <f>IFERROR(AB62/F62,0)</f>
        <v/>
      </c>
    </row>
    <row r="63" ht="14.25" customHeight="1" s="65">
      <c r="A63" s="140" t="inlineStr">
        <is>
          <t>5.25-5.31</t>
        </is>
      </c>
      <c r="B63" s="141" t="n">
        <v>949962665617</v>
      </c>
      <c r="C63" s="140" t="inlineStr">
        <is>
          <t>组合</t>
        </is>
      </c>
      <c r="D63" s="140" t="inlineStr">
        <is>
          <t>营多捞面多口味袋装泡面拌面速食面干拌面方便面宿舍宵夜速食旅行</t>
        </is>
      </c>
      <c r="E63" s="142" t="n">
        <v>105.47</v>
      </c>
      <c r="F63" s="142">
        <f>IFERROR(E63/1.13,0)</f>
        <v/>
      </c>
      <c r="G63" s="143" t="n">
        <v>4</v>
      </c>
      <c r="H63" s="144">
        <f>IFERROR(G63/SUMIF($A:$A,A63,$G:$G),0)</f>
        <v/>
      </c>
      <c r="I63" s="142">
        <f>IFERROR(E63/G63,0)</f>
        <v/>
      </c>
      <c r="J63" s="142" t="n">
        <v>84.3146259969821</v>
      </c>
      <c r="K63" s="142" t="n">
        <v>128.340998059927</v>
      </c>
      <c r="L63" s="145">
        <f>IFERROR(K63/J63,0)</f>
        <v/>
      </c>
      <c r="M63" s="142" t="n">
        <v>1.78112524250916</v>
      </c>
      <c r="N63" s="142" t="n">
        <v>3.53095925846087</v>
      </c>
      <c r="O63" s="145">
        <f>IFERROR(N63/M63,0)</f>
        <v/>
      </c>
      <c r="P63" s="142">
        <f>J63+M63</f>
        <v/>
      </c>
      <c r="Q63" s="142">
        <f>K63+N63</f>
        <v/>
      </c>
      <c r="R63" s="145">
        <f>IFERROR(Q63/P63,0)</f>
        <v/>
      </c>
      <c r="S63" s="144">
        <f>IFERROR(P63/SUMIF($A:$A,A63,$P:$P),0)</f>
        <v/>
      </c>
      <c r="T63" s="144">
        <f>IFERROR(P63/E63,0)</f>
        <v/>
      </c>
      <c r="U63" s="142">
        <f>E63-Q63</f>
        <v/>
      </c>
      <c r="V63" s="144">
        <f>IFERROR(U63/E63,0)</f>
        <v/>
      </c>
      <c r="W63" s="142">
        <f>IFERROR(VLOOKUP(A63,周报其他费用!$A:$B,2,FALSE)*H63,0)</f>
        <v/>
      </c>
      <c r="X63" s="142" t="n">
        <v>13.312</v>
      </c>
      <c r="Y63" s="144">
        <f>IFERROR(X63/F63,0)</f>
        <v/>
      </c>
      <c r="Z63" s="142">
        <f>X63-J63/1.06</f>
        <v/>
      </c>
      <c r="AA63" s="144">
        <f>IFERROR(Z63/F63,0)</f>
        <v/>
      </c>
      <c r="AB63" s="142">
        <f>X63-(P63+W63)/1.06</f>
        <v/>
      </c>
      <c r="AC63" s="144">
        <f>IFERROR(AB63/F63,0)</f>
        <v/>
      </c>
    </row>
    <row r="64" ht="14.25" customHeight="1" s="65">
      <c r="A64" s="146" t="inlineStr">
        <is>
          <t>5.25-5.31</t>
        </is>
      </c>
      <c r="B64" s="147" t="n">
        <v>937005385662</v>
      </c>
      <c r="C64" s="146" t="inlineStr">
        <is>
          <t>日式袋面</t>
        </is>
      </c>
      <c r="D64" s="146" t="inlineStr">
        <is>
          <t>进口营多正品捞面日式鸡肉鸡汤辛辣味袋装泡面辣味速食方便面汤面</t>
        </is>
      </c>
      <c r="E64" s="148" t="n">
        <v>92.59999999999999</v>
      </c>
      <c r="F64" s="148">
        <f>IFERROR(E64/1.13,0)</f>
        <v/>
      </c>
      <c r="G64" s="149" t="n">
        <v>4</v>
      </c>
      <c r="H64" s="150">
        <f>IFERROR(G64/SUMIF($A:$A,A64,$G:$G),0)</f>
        <v/>
      </c>
      <c r="I64" s="148">
        <f>IFERROR(E64/G64,0)</f>
        <v/>
      </c>
      <c r="J64" s="148" t="n">
        <v>39.6446259969821</v>
      </c>
      <c r="K64" s="148" t="n">
        <v>51.7209980599267</v>
      </c>
      <c r="L64" s="151">
        <f>IFERROR(K64/J64,0)</f>
        <v/>
      </c>
      <c r="M64" s="148" t="n">
        <v>1.78112524250916</v>
      </c>
      <c r="N64" s="148" t="n">
        <v>3.53095925846087</v>
      </c>
      <c r="O64" s="151">
        <f>IFERROR(N64/M64,0)</f>
        <v/>
      </c>
      <c r="P64" s="148">
        <f>J64+M64</f>
        <v/>
      </c>
      <c r="Q64" s="148">
        <f>K64+N64</f>
        <v/>
      </c>
      <c r="R64" s="151">
        <f>IFERROR(Q64/P64,0)</f>
        <v/>
      </c>
      <c r="S64" s="150">
        <f>IFERROR(P64/SUMIF($A:$A,A64,$P:$P),0)</f>
        <v/>
      </c>
      <c r="T64" s="150">
        <f>IFERROR(P64/E64,0)</f>
        <v/>
      </c>
      <c r="U64" s="148">
        <f>E64-Q64</f>
        <v/>
      </c>
      <c r="V64" s="150">
        <f>IFERROR(U64/E64,0)</f>
        <v/>
      </c>
      <c r="W64" s="148">
        <f>IFERROR(VLOOKUP(A64,周报其他费用!$A:$B,2,FALSE)*H64,0)</f>
        <v/>
      </c>
      <c r="X64" s="148" t="n">
        <v>14.561</v>
      </c>
      <c r="Y64" s="150">
        <f>IFERROR(X64/F64,0)</f>
        <v/>
      </c>
      <c r="Z64" s="148">
        <f>X64-J64/1.06</f>
        <v/>
      </c>
      <c r="AA64" s="150">
        <f>IFERROR(Z64/F64,0)</f>
        <v/>
      </c>
      <c r="AB64" s="148">
        <f>X64-(P64+W64)/1.06</f>
        <v/>
      </c>
      <c r="AC64" s="150">
        <f>IFERROR(AB64/F64,0)</f>
        <v/>
      </c>
    </row>
    <row r="65" ht="14.25" customHeight="1" s="65">
      <c r="A65" s="140" t="inlineStr">
        <is>
          <t>5.25-5.31</t>
        </is>
      </c>
      <c r="B65" s="141" t="n">
        <v>885645733215</v>
      </c>
      <c r="C65" s="140" t="inlineStr">
        <is>
          <t>大骨牛肉</t>
        </is>
      </c>
      <c r="D65" s="140" t="inlineStr">
        <is>
          <t>进口营多大骨番茄牛肉味营多捞面意式泡面宿舍宿舍宵夜速食方便面</t>
        </is>
      </c>
      <c r="E65" s="142" t="n">
        <v>76.67</v>
      </c>
      <c r="F65" s="142">
        <f>IFERROR(E65/1.13,0)</f>
        <v/>
      </c>
      <c r="G65" s="143" t="n">
        <v>4</v>
      </c>
      <c r="H65" s="144">
        <f>IFERROR(G65/SUMIF($A:$A,A65,$G:$G),0)</f>
        <v/>
      </c>
      <c r="I65" s="142">
        <f>IFERROR(E65/G65,0)</f>
        <v/>
      </c>
      <c r="J65" s="142" t="n">
        <v>3.0246259969821</v>
      </c>
      <c r="K65" s="142" t="n">
        <v>3.7109980599267</v>
      </c>
      <c r="L65" s="145">
        <f>IFERROR(K65/J65,0)</f>
        <v/>
      </c>
      <c r="M65" s="142" t="n">
        <v>1.78112524250916</v>
      </c>
      <c r="N65" s="142" t="n">
        <v>3.53095925846087</v>
      </c>
      <c r="O65" s="145">
        <f>IFERROR(N65/M65,0)</f>
        <v/>
      </c>
      <c r="P65" s="142">
        <f>J65+M65</f>
        <v/>
      </c>
      <c r="Q65" s="142">
        <f>K65+N65</f>
        <v/>
      </c>
      <c r="R65" s="145">
        <f>IFERROR(Q65/P65,0)</f>
        <v/>
      </c>
      <c r="S65" s="144">
        <f>IFERROR(P65/SUMIF($A:$A,A65,$P:$P),0)</f>
        <v/>
      </c>
      <c r="T65" s="144">
        <f>IFERROR(P65/E65,0)</f>
        <v/>
      </c>
      <c r="U65" s="142">
        <f>E65-Q65</f>
        <v/>
      </c>
      <c r="V65" s="144">
        <f>IFERROR(U65/E65,0)</f>
        <v/>
      </c>
      <c r="W65" s="142">
        <f>IFERROR(VLOOKUP(A65,周报其他费用!$A:$B,2,FALSE)*H65,0)</f>
        <v/>
      </c>
      <c r="X65" s="142" t="n">
        <v>6.746</v>
      </c>
      <c r="Y65" s="144">
        <f>IFERROR(X65/F65,0)</f>
        <v/>
      </c>
      <c r="Z65" s="142">
        <f>X65-J65/1.06</f>
        <v/>
      </c>
      <c r="AA65" s="144">
        <f>IFERROR(Z65/F65,0)</f>
        <v/>
      </c>
      <c r="AB65" s="142">
        <f>X65-(P65+W65)/1.06</f>
        <v/>
      </c>
      <c r="AC65" s="144">
        <f>IFERROR(AB65/F65,0)</f>
        <v/>
      </c>
    </row>
    <row r="66" ht="14.25" customHeight="1" s="65">
      <c r="A66" s="146" t="inlineStr">
        <is>
          <t>5.25-5.31</t>
        </is>
      </c>
      <c r="B66" s="147" t="n">
        <v>1028450344901</v>
      </c>
      <c r="C66" s="146" t="inlineStr">
        <is>
          <t>韩式火鸡</t>
        </is>
      </c>
      <c r="D66" s="146" t="inlineStr">
        <is>
          <t>营多韩式火鸡面袋装拌面干拌面泡面方便面速食面宿舍宵夜旅行</t>
        </is>
      </c>
      <c r="E66" s="148" t="n">
        <v>96.63</v>
      </c>
      <c r="F66" s="148">
        <f>IFERROR(E66/1.13,0)</f>
        <v/>
      </c>
      <c r="G66" s="149" t="n">
        <v>4</v>
      </c>
      <c r="H66" s="150">
        <f>IFERROR(G66/SUMIF($A:$A,A66,$G:$G),0)</f>
        <v/>
      </c>
      <c r="I66" s="148">
        <f>IFERROR(E66/G66,0)</f>
        <v/>
      </c>
      <c r="J66" s="148" t="n">
        <v>5.3046259969821</v>
      </c>
      <c r="K66" s="148" t="n">
        <v>3.7109980599267</v>
      </c>
      <c r="L66" s="151">
        <f>IFERROR(K66/J66,0)</f>
        <v/>
      </c>
      <c r="M66" s="148" t="n">
        <v>1.78112524250916</v>
      </c>
      <c r="N66" s="148" t="n">
        <v>3.53095925846087</v>
      </c>
      <c r="O66" s="151">
        <f>IFERROR(N66/M66,0)</f>
        <v/>
      </c>
      <c r="P66" s="148">
        <f>J66+M66</f>
        <v/>
      </c>
      <c r="Q66" s="148">
        <f>K66+N66</f>
        <v/>
      </c>
      <c r="R66" s="151">
        <f>IFERROR(Q66/P66,0)</f>
        <v/>
      </c>
      <c r="S66" s="150">
        <f>IFERROR(P66/SUMIF($A:$A,A66,$P:$P),0)</f>
        <v/>
      </c>
      <c r="T66" s="150">
        <f>IFERROR(P66/E66,0)</f>
        <v/>
      </c>
      <c r="U66" s="148">
        <f>E66-Q66</f>
        <v/>
      </c>
      <c r="V66" s="150">
        <f>IFERROR(U66/E66,0)</f>
        <v/>
      </c>
      <c r="W66" s="148">
        <f>IFERROR(VLOOKUP(A66,周报其他费用!$A:$B,2,FALSE)*H66,0)</f>
        <v/>
      </c>
      <c r="X66" s="148" t="n">
        <v>9.231</v>
      </c>
      <c r="Y66" s="150">
        <f>IFERROR(X66/F66,0)</f>
        <v/>
      </c>
      <c r="Z66" s="148">
        <f>X66-J66/1.06</f>
        <v/>
      </c>
      <c r="AA66" s="150">
        <f>IFERROR(Z66/F66,0)</f>
        <v/>
      </c>
      <c r="AB66" s="148">
        <f>X66-(P66+W66)/1.06</f>
        <v/>
      </c>
      <c r="AC66" s="150">
        <f>IFERROR(AB66/F66,0)</f>
        <v/>
      </c>
    </row>
    <row r="67" ht="14.25" customHeight="1" s="65">
      <c r="A67" s="140" t="inlineStr">
        <is>
          <t>5.25-5.31</t>
        </is>
      </c>
      <c r="B67" s="141" t="n">
        <v>971242260371</v>
      </c>
      <c r="C67" s="140" t="inlineStr">
        <is>
          <t>韩式袋面</t>
        </is>
      </c>
      <c r="D67" s="140" t="inlineStr">
        <is>
          <t>新品营多捞面韩式辣蘑菇汤面泡面方便面速食干拌面宿舍宵夜旅行</t>
        </is>
      </c>
      <c r="E67" s="142" t="n">
        <v>49.29</v>
      </c>
      <c r="F67" s="142">
        <f>IFERROR(E67/1.13,0)</f>
        <v/>
      </c>
      <c r="G67" s="143" t="n">
        <v>3</v>
      </c>
      <c r="H67" s="144">
        <f>IFERROR(G67/SUMIF($A:$A,A67,$G:$G),0)</f>
        <v/>
      </c>
      <c r="I67" s="142">
        <f>IFERROR(E67/G67,0)</f>
        <v/>
      </c>
      <c r="J67" s="142" t="n">
        <v>61.9384694977366</v>
      </c>
      <c r="K67" s="142" t="n">
        <v>262.273248544945</v>
      </c>
      <c r="L67" s="145">
        <f>IFERROR(K67/J67,0)</f>
        <v/>
      </c>
      <c r="M67" s="142" t="n">
        <v>1.33584393188187</v>
      </c>
      <c r="N67" s="142" t="n">
        <v>2.64821944384566</v>
      </c>
      <c r="O67" s="145">
        <f>IFERROR(N67/M67,0)</f>
        <v/>
      </c>
      <c r="P67" s="142">
        <f>J67+M67</f>
        <v/>
      </c>
      <c r="Q67" s="142">
        <f>K67+N67</f>
        <v/>
      </c>
      <c r="R67" s="145">
        <f>IFERROR(Q67/P67,0)</f>
        <v/>
      </c>
      <c r="S67" s="144">
        <f>IFERROR(P67/SUMIF($A:$A,A67,$P:$P),0)</f>
        <v/>
      </c>
      <c r="T67" s="144">
        <f>IFERROR(P67/E67,0)</f>
        <v/>
      </c>
      <c r="U67" s="142">
        <f>E67-Q67</f>
        <v/>
      </c>
      <c r="V67" s="144">
        <f>IFERROR(U67/E67,0)</f>
        <v/>
      </c>
      <c r="W67" s="142">
        <f>IFERROR(VLOOKUP(A67,周报其他费用!$A:$B,2,FALSE)*H67,0)</f>
        <v/>
      </c>
      <c r="X67" s="142" t="n">
        <v>4.184</v>
      </c>
      <c r="Y67" s="144">
        <f>IFERROR(X67/F67,0)</f>
        <v/>
      </c>
      <c r="Z67" s="142">
        <f>X67-J67/1.06</f>
        <v/>
      </c>
      <c r="AA67" s="144">
        <f>IFERROR(Z67/F67,0)</f>
        <v/>
      </c>
      <c r="AB67" s="142">
        <f>X67-(P67+W67)/1.06</f>
        <v/>
      </c>
      <c r="AC67" s="144">
        <f>IFERROR(AB67/F67,0)</f>
        <v/>
      </c>
    </row>
    <row r="68" ht="14.25" customHeight="1" s="65">
      <c r="A68" s="146" t="inlineStr">
        <is>
          <t>5.25-5.31</t>
        </is>
      </c>
      <c r="B68" s="147" t="n">
        <v>916072786304</v>
      </c>
      <c r="C68" s="146" t="inlineStr">
        <is>
          <t>小规格</t>
        </is>
      </c>
      <c r="D68" s="146" t="inlineStr">
        <is>
          <t>营多印尼进口营多捞面方便面火鸡面干拌面10包宿舍速食泡面夜宵</t>
        </is>
      </c>
      <c r="E68" s="148" t="n">
        <v>59.43</v>
      </c>
      <c r="F68" s="148">
        <f>IFERROR(E68/1.13,0)</f>
        <v/>
      </c>
      <c r="G68" s="149" t="n">
        <v>3</v>
      </c>
      <c r="H68" s="150">
        <f>IFERROR(G68/SUMIF($A:$A,A68,$G:$G),0)</f>
        <v/>
      </c>
      <c r="I68" s="148">
        <f>IFERROR(E68/G68,0)</f>
        <v/>
      </c>
      <c r="J68" s="148" t="n">
        <v>1.72846949773658</v>
      </c>
      <c r="K68" s="148" t="n">
        <v>2.78324854494502</v>
      </c>
      <c r="L68" s="151">
        <f>IFERROR(K68/J68,0)</f>
        <v/>
      </c>
      <c r="M68" s="148" t="n">
        <v>1.33584393188187</v>
      </c>
      <c r="N68" s="148" t="n">
        <v>2.64821944384566</v>
      </c>
      <c r="O68" s="151">
        <f>IFERROR(N68/M68,0)</f>
        <v/>
      </c>
      <c r="P68" s="148">
        <f>J68+M68</f>
        <v/>
      </c>
      <c r="Q68" s="148">
        <f>K68+N68</f>
        <v/>
      </c>
      <c r="R68" s="151">
        <f>IFERROR(Q68/P68,0)</f>
        <v/>
      </c>
      <c r="S68" s="150">
        <f>IFERROR(P68/SUMIF($A:$A,A68,$P:$P),0)</f>
        <v/>
      </c>
      <c r="T68" s="150">
        <f>IFERROR(P68/E68,0)</f>
        <v/>
      </c>
      <c r="U68" s="148">
        <f>E68-Q68</f>
        <v/>
      </c>
      <c r="V68" s="150">
        <f>IFERROR(U68/E68,0)</f>
        <v/>
      </c>
      <c r="W68" s="148">
        <f>IFERROR(VLOOKUP(A68,周报其他费用!$A:$B,2,FALSE)*H68,0)</f>
        <v/>
      </c>
      <c r="X68" s="148" t="n">
        <v>3.496</v>
      </c>
      <c r="Y68" s="150">
        <f>IFERROR(X68/F68,0)</f>
        <v/>
      </c>
      <c r="Z68" s="148">
        <f>X68-J68/1.06</f>
        <v/>
      </c>
      <c r="AA68" s="150">
        <f>IFERROR(Z68/F68,0)</f>
        <v/>
      </c>
      <c r="AB68" s="148">
        <f>X68-(P68+W68)/1.06</f>
        <v/>
      </c>
      <c r="AC68" s="150">
        <f>IFERROR(AB68/F68,0)</f>
        <v/>
      </c>
    </row>
    <row r="69" ht="14.25" customHeight="1" s="65">
      <c r="A69" s="140" t="inlineStr">
        <is>
          <t>5.25-5.31</t>
        </is>
      </c>
      <c r="B69" s="141" t="n">
        <v>903183018417</v>
      </c>
      <c r="C69" s="140" t="inlineStr">
        <is>
          <t>七口味混搭</t>
        </is>
      </c>
      <c r="D69" s="140" t="inlineStr">
        <is>
          <t>进口营多捞面汤面拌面七口味混合方便面速拉面宿舍拌面泡面食食品</t>
        </is>
      </c>
      <c r="E69" s="142" t="n">
        <v>57.82</v>
      </c>
      <c r="F69" s="142">
        <f>IFERROR(E69/1.13,0)</f>
        <v/>
      </c>
      <c r="G69" s="143" t="n">
        <v>3</v>
      </c>
      <c r="H69" s="144">
        <f>IFERROR(G69/SUMIF($A:$A,A69,$G:$G),0)</f>
        <v/>
      </c>
      <c r="I69" s="142">
        <f>IFERROR(E69/G69,0)</f>
        <v/>
      </c>
      <c r="J69" s="142" t="n">
        <v>15.4584694977366</v>
      </c>
      <c r="K69" s="142" t="n">
        <v>21.243248544945</v>
      </c>
      <c r="L69" s="145">
        <f>IFERROR(K69/J69,0)</f>
        <v/>
      </c>
      <c r="M69" s="142" t="n">
        <v>1.33584393188187</v>
      </c>
      <c r="N69" s="142" t="n">
        <v>2.64821944384566</v>
      </c>
      <c r="O69" s="145">
        <f>IFERROR(N69/M69,0)</f>
        <v/>
      </c>
      <c r="P69" s="142">
        <f>J69+M69</f>
        <v/>
      </c>
      <c r="Q69" s="142">
        <f>K69+N69</f>
        <v/>
      </c>
      <c r="R69" s="145">
        <f>IFERROR(Q69/P69,0)</f>
        <v/>
      </c>
      <c r="S69" s="144">
        <f>IFERROR(P69/SUMIF($A:$A,A69,$P:$P),0)</f>
        <v/>
      </c>
      <c r="T69" s="144">
        <f>IFERROR(P69/E69,0)</f>
        <v/>
      </c>
      <c r="U69" s="142">
        <f>E69-Q69</f>
        <v/>
      </c>
      <c r="V69" s="144">
        <f>IFERROR(U69/E69,0)</f>
        <v/>
      </c>
      <c r="W69" s="142">
        <f>IFERROR(VLOOKUP(A69,周报其他费用!$A:$B,2,FALSE)*H69,0)</f>
        <v/>
      </c>
      <c r="X69" s="142" t="n">
        <v>4.48</v>
      </c>
      <c r="Y69" s="144">
        <f>IFERROR(X69/F69,0)</f>
        <v/>
      </c>
      <c r="Z69" s="142">
        <f>X69-J69/1.06</f>
        <v/>
      </c>
      <c r="AA69" s="144">
        <f>IFERROR(Z69/F69,0)</f>
        <v/>
      </c>
      <c r="AB69" s="142">
        <f>X69-(P69+W69)/1.06</f>
        <v/>
      </c>
      <c r="AC69" s="144">
        <f>IFERROR(AB69/F69,0)</f>
        <v/>
      </c>
    </row>
    <row r="70" ht="14.25" customHeight="1" s="65">
      <c r="A70" s="146" t="inlineStr">
        <is>
          <t>5.25-5.31</t>
        </is>
      </c>
      <c r="B70" s="147" t="n">
        <v>775016827115</v>
      </c>
      <c r="C70" s="146" t="inlineStr">
        <is>
          <t>杯面混搭</t>
        </is>
      </c>
      <c r="D70" s="146" t="inlineStr">
        <is>
          <t>进口营多原味杯面日式杯面韩式杯面泡面方便面汤面宿舍速食夜宵</t>
        </is>
      </c>
      <c r="E70" s="148" t="n">
        <v>82.91</v>
      </c>
      <c r="F70" s="148">
        <f>IFERROR(E70/1.13,0)</f>
        <v/>
      </c>
      <c r="G70" s="149" t="n">
        <v>3</v>
      </c>
      <c r="H70" s="150">
        <f>IFERROR(G70/SUMIF($A:$A,A70,$G:$G),0)</f>
        <v/>
      </c>
      <c r="I70" s="148">
        <f>IFERROR(E70/G70,0)</f>
        <v/>
      </c>
      <c r="J70" s="148" t="n">
        <v>5.59846949773658</v>
      </c>
      <c r="K70" s="148" t="n">
        <v>2.78324854494502</v>
      </c>
      <c r="L70" s="151">
        <f>IFERROR(K70/J70,0)</f>
        <v/>
      </c>
      <c r="M70" s="148" t="n">
        <v>1.33584393188187</v>
      </c>
      <c r="N70" s="148" t="n">
        <v>2.64821944384566</v>
      </c>
      <c r="O70" s="151">
        <f>IFERROR(N70/M70,0)</f>
        <v/>
      </c>
      <c r="P70" s="148">
        <f>J70+M70</f>
        <v/>
      </c>
      <c r="Q70" s="148">
        <f>K70+N70</f>
        <v/>
      </c>
      <c r="R70" s="151">
        <f>IFERROR(Q70/P70,0)</f>
        <v/>
      </c>
      <c r="S70" s="150">
        <f>IFERROR(P70/SUMIF($A:$A,A70,$P:$P),0)</f>
        <v/>
      </c>
      <c r="T70" s="150">
        <f>IFERROR(P70/E70,0)</f>
        <v/>
      </c>
      <c r="U70" s="148">
        <f>E70-Q70</f>
        <v/>
      </c>
      <c r="V70" s="150">
        <f>IFERROR(U70/E70,0)</f>
        <v/>
      </c>
      <c r="W70" s="148">
        <f>IFERROR(VLOOKUP(A70,周报其他费用!$A:$B,2,FALSE)*H70,0)</f>
        <v/>
      </c>
      <c r="X70" s="148" t="n">
        <v>10.303</v>
      </c>
      <c r="Y70" s="150">
        <f>IFERROR(X70/F70,0)</f>
        <v/>
      </c>
      <c r="Z70" s="148">
        <f>X70-J70/1.06</f>
        <v/>
      </c>
      <c r="AA70" s="150">
        <f>IFERROR(Z70/F70,0)</f>
        <v/>
      </c>
      <c r="AB70" s="148">
        <f>X70-(P70+W70)/1.06</f>
        <v/>
      </c>
      <c r="AC70" s="150">
        <f>IFERROR(AB70/F70,0)</f>
        <v/>
      </c>
    </row>
    <row r="71" ht="14.25" customHeight="1" s="65">
      <c r="A71" s="140" t="inlineStr">
        <is>
          <t>5.25-5.31</t>
        </is>
      </c>
      <c r="B71" s="141" t="n">
        <v>976467954327</v>
      </c>
      <c r="C71" s="140" t="inlineStr">
        <is>
          <t>日韩杯面</t>
        </is>
      </c>
      <c r="D71" s="140" t="inlineStr">
        <is>
          <t>【天猫U选】indomie营多捞面辣蘑菇味日式辣味杯面</t>
        </is>
      </c>
      <c r="E71" s="142" t="n">
        <v>18.55</v>
      </c>
      <c r="F71" s="142">
        <f>IFERROR(E71/1.13,0)</f>
        <v/>
      </c>
      <c r="G71" s="143" t="n">
        <v>2</v>
      </c>
      <c r="H71" s="144">
        <f>IFERROR(G71/SUMIF($A:$A,A71,$G:$G),0)</f>
        <v/>
      </c>
      <c r="I71" s="142">
        <f>IFERROR(E71/G71,0)</f>
        <v/>
      </c>
      <c r="J71" s="142" t="n">
        <v>0.472312998491052</v>
      </c>
      <c r="K71" s="142" t="n">
        <v>1.85549902996335</v>
      </c>
      <c r="L71" s="145">
        <f>IFERROR(K71/J71,0)</f>
        <v/>
      </c>
      <c r="M71" s="142" t="n">
        <v>0.890562621254581</v>
      </c>
      <c r="N71" s="142" t="n">
        <v>1.76547962923044</v>
      </c>
      <c r="O71" s="145">
        <f>IFERROR(N71/M71,0)</f>
        <v/>
      </c>
      <c r="P71" s="142">
        <f>J71+M71</f>
        <v/>
      </c>
      <c r="Q71" s="142">
        <f>K71+N71</f>
        <v/>
      </c>
      <c r="R71" s="145">
        <f>IFERROR(Q71/P71,0)</f>
        <v/>
      </c>
      <c r="S71" s="144">
        <f>IFERROR(P71/SUMIF($A:$A,A71,$P:$P),0)</f>
        <v/>
      </c>
      <c r="T71" s="144">
        <f>IFERROR(P71/E71,0)</f>
        <v/>
      </c>
      <c r="U71" s="142">
        <f>E71-Q71</f>
        <v/>
      </c>
      <c r="V71" s="144">
        <f>IFERROR(U71/E71,0)</f>
        <v/>
      </c>
      <c r="W71" s="142">
        <f>IFERROR(VLOOKUP(A71,周报其他费用!$A:$B,2,FALSE)*H71,0)</f>
        <v/>
      </c>
      <c r="X71" s="142" t="n">
        <v>-3.742</v>
      </c>
      <c r="Y71" s="144">
        <f>IFERROR(X71/F71,0)</f>
        <v/>
      </c>
      <c r="Z71" s="142">
        <f>X71-J71/1.06</f>
        <v/>
      </c>
      <c r="AA71" s="144">
        <f>IFERROR(Z71/F71,0)</f>
        <v/>
      </c>
      <c r="AB71" s="142">
        <f>X71-(P71+W71)/1.06</f>
        <v/>
      </c>
      <c r="AC71" s="144">
        <f>IFERROR(AB71/F71,0)</f>
        <v/>
      </c>
    </row>
    <row r="72" ht="14.25" customHeight="1" s="65">
      <c r="A72" s="146" t="inlineStr">
        <is>
          <t>5.25-5.31</t>
        </is>
      </c>
      <c r="B72" s="147" t="n">
        <v>965545088099</v>
      </c>
      <c r="C72" s="146" t="inlineStr">
        <is>
          <t>十口味混搭</t>
        </is>
      </c>
      <c r="D72" s="146" t="inlineStr">
        <is>
          <t>营多捞面多口味袋装泡面拌面速食面干拌面方便面速食宵夜宿舍旅行</t>
        </is>
      </c>
      <c r="E72" s="148" t="n">
        <v>67.01000000000001</v>
      </c>
      <c r="F72" s="148">
        <f>IFERROR(E72/1.13,0)</f>
        <v/>
      </c>
      <c r="G72" s="149" t="n">
        <v>2</v>
      </c>
      <c r="H72" s="150">
        <f>IFERROR(G72/SUMIF($A:$A,A72,$G:$G),0)</f>
        <v/>
      </c>
      <c r="I72" s="148">
        <f>IFERROR(E72/G72,0)</f>
        <v/>
      </c>
      <c r="J72" s="148" t="n">
        <v>1.76231299849105</v>
      </c>
      <c r="K72" s="148" t="n">
        <v>1.85549902996335</v>
      </c>
      <c r="L72" s="151">
        <f>IFERROR(K72/J72,0)</f>
        <v/>
      </c>
      <c r="M72" s="148" t="n">
        <v>0.890562621254581</v>
      </c>
      <c r="N72" s="148" t="n">
        <v>1.76547962923044</v>
      </c>
      <c r="O72" s="151">
        <f>IFERROR(N72/M72,0)</f>
        <v/>
      </c>
      <c r="P72" s="148">
        <f>J72+M72</f>
        <v/>
      </c>
      <c r="Q72" s="148">
        <f>K72+N72</f>
        <v/>
      </c>
      <c r="R72" s="151">
        <f>IFERROR(Q72/P72,0)</f>
        <v/>
      </c>
      <c r="S72" s="150">
        <f>IFERROR(P72/SUMIF($A:$A,A72,$P:$P),0)</f>
        <v/>
      </c>
      <c r="T72" s="150">
        <f>IFERROR(P72/E72,0)</f>
        <v/>
      </c>
      <c r="U72" s="148">
        <f>E72-Q72</f>
        <v/>
      </c>
      <c r="V72" s="150">
        <f>IFERROR(U72/E72,0)</f>
        <v/>
      </c>
      <c r="W72" s="148">
        <f>IFERROR(VLOOKUP(A72,周报其他费用!$A:$B,2,FALSE)*H72,0)</f>
        <v/>
      </c>
      <c r="X72" s="148" t="n">
        <v>16.695</v>
      </c>
      <c r="Y72" s="150">
        <f>IFERROR(X72/F72,0)</f>
        <v/>
      </c>
      <c r="Z72" s="148">
        <f>X72-J72/1.06</f>
        <v/>
      </c>
      <c r="AA72" s="150">
        <f>IFERROR(Z72/F72,0)</f>
        <v/>
      </c>
      <c r="AB72" s="148">
        <f>X72-(P72+W72)/1.06</f>
        <v/>
      </c>
      <c r="AC72" s="150">
        <f>IFERROR(AB72/F72,0)</f>
        <v/>
      </c>
    </row>
    <row r="73" ht="14.25" customHeight="1" s="65">
      <c r="A73" s="140" t="inlineStr">
        <is>
          <t>5.25-5.31</t>
        </is>
      </c>
      <c r="B73" s="141" t="n">
        <v>947413291596</v>
      </c>
      <c r="C73" s="140" t="inlineStr">
        <is>
          <t>杯面</t>
        </is>
      </c>
      <c r="D73" s="140" t="inlineStr">
        <is>
          <t>营多捞面杯装方便面泡面速食干拌面原味整箱批发印尼进口桶装拌面</t>
        </is>
      </c>
      <c r="E73" s="142" t="n">
        <v>51.51</v>
      </c>
      <c r="F73" s="142">
        <f>IFERROR(E73/1.13,0)</f>
        <v/>
      </c>
      <c r="G73" s="143" t="n">
        <v>2</v>
      </c>
      <c r="H73" s="144">
        <f>IFERROR(G73/SUMIF($A:$A,A73,$G:$G),0)</f>
        <v/>
      </c>
      <c r="I73" s="142">
        <f>IFERROR(E73/G73,0)</f>
        <v/>
      </c>
      <c r="J73" s="142" t="n">
        <v>7.90231299849105</v>
      </c>
      <c r="K73" s="142" t="n">
        <v>53.3654990299633</v>
      </c>
      <c r="L73" s="145">
        <f>IFERROR(K73/J73,0)</f>
        <v/>
      </c>
      <c r="M73" s="142" t="n">
        <v>0.890562621254581</v>
      </c>
      <c r="N73" s="142" t="n">
        <v>1.76547962923044</v>
      </c>
      <c r="O73" s="145">
        <f>IFERROR(N73/M73,0)</f>
        <v/>
      </c>
      <c r="P73" s="142">
        <f>J73+M73</f>
        <v/>
      </c>
      <c r="Q73" s="142">
        <f>K73+N73</f>
        <v/>
      </c>
      <c r="R73" s="145">
        <f>IFERROR(Q73/P73,0)</f>
        <v/>
      </c>
      <c r="S73" s="144">
        <f>IFERROR(P73/SUMIF($A:$A,A73,$P:$P),0)</f>
        <v/>
      </c>
      <c r="T73" s="144">
        <f>IFERROR(P73/E73,0)</f>
        <v/>
      </c>
      <c r="U73" s="142">
        <f>E73-Q73</f>
        <v/>
      </c>
      <c r="V73" s="144">
        <f>IFERROR(U73/E73,0)</f>
        <v/>
      </c>
      <c r="W73" s="142">
        <f>IFERROR(VLOOKUP(A73,周报其他费用!$A:$B,2,FALSE)*H73,0)</f>
        <v/>
      </c>
      <c r="X73" s="142" t="n">
        <v>3.787</v>
      </c>
      <c r="Y73" s="144">
        <f>IFERROR(X73/F73,0)</f>
        <v/>
      </c>
      <c r="Z73" s="142">
        <f>X73-J73/1.06</f>
        <v/>
      </c>
      <c r="AA73" s="144">
        <f>IFERROR(Z73/F73,0)</f>
        <v/>
      </c>
      <c r="AB73" s="142">
        <f>X73-(P73+W73)/1.06</f>
        <v/>
      </c>
      <c r="AC73" s="144">
        <f>IFERROR(AB73/F73,0)</f>
        <v/>
      </c>
    </row>
    <row r="74" ht="14.25" customHeight="1" s="65">
      <c r="A74" s="146" t="inlineStr">
        <is>
          <t>5.25-5.31</t>
        </is>
      </c>
      <c r="B74" s="147" t="n">
        <v>975092562679</v>
      </c>
      <c r="C74" s="146" t="inlineStr">
        <is>
          <t>杯面混搭</t>
        </is>
      </c>
      <c r="D74" s="146" t="inlineStr">
        <is>
          <t>营多韩式甜辣炸鸡火鸡面辣蘑菇杯面拌面泡面方便面速食宵夜旅行</t>
        </is>
      </c>
      <c r="E74" s="148" t="n">
        <v>23.61</v>
      </c>
      <c r="F74" s="148">
        <f>IFERROR(E74/1.13,0)</f>
        <v/>
      </c>
      <c r="G74" s="149" t="n">
        <v>1</v>
      </c>
      <c r="H74" s="150">
        <f>IFERROR(G74/SUMIF($A:$A,A74,$G:$G),0)</f>
        <v/>
      </c>
      <c r="I74" s="148">
        <f>IFERROR(E74/G74,0)</f>
        <v/>
      </c>
      <c r="J74" s="148" t="n">
        <v>1.25615649924553</v>
      </c>
      <c r="K74" s="148" t="n">
        <v>0.927749514981674</v>
      </c>
      <c r="L74" s="151">
        <f>IFERROR(K74/J74,0)</f>
        <v/>
      </c>
      <c r="M74" s="148" t="n">
        <v>0.44528131062729</v>
      </c>
      <c r="N74" s="148" t="n">
        <v>0.882739814615219</v>
      </c>
      <c r="O74" s="151">
        <f>IFERROR(N74/M74,0)</f>
        <v/>
      </c>
      <c r="P74" s="148">
        <f>J74+M74</f>
        <v/>
      </c>
      <c r="Q74" s="148">
        <f>K74+N74</f>
        <v/>
      </c>
      <c r="R74" s="151">
        <f>IFERROR(Q74/P74,0)</f>
        <v/>
      </c>
      <c r="S74" s="150">
        <f>IFERROR(P74/SUMIF($A:$A,A74,$P:$P),0)</f>
        <v/>
      </c>
      <c r="T74" s="150">
        <f>IFERROR(P74/E74,0)</f>
        <v/>
      </c>
      <c r="U74" s="148">
        <f>E74-Q74</f>
        <v/>
      </c>
      <c r="V74" s="150">
        <f>IFERROR(U74/E74,0)</f>
        <v/>
      </c>
      <c r="W74" s="148">
        <f>IFERROR(VLOOKUP(A74,周报其他费用!$A:$B,2,FALSE)*H74,0)</f>
        <v/>
      </c>
      <c r="X74" s="148" t="n">
        <v>4.145</v>
      </c>
      <c r="Y74" s="150">
        <f>IFERROR(X74/F74,0)</f>
        <v/>
      </c>
      <c r="Z74" s="148">
        <f>X74-J74/1.06</f>
        <v/>
      </c>
      <c r="AA74" s="150">
        <f>IFERROR(Z74/F74,0)</f>
        <v/>
      </c>
      <c r="AB74" s="148">
        <f>X74-(P74+W74)/1.06</f>
        <v/>
      </c>
      <c r="AC74" s="150">
        <f>IFERROR(AB74/F74,0)</f>
        <v/>
      </c>
    </row>
    <row r="75" ht="14.25" customHeight="1" s="65">
      <c r="A75" s="140" t="inlineStr">
        <is>
          <t>5.25-5.31</t>
        </is>
      </c>
      <c r="B75" s="141" t="n">
        <v>898120785283</v>
      </c>
      <c r="C75" s="140" t="inlineStr">
        <is>
          <t>番茄</t>
        </is>
      </c>
      <c r="D75" s="140" t="inlineStr">
        <is>
          <t>进口意大利面风味奶香番茄牛肉味意式营多早餐儿童宝妈家庭餐拌面</t>
        </is>
      </c>
      <c r="E75" s="142" t="n">
        <v>22.38</v>
      </c>
      <c r="F75" s="142">
        <f>IFERROR(E75/1.13,0)</f>
        <v/>
      </c>
      <c r="G75" s="143" t="n">
        <v>1</v>
      </c>
      <c r="H75" s="144">
        <f>IFERROR(G75/SUMIF($A:$A,A75,$G:$G),0)</f>
        <v/>
      </c>
      <c r="I75" s="142">
        <f>IFERROR(E75/G75,0)</f>
        <v/>
      </c>
      <c r="J75" s="142" t="n">
        <v>4.02615649924553</v>
      </c>
      <c r="K75" s="142" t="n">
        <v>23.3077495149817</v>
      </c>
      <c r="L75" s="145">
        <f>IFERROR(K75/J75,0)</f>
        <v/>
      </c>
      <c r="M75" s="142" t="n">
        <v>0.44528131062729</v>
      </c>
      <c r="N75" s="142" t="n">
        <v>0.882739814615219</v>
      </c>
      <c r="O75" s="145">
        <f>IFERROR(N75/M75,0)</f>
        <v/>
      </c>
      <c r="P75" s="142">
        <f>J75+M75</f>
        <v/>
      </c>
      <c r="Q75" s="142">
        <f>K75+N75</f>
        <v/>
      </c>
      <c r="R75" s="145">
        <f>IFERROR(Q75/P75,0)</f>
        <v/>
      </c>
      <c r="S75" s="144">
        <f>IFERROR(P75/SUMIF($A:$A,A75,$P:$P),0)</f>
        <v/>
      </c>
      <c r="T75" s="144">
        <f>IFERROR(P75/E75,0)</f>
        <v/>
      </c>
      <c r="U75" s="142">
        <f>E75-Q75</f>
        <v/>
      </c>
      <c r="V75" s="144">
        <f>IFERROR(U75/E75,0)</f>
        <v/>
      </c>
      <c r="W75" s="142">
        <f>IFERROR(VLOOKUP(A75,周报其他费用!$A:$B,2,FALSE)*H75,0)</f>
        <v/>
      </c>
      <c r="X75" s="142" t="n">
        <v>1.177</v>
      </c>
      <c r="Y75" s="144">
        <f>IFERROR(X75/F75,0)</f>
        <v/>
      </c>
      <c r="Z75" s="142">
        <f>X75-J75/1.06</f>
        <v/>
      </c>
      <c r="AA75" s="144">
        <f>IFERROR(Z75/F75,0)</f>
        <v/>
      </c>
      <c r="AB75" s="142">
        <f>X75-(P75+W75)/1.06</f>
        <v/>
      </c>
      <c r="AC75" s="144">
        <f>IFERROR(AB75/F75,0)</f>
        <v/>
      </c>
    </row>
    <row r="76" ht="14.25" customHeight="1" s="65">
      <c r="A76" s="146" t="inlineStr">
        <is>
          <t>5.25-5.31</t>
        </is>
      </c>
      <c r="B76" s="147" t="n">
        <v>869217868453</v>
      </c>
      <c r="C76" s="146" t="inlineStr">
        <is>
          <t>韩式杯面</t>
        </is>
      </c>
      <c r="D76" s="146" t="inlineStr">
        <is>
          <t>营多捞面韩式甜辣炸鸡辣蘑菇杯面方便面拌面泡面宿舍速食面</t>
        </is>
      </c>
      <c r="E76" s="148" t="n">
        <v>27.25</v>
      </c>
      <c r="F76" s="148">
        <f>IFERROR(E76/1.13,0)</f>
        <v/>
      </c>
      <c r="G76" s="149" t="n">
        <v>1</v>
      </c>
      <c r="H76" s="150">
        <f>IFERROR(G76/SUMIF($A:$A,A76,$G:$G),0)</f>
        <v/>
      </c>
      <c r="I76" s="148">
        <f>IFERROR(E76/G76,0)</f>
        <v/>
      </c>
      <c r="J76" s="148" t="n">
        <v>3.58615649924553</v>
      </c>
      <c r="K76" s="148" t="n">
        <v>0.927749514981674</v>
      </c>
      <c r="L76" s="151">
        <f>IFERROR(K76/J76,0)</f>
        <v/>
      </c>
      <c r="M76" s="148" t="n">
        <v>0.44528131062729</v>
      </c>
      <c r="N76" s="148" t="n">
        <v>0.882739814615219</v>
      </c>
      <c r="O76" s="151">
        <f>IFERROR(N76/M76,0)</f>
        <v/>
      </c>
      <c r="P76" s="148">
        <f>J76+M76</f>
        <v/>
      </c>
      <c r="Q76" s="148">
        <f>K76+N76</f>
        <v/>
      </c>
      <c r="R76" s="151">
        <f>IFERROR(Q76/P76,0)</f>
        <v/>
      </c>
      <c r="S76" s="150">
        <f>IFERROR(P76/SUMIF($A:$A,A76,$P:$P),0)</f>
        <v/>
      </c>
      <c r="T76" s="150">
        <f>IFERROR(P76/E76,0)</f>
        <v/>
      </c>
      <c r="U76" s="148">
        <f>E76-Q76</f>
        <v/>
      </c>
      <c r="V76" s="150">
        <f>IFERROR(U76/E76,0)</f>
        <v/>
      </c>
      <c r="W76" s="148">
        <f>IFERROR(VLOOKUP(A76,周报其他费用!$A:$B,2,FALSE)*H76,0)</f>
        <v/>
      </c>
      <c r="X76" s="148" t="n">
        <v>3.118</v>
      </c>
      <c r="Y76" s="150">
        <f>IFERROR(X76/F76,0)</f>
        <v/>
      </c>
      <c r="Z76" s="148">
        <f>X76-J76/1.06</f>
        <v/>
      </c>
      <c r="AA76" s="150">
        <f>IFERROR(Z76/F76,0)</f>
        <v/>
      </c>
      <c r="AB76" s="148">
        <f>X76-(P76+W76)/1.06</f>
        <v/>
      </c>
      <c r="AC76" s="150">
        <f>IFERROR(AB76/F76,0)</f>
        <v/>
      </c>
    </row>
    <row r="77" ht="14.25" customHeight="1" s="65">
      <c r="A77" s="140" t="inlineStr">
        <is>
          <t>5.25-5.31</t>
        </is>
      </c>
      <c r="B77" s="141" t="n">
        <v>754828376158</v>
      </c>
      <c r="C77" s="140" t="inlineStr">
        <is>
          <t>六口味混搭</t>
        </is>
      </c>
      <c r="D77" s="140" t="inlineStr">
        <is>
          <t>进口营多捞面汤面拌面六口味混合方便面速食食品泡面</t>
        </is>
      </c>
      <c r="E77" s="142" t="n">
        <v>16.9</v>
      </c>
      <c r="F77" s="142">
        <f>IFERROR(E77/1.13,0)</f>
        <v/>
      </c>
      <c r="G77" s="143" t="n">
        <v>1</v>
      </c>
      <c r="H77" s="144">
        <f>IFERROR(G77/SUMIF($A:$A,A77,$G:$G),0)</f>
        <v/>
      </c>
      <c r="I77" s="142">
        <f>IFERROR(E77/G77,0)</f>
        <v/>
      </c>
      <c r="J77" s="142" t="n">
        <v>0.806156499245526</v>
      </c>
      <c r="K77" s="142" t="n">
        <v>0.927749514981674</v>
      </c>
      <c r="L77" s="145">
        <f>IFERROR(K77/J77,0)</f>
        <v/>
      </c>
      <c r="M77" s="142" t="n">
        <v>0.44528131062729</v>
      </c>
      <c r="N77" s="142" t="n">
        <v>0.882739814615219</v>
      </c>
      <c r="O77" s="145">
        <f>IFERROR(N77/M77,0)</f>
        <v/>
      </c>
      <c r="P77" s="142">
        <f>J77+M77</f>
        <v/>
      </c>
      <c r="Q77" s="142">
        <f>K77+N77</f>
        <v/>
      </c>
      <c r="R77" s="145">
        <f>IFERROR(Q77/P77,0)</f>
        <v/>
      </c>
      <c r="S77" s="144">
        <f>IFERROR(P77/SUMIF($A:$A,A77,$P:$P),0)</f>
        <v/>
      </c>
      <c r="T77" s="144">
        <f>IFERROR(P77/E77,0)</f>
        <v/>
      </c>
      <c r="U77" s="142">
        <f>E77-Q77</f>
        <v/>
      </c>
      <c r="V77" s="144">
        <f>IFERROR(U77/E77,0)</f>
        <v/>
      </c>
      <c r="W77" s="142">
        <f>IFERROR(VLOOKUP(A77,周报其他费用!$A:$B,2,FALSE)*H77,0)</f>
        <v/>
      </c>
      <c r="X77" s="142" t="n">
        <v>1.49</v>
      </c>
      <c r="Y77" s="144">
        <f>IFERROR(X77/F77,0)</f>
        <v/>
      </c>
      <c r="Z77" s="142">
        <f>X77-J77/1.06</f>
        <v/>
      </c>
      <c r="AA77" s="144">
        <f>IFERROR(Z77/F77,0)</f>
        <v/>
      </c>
      <c r="AB77" s="142">
        <f>X77-(P77+W77)/1.06</f>
        <v/>
      </c>
      <c r="AC77" s="144">
        <f>IFERROR(AB77/F77,0)</f>
        <v/>
      </c>
    </row>
    <row r="78" ht="14.25" customHeight="1" s="65">
      <c r="A78" s="146" t="inlineStr">
        <is>
          <t>5.25-5.31</t>
        </is>
      </c>
      <c r="B78" s="147" t="n">
        <v>649731447266</v>
      </c>
      <c r="C78" s="146" t="inlineStr">
        <is>
          <t>20包经典/牛系列</t>
        </is>
      </c>
      <c r="D78" s="146" t="inlineStr">
        <is>
          <t>营多印尼进口营多捞面方便面火鸡面干拌面20包宿舍速食泡面夜宵</t>
        </is>
      </c>
      <c r="E78" s="148" t="n">
        <v>48.8</v>
      </c>
      <c r="F78" s="148">
        <f>IFERROR(E78/1.13,0)</f>
        <v/>
      </c>
      <c r="G78" s="149" t="n">
        <v>1</v>
      </c>
      <c r="H78" s="150">
        <f>IFERROR(G78/SUMIF($A:$A,A78,$G:$G),0)</f>
        <v/>
      </c>
      <c r="I78" s="148">
        <f>IFERROR(E78/G78,0)</f>
        <v/>
      </c>
      <c r="J78" s="148" t="n">
        <v>15.5661564992455</v>
      </c>
      <c r="K78" s="148" t="n">
        <v>0.927749514981674</v>
      </c>
      <c r="L78" s="151">
        <f>IFERROR(K78/J78,0)</f>
        <v/>
      </c>
      <c r="M78" s="148" t="n">
        <v>0.44528131062729</v>
      </c>
      <c r="N78" s="148" t="n">
        <v>0.882739814615219</v>
      </c>
      <c r="O78" s="151">
        <f>IFERROR(N78/M78,0)</f>
        <v/>
      </c>
      <c r="P78" s="148">
        <f>J78+M78</f>
        <v/>
      </c>
      <c r="Q78" s="148">
        <f>K78+N78</f>
        <v/>
      </c>
      <c r="R78" s="151">
        <f>IFERROR(Q78/P78,0)</f>
        <v/>
      </c>
      <c r="S78" s="150">
        <f>IFERROR(P78/SUMIF($A:$A,A78,$P:$P),0)</f>
        <v/>
      </c>
      <c r="T78" s="150">
        <f>IFERROR(P78/E78,0)</f>
        <v/>
      </c>
      <c r="U78" s="148">
        <f>E78-Q78</f>
        <v/>
      </c>
      <c r="V78" s="150">
        <f>IFERROR(U78/E78,0)</f>
        <v/>
      </c>
      <c r="W78" s="148">
        <f>IFERROR(VLOOKUP(A78,周报其他费用!$A:$B,2,FALSE)*H78,0)</f>
        <v/>
      </c>
      <c r="X78" s="148" t="n">
        <v>10.213</v>
      </c>
      <c r="Y78" s="150">
        <f>IFERROR(X78/F78,0)</f>
        <v/>
      </c>
      <c r="Z78" s="148">
        <f>X78-J78/1.06</f>
        <v/>
      </c>
      <c r="AA78" s="150">
        <f>IFERROR(Z78/F78,0)</f>
        <v/>
      </c>
      <c r="AB78" s="148">
        <f>X78-(P78+W78)/1.06</f>
        <v/>
      </c>
      <c r="AC78" s="150">
        <f>IFERROR(AB78/F78,0)</f>
        <v/>
      </c>
    </row>
    <row r="79" ht="14.25" customHeight="1" s="65">
      <c r="A79" s="140" t="inlineStr">
        <is>
          <t>6.15-6.21</t>
        </is>
      </c>
      <c r="B79" s="141" t="n">
        <v>649361890551</v>
      </c>
      <c r="C79" s="140" t="inlineStr">
        <is>
          <t>袋面次链接</t>
        </is>
      </c>
      <c r="D79" s="140" t="inlineStr">
        <is>
          <t>营多捞面印尼进口Indomie网红夜宵早餐方便面火鸡面泡面拌面</t>
        </is>
      </c>
      <c r="E79" s="142" t="n">
        <v>24398.0900000003</v>
      </c>
      <c r="F79" s="142">
        <f>IFERROR(E79/1.13,0)</f>
        <v/>
      </c>
      <c r="G79" s="143" t="n">
        <v>1311</v>
      </c>
      <c r="H79" s="144">
        <f>IFERROR(G79/SUMIF($A:$A,A79,$G:$G),0)</f>
        <v/>
      </c>
      <c r="I79" s="142">
        <f>IFERROR(E79/G79,0)</f>
        <v/>
      </c>
      <c r="J79" s="142" t="n">
        <v>4515.02616766467</v>
      </c>
      <c r="K79" s="142" t="n">
        <v>18942.3613173653</v>
      </c>
      <c r="L79" s="145">
        <f>IFERROR(K79/J79,0)</f>
        <v/>
      </c>
      <c r="M79" s="142" t="n">
        <v>698.540119760479</v>
      </c>
      <c r="N79" s="142" t="n">
        <v>1509.6774251497</v>
      </c>
      <c r="O79" s="145">
        <f>IFERROR(N79/M79,0)</f>
        <v/>
      </c>
      <c r="P79" s="142">
        <f>J79+M79</f>
        <v/>
      </c>
      <c r="Q79" s="142">
        <f>K79+N79</f>
        <v/>
      </c>
      <c r="R79" s="145">
        <f>IFERROR(Q79/P79,0)</f>
        <v/>
      </c>
      <c r="S79" s="144">
        <f>IFERROR(P79/SUMIF($A:$A,A79,$P:$P),0)</f>
        <v/>
      </c>
      <c r="T79" s="144">
        <f>IFERROR(P79/E79,0)</f>
        <v/>
      </c>
      <c r="U79" s="142">
        <f>E79-Q79</f>
        <v/>
      </c>
      <c r="V79" s="144">
        <f>IFERROR(U79/E79,0)</f>
        <v/>
      </c>
      <c r="W79" s="142">
        <f>IFERROR(VLOOKUP(A79,周报其他费用!$A:$B,2,FALSE)*H79,0)</f>
        <v/>
      </c>
      <c r="X79" s="142" t="n">
        <v>2293.63</v>
      </c>
      <c r="Y79" s="144">
        <f>IFERROR(X79/F79,0)</f>
        <v/>
      </c>
      <c r="Z79" s="142">
        <f>X79-J79/1.06</f>
        <v/>
      </c>
      <c r="AA79" s="144">
        <f>IFERROR(Z79/F79,0)</f>
        <v/>
      </c>
      <c r="AB79" s="142">
        <f>X79-(P79+W79)/1.06</f>
        <v/>
      </c>
      <c r="AC79" s="144">
        <f>IFERROR(AB79/F79,0)</f>
        <v/>
      </c>
    </row>
    <row r="80" ht="14.25" customHeight="1" s="65">
      <c r="A80" s="146" t="inlineStr">
        <is>
          <t>6.15-6.21</t>
        </is>
      </c>
      <c r="B80" s="147" t="n">
        <v>668566625747</v>
      </c>
      <c r="C80" s="146" t="inlineStr">
        <is>
          <t>袋面主链接</t>
        </is>
      </c>
      <c r="D80" s="146" t="inlineStr">
        <is>
          <t>印尼营多捞面进口网红泡面袋装方便面速食食品拉面火鸡面拌面整箱</t>
        </is>
      </c>
      <c r="E80" s="148" t="n">
        <v>30425.7500000004</v>
      </c>
      <c r="F80" s="148">
        <f>IFERROR(E80/1.13,0)</f>
        <v/>
      </c>
      <c r="G80" s="149" t="n">
        <v>1178</v>
      </c>
      <c r="H80" s="150">
        <f>IFERROR(G80/SUMIF($A:$A,A80,$G:$G),0)</f>
        <v/>
      </c>
      <c r="I80" s="148">
        <f>IFERROR(E80/G80,0)</f>
        <v/>
      </c>
      <c r="J80" s="148" t="n">
        <v>4022.74322311898</v>
      </c>
      <c r="K80" s="148" t="n">
        <v>18336.4684300963</v>
      </c>
      <c r="L80" s="151">
        <f>IFERROR(K80/J80,0)</f>
        <v/>
      </c>
      <c r="M80" s="148" t="n">
        <v>627.673730799271</v>
      </c>
      <c r="N80" s="148" t="n">
        <v>1356.52174433741</v>
      </c>
      <c r="O80" s="151">
        <f>IFERROR(N80/M80,0)</f>
        <v/>
      </c>
      <c r="P80" s="148">
        <f>J80+M80</f>
        <v/>
      </c>
      <c r="Q80" s="148">
        <f>K80+N80</f>
        <v/>
      </c>
      <c r="R80" s="151">
        <f>IFERROR(Q80/P80,0)</f>
        <v/>
      </c>
      <c r="S80" s="150">
        <f>IFERROR(P80/SUMIF($A:$A,A80,$P:$P),0)</f>
        <v/>
      </c>
      <c r="T80" s="150">
        <f>IFERROR(P80/E80,0)</f>
        <v/>
      </c>
      <c r="U80" s="148">
        <f>E80-Q80</f>
        <v/>
      </c>
      <c r="V80" s="150">
        <f>IFERROR(U80/E80,0)</f>
        <v/>
      </c>
      <c r="W80" s="148">
        <f>IFERROR(VLOOKUP(A80,周报其他费用!$A:$B,2,FALSE)*H80,0)</f>
        <v/>
      </c>
      <c r="X80" s="148" t="n">
        <v>4055.61000000003</v>
      </c>
      <c r="Y80" s="150">
        <f>IFERROR(X80/F80,0)</f>
        <v/>
      </c>
      <c r="Z80" s="148">
        <f>X80-J80/1.06</f>
        <v/>
      </c>
      <c r="AA80" s="150">
        <f>IFERROR(Z80/F80,0)</f>
        <v/>
      </c>
      <c r="AB80" s="148">
        <f>X80-(P80+W80)/1.06</f>
        <v/>
      </c>
      <c r="AC80" s="150">
        <f>IFERROR(AB80/F80,0)</f>
        <v/>
      </c>
    </row>
    <row r="81" ht="14.25" customHeight="1" s="65">
      <c r="A81" s="140" t="inlineStr">
        <is>
          <t>6.15-6.21</t>
        </is>
      </c>
      <c r="B81" s="141" t="n">
        <v>649735171438</v>
      </c>
      <c r="C81" s="140" t="inlineStr">
        <is>
          <t>杯面主链接</t>
        </is>
      </c>
      <c r="D81" s="140" t="inlineStr">
        <is>
          <t>印尼进口indomie营多捞面杯面速食泡面干拌面盒桶装方便面火鸡面</t>
        </is>
      </c>
      <c r="E81" s="142" t="n">
        <v>13687.77</v>
      </c>
      <c r="F81" s="142">
        <f>IFERROR(E81/1.13,0)</f>
        <v/>
      </c>
      <c r="G81" s="143" t="n">
        <v>538</v>
      </c>
      <c r="H81" s="144">
        <f>IFERROR(G81/SUMIF($A:$A,A81,$G:$G),0)</f>
        <v/>
      </c>
      <c r="I81" s="142">
        <f>IFERROR(E81/G81,0)</f>
        <v/>
      </c>
      <c r="J81" s="142" t="n">
        <v>2676.85755011716</v>
      </c>
      <c r="K81" s="142" t="n">
        <v>8537.00919812549</v>
      </c>
      <c r="L81" s="145">
        <f>IFERROR(K81/J81,0)</f>
        <v/>
      </c>
      <c r="M81" s="142" t="n">
        <v>286.662535797969</v>
      </c>
      <c r="N81" s="142" t="n">
        <v>619.532002082791</v>
      </c>
      <c r="O81" s="145">
        <f>IFERROR(N81/M81,0)</f>
        <v/>
      </c>
      <c r="P81" s="142">
        <f>J81+M81</f>
        <v/>
      </c>
      <c r="Q81" s="142">
        <f>K81+N81</f>
        <v/>
      </c>
      <c r="R81" s="145">
        <f>IFERROR(Q81/P81,0)</f>
        <v/>
      </c>
      <c r="S81" s="144">
        <f>IFERROR(P81/SUMIF($A:$A,A81,$P:$P),0)</f>
        <v/>
      </c>
      <c r="T81" s="144">
        <f>IFERROR(P81/E81,0)</f>
        <v/>
      </c>
      <c r="U81" s="142">
        <f>E81-Q81</f>
        <v/>
      </c>
      <c r="V81" s="144">
        <f>IFERROR(U81/E81,0)</f>
        <v/>
      </c>
      <c r="W81" s="142">
        <f>IFERROR(VLOOKUP(A81,周报其他费用!$A:$B,2,FALSE)*H81,0)</f>
        <v/>
      </c>
      <c r="X81" s="142" t="n">
        <v>1555.11</v>
      </c>
      <c r="Y81" s="144">
        <f>IFERROR(X81/F81,0)</f>
        <v/>
      </c>
      <c r="Z81" s="142">
        <f>X81-J81/1.06</f>
        <v/>
      </c>
      <c r="AA81" s="144">
        <f>IFERROR(Z81/F81,0)</f>
        <v/>
      </c>
      <c r="AB81" s="142">
        <f>X81-(P81+W81)/1.06</f>
        <v/>
      </c>
      <c r="AC81" s="144">
        <f>IFERROR(AB81/F81,0)</f>
        <v/>
      </c>
    </row>
    <row r="82" ht="14.25" customHeight="1" s="65">
      <c r="A82" s="146" t="inlineStr">
        <is>
          <t>6.15-6.21</t>
        </is>
      </c>
      <c r="B82" s="147" t="n">
        <v>648600900806</v>
      </c>
      <c r="C82" s="146" t="inlineStr">
        <is>
          <t>30包</t>
        </is>
      </c>
      <c r="D82" s="146" t="inlineStr">
        <is>
          <t>进口营多捞面一整箱30包网红速食方便面宿舍速食泡面干拌面拉面</t>
        </is>
      </c>
      <c r="E82" s="148" t="n">
        <v>9519.49</v>
      </c>
      <c r="F82" s="148">
        <f>IFERROR(E82/1.13,0)</f>
        <v/>
      </c>
      <c r="G82" s="149" t="n">
        <v>140</v>
      </c>
      <c r="H82" s="150">
        <f>IFERROR(G82/SUMIF($A:$A,A82,$G:$G),0)</f>
        <v/>
      </c>
      <c r="I82" s="148">
        <f>IFERROR(E82/G82,0)</f>
        <v/>
      </c>
      <c r="J82" s="148" t="n">
        <v>1924.11467846915</v>
      </c>
      <c r="K82" s="148" t="n">
        <v>9062.475144493619</v>
      </c>
      <c r="L82" s="151">
        <f>IFERROR(K82/J82,0)</f>
        <v/>
      </c>
      <c r="M82" s="148" t="n">
        <v>74.5961989065348</v>
      </c>
      <c r="N82" s="148" t="n">
        <v>161.216506118198</v>
      </c>
      <c r="O82" s="151">
        <f>IFERROR(N82/M82,0)</f>
        <v/>
      </c>
      <c r="P82" s="148">
        <f>J82+M82</f>
        <v/>
      </c>
      <c r="Q82" s="148">
        <f>K82+N82</f>
        <v/>
      </c>
      <c r="R82" s="151">
        <f>IFERROR(Q82/P82,0)</f>
        <v/>
      </c>
      <c r="S82" s="150">
        <f>IFERROR(P82/SUMIF($A:$A,A82,$P:$P),0)</f>
        <v/>
      </c>
      <c r="T82" s="150">
        <f>IFERROR(P82/E82,0)</f>
        <v/>
      </c>
      <c r="U82" s="148">
        <f>E82-Q82</f>
        <v/>
      </c>
      <c r="V82" s="150">
        <f>IFERROR(U82/E82,0)</f>
        <v/>
      </c>
      <c r="W82" s="148">
        <f>IFERROR(VLOOKUP(A82,周报其他费用!$A:$B,2,FALSE)*H82,0)</f>
        <v/>
      </c>
      <c r="X82" s="148" t="n">
        <v>1772.264</v>
      </c>
      <c r="Y82" s="150">
        <f>IFERROR(X82/F82,0)</f>
        <v/>
      </c>
      <c r="Z82" s="148">
        <f>X82-J82/1.06</f>
        <v/>
      </c>
      <c r="AA82" s="150">
        <f>IFERROR(Z82/F82,0)</f>
        <v/>
      </c>
      <c r="AB82" s="148">
        <f>X82-(P82+W82)/1.06</f>
        <v/>
      </c>
      <c r="AC82" s="150">
        <f>IFERROR(AB82/F82,0)</f>
        <v/>
      </c>
    </row>
    <row r="83" ht="14.25" customHeight="1" s="65">
      <c r="A83" s="140" t="inlineStr">
        <is>
          <t>6.15-6.21</t>
        </is>
      </c>
      <c r="B83" s="141" t="n">
        <v>648598580775</v>
      </c>
      <c r="C83" s="140" t="inlineStr">
        <is>
          <t>15包</t>
        </is>
      </c>
      <c r="D83" s="140" t="inlineStr">
        <is>
          <t>进口营多捞面15包Indomie方便面干拌面夜宵方便速食五连包85g*5</t>
        </is>
      </c>
      <c r="E83" s="142" t="n">
        <v>3581.48</v>
      </c>
      <c r="F83" s="142">
        <f>IFERROR(E83/1.13,0)</f>
        <v/>
      </c>
      <c r="G83" s="143" t="n">
        <v>98</v>
      </c>
      <c r="H83" s="144">
        <f>IFERROR(G83/SUMIF($A:$A,A83,$G:$G),0)</f>
        <v/>
      </c>
      <c r="I83" s="142">
        <f>IFERROR(E83/G83,0)</f>
        <v/>
      </c>
      <c r="J83" s="142" t="n">
        <v>638.484274928404</v>
      </c>
      <c r="K83" s="142" t="n">
        <v>1958.69160114554</v>
      </c>
      <c r="L83" s="145">
        <f>IFERROR(K83/J83,0)</f>
        <v/>
      </c>
      <c r="M83" s="142" t="n">
        <v>52.2173392345743</v>
      </c>
      <c r="N83" s="142" t="n">
        <v>112.851554282739</v>
      </c>
      <c r="O83" s="145">
        <f>IFERROR(N83/M83,0)</f>
        <v/>
      </c>
      <c r="P83" s="142">
        <f>J83+M83</f>
        <v/>
      </c>
      <c r="Q83" s="142">
        <f>K83+N83</f>
        <v/>
      </c>
      <c r="R83" s="145">
        <f>IFERROR(Q83/P83,0)</f>
        <v/>
      </c>
      <c r="S83" s="144">
        <f>IFERROR(P83/SUMIF($A:$A,A83,$P:$P),0)</f>
        <v/>
      </c>
      <c r="T83" s="144">
        <f>IFERROR(P83/E83,0)</f>
        <v/>
      </c>
      <c r="U83" s="142">
        <f>E83-Q83</f>
        <v/>
      </c>
      <c r="V83" s="144">
        <f>IFERROR(U83/E83,0)</f>
        <v/>
      </c>
      <c r="W83" s="142">
        <f>IFERROR(VLOOKUP(A83,周报其他费用!$A:$B,2,FALSE)*H83,0)</f>
        <v/>
      </c>
      <c r="X83" s="142" t="n">
        <v>632.5890000000001</v>
      </c>
      <c r="Y83" s="144">
        <f>IFERROR(X83/F83,0)</f>
        <v/>
      </c>
      <c r="Z83" s="142">
        <f>X83-J83/1.06</f>
        <v/>
      </c>
      <c r="AA83" s="144">
        <f>IFERROR(Z83/F83,0)</f>
        <v/>
      </c>
      <c r="AB83" s="142">
        <f>X83-(P83+W83)/1.06</f>
        <v/>
      </c>
      <c r="AC83" s="144">
        <f>IFERROR(AB83/F83,0)</f>
        <v/>
      </c>
    </row>
    <row r="84" ht="14.25" customHeight="1" s="65">
      <c r="A84" s="146" t="inlineStr">
        <is>
          <t>6.15-6.21</t>
        </is>
      </c>
      <c r="B84" s="147" t="n">
        <v>649014937782</v>
      </c>
      <c r="C84" s="146" t="inlineStr">
        <is>
          <t>24包</t>
        </is>
      </c>
      <c r="D84" s="146" t="inlineStr">
        <is>
          <t>印尼营多捞面干拌面一整箱24袋装批发泡面宿舍速食方便面火鸡面</t>
        </is>
      </c>
      <c r="E84" s="148" t="n">
        <v>5442.37</v>
      </c>
      <c r="F84" s="148">
        <f>IFERROR(E84/1.13,0)</f>
        <v/>
      </c>
      <c r="G84" s="149" t="n">
        <v>97</v>
      </c>
      <c r="H84" s="150">
        <f>IFERROR(G84/SUMIF($A:$A,A84,$G:$G),0)</f>
        <v/>
      </c>
      <c r="I84" s="148">
        <f>IFERROR(E84/G84,0)</f>
        <v/>
      </c>
      <c r="J84" s="148" t="n">
        <v>1064.78831293934</v>
      </c>
      <c r="K84" s="148" t="n">
        <v>3507.10699297058</v>
      </c>
      <c r="L84" s="151">
        <f>IFERROR(K84/J84,0)</f>
        <v/>
      </c>
      <c r="M84" s="148" t="n">
        <v>51.6845092423848</v>
      </c>
      <c r="N84" s="148" t="n">
        <v>111.700007810466</v>
      </c>
      <c r="O84" s="151">
        <f>IFERROR(N84/M84,0)</f>
        <v/>
      </c>
      <c r="P84" s="148">
        <f>J84+M84</f>
        <v/>
      </c>
      <c r="Q84" s="148">
        <f>K84+N84</f>
        <v/>
      </c>
      <c r="R84" s="151">
        <f>IFERROR(Q84/P84,0)</f>
        <v/>
      </c>
      <c r="S84" s="150">
        <f>IFERROR(P84/SUMIF($A:$A,A84,$P:$P),0)</f>
        <v/>
      </c>
      <c r="T84" s="150">
        <f>IFERROR(P84/E84,0)</f>
        <v/>
      </c>
      <c r="U84" s="148">
        <f>E84-Q84</f>
        <v/>
      </c>
      <c r="V84" s="150">
        <f>IFERROR(U84/E84,0)</f>
        <v/>
      </c>
      <c r="W84" s="148">
        <f>IFERROR(VLOOKUP(A84,周报其他费用!$A:$B,2,FALSE)*H84,0)</f>
        <v/>
      </c>
      <c r="X84" s="148" t="n">
        <v>1057.52</v>
      </c>
      <c r="Y84" s="150">
        <f>IFERROR(X84/F84,0)</f>
        <v/>
      </c>
      <c r="Z84" s="148">
        <f>X84-J84/1.06</f>
        <v/>
      </c>
      <c r="AA84" s="150">
        <f>IFERROR(Z84/F84,0)</f>
        <v/>
      </c>
      <c r="AB84" s="148">
        <f>X84-(P84+W84)/1.06</f>
        <v/>
      </c>
      <c r="AC84" s="150">
        <f>IFERROR(AB84/F84,0)</f>
        <v/>
      </c>
    </row>
    <row r="85" ht="14.25" customHeight="1" s="65">
      <c r="A85" s="140" t="inlineStr">
        <is>
          <t>6.15-6.21</t>
        </is>
      </c>
      <c r="B85" s="141" t="n">
        <v>649369494424</v>
      </c>
      <c r="C85" s="140" t="inlineStr">
        <is>
          <t>24包经典/牛系列</t>
        </is>
      </c>
      <c r="D85" s="140" t="inlineStr">
        <is>
          <t>营多捞面干拌面一整箱24袋装批发泡面混搭宿舍速食方便面火鸡面</t>
        </is>
      </c>
      <c r="E85" s="142" t="n">
        <v>5009.1</v>
      </c>
      <c r="F85" s="142">
        <f>IFERROR(E85/1.13,0)</f>
        <v/>
      </c>
      <c r="G85" s="143" t="n">
        <v>90</v>
      </c>
      <c r="H85" s="144">
        <f>IFERROR(G85/SUMIF($A:$A,A85,$G:$G),0)</f>
        <v/>
      </c>
      <c r="I85" s="142">
        <f>IFERROR(E85/G85,0)</f>
        <v/>
      </c>
      <c r="J85" s="142" t="n">
        <v>1002.26657901588</v>
      </c>
      <c r="K85" s="142" t="n">
        <v>3255.7547357459</v>
      </c>
      <c r="L85" s="145">
        <f>IFERROR(K85/J85,0)</f>
        <v/>
      </c>
      <c r="M85" s="142" t="n">
        <v>47.9546992970581</v>
      </c>
      <c r="N85" s="142" t="n">
        <v>103.639182504556</v>
      </c>
      <c r="O85" s="145">
        <f>IFERROR(N85/M85,0)</f>
        <v/>
      </c>
      <c r="P85" s="142">
        <f>J85+M85</f>
        <v/>
      </c>
      <c r="Q85" s="142">
        <f>K85+N85</f>
        <v/>
      </c>
      <c r="R85" s="145">
        <f>IFERROR(Q85/P85,0)</f>
        <v/>
      </c>
      <c r="S85" s="144">
        <f>IFERROR(P85/SUMIF($A:$A,A85,$P:$P),0)</f>
        <v/>
      </c>
      <c r="T85" s="144">
        <f>IFERROR(P85/E85,0)</f>
        <v/>
      </c>
      <c r="U85" s="142">
        <f>E85-Q85</f>
        <v/>
      </c>
      <c r="V85" s="144">
        <f>IFERROR(U85/E85,0)</f>
        <v/>
      </c>
      <c r="W85" s="142">
        <f>IFERROR(VLOOKUP(A85,周报其他费用!$A:$B,2,FALSE)*H85,0)</f>
        <v/>
      </c>
      <c r="X85" s="142" t="n">
        <v>960.803000000001</v>
      </c>
      <c r="Y85" s="144">
        <f>IFERROR(X85/F85,0)</f>
        <v/>
      </c>
      <c r="Z85" s="142">
        <f>X85-J85/1.06</f>
        <v/>
      </c>
      <c r="AA85" s="144">
        <f>IFERROR(Z85/F85,0)</f>
        <v/>
      </c>
      <c r="AB85" s="142">
        <f>X85-(P85+W85)/1.06</f>
        <v/>
      </c>
      <c r="AC85" s="144">
        <f>IFERROR(AB85/F85,0)</f>
        <v/>
      </c>
    </row>
    <row r="86" ht="14.25" customHeight="1" s="65">
      <c r="A86" s="146" t="inlineStr">
        <is>
          <t>6.15-6.21</t>
        </is>
      </c>
      <c r="B86" s="147" t="n">
        <v>929504658691</v>
      </c>
      <c r="C86" s="146" t="inlineStr">
        <is>
          <t>日式袋面</t>
        </is>
      </c>
      <c r="D86" s="146" t="inlineStr">
        <is>
          <t>营多捞面日式鸡肉汤面原味辛辣味袋装泡面方便面速食宿舍夜宵食品</t>
        </is>
      </c>
      <c r="E86" s="148" t="n">
        <v>1235.51</v>
      </c>
      <c r="F86" s="148">
        <f>IFERROR(E86/1.13,0)</f>
        <v/>
      </c>
      <c r="G86" s="149" t="n">
        <v>59</v>
      </c>
      <c r="H86" s="150">
        <f>IFERROR(G86/SUMIF($A:$A,A86,$G:$G),0)</f>
        <v/>
      </c>
      <c r="I86" s="148">
        <f>IFERROR(E86/G86,0)</f>
        <v/>
      </c>
      <c r="J86" s="148" t="n">
        <v>468.491757354856</v>
      </c>
      <c r="K86" s="148" t="n">
        <v>1408.55188232231</v>
      </c>
      <c r="L86" s="151">
        <f>IFERROR(K86/J86,0)</f>
        <v/>
      </c>
      <c r="M86" s="148" t="n">
        <v>31.4369695391825</v>
      </c>
      <c r="N86" s="148" t="n">
        <v>67.9412418640979</v>
      </c>
      <c r="O86" s="151">
        <f>IFERROR(N86/M86,0)</f>
        <v/>
      </c>
      <c r="P86" s="148">
        <f>J86+M86</f>
        <v/>
      </c>
      <c r="Q86" s="148">
        <f>K86+N86</f>
        <v/>
      </c>
      <c r="R86" s="151">
        <f>IFERROR(Q86/P86,0)</f>
        <v/>
      </c>
      <c r="S86" s="150">
        <f>IFERROR(P86/SUMIF($A:$A,A86,$P:$P),0)</f>
        <v/>
      </c>
      <c r="T86" s="150">
        <f>IFERROR(P86/E86,0)</f>
        <v/>
      </c>
      <c r="U86" s="148">
        <f>E86-Q86</f>
        <v/>
      </c>
      <c r="V86" s="150">
        <f>IFERROR(U86/E86,0)</f>
        <v/>
      </c>
      <c r="W86" s="148">
        <f>IFERROR(VLOOKUP(A86,周报其他费用!$A:$B,2,FALSE)*H86,0)</f>
        <v/>
      </c>
      <c r="X86" s="148" t="n">
        <v>176.283</v>
      </c>
      <c r="Y86" s="150">
        <f>IFERROR(X86/F86,0)</f>
        <v/>
      </c>
      <c r="Z86" s="148">
        <f>X86-J86/1.06</f>
        <v/>
      </c>
      <c r="AA86" s="150">
        <f>IFERROR(Z86/F86,0)</f>
        <v/>
      </c>
      <c r="AB86" s="148">
        <f>X86-(P86+W86)/1.06</f>
        <v/>
      </c>
      <c r="AC86" s="150">
        <f>IFERROR(AB86/F86,0)</f>
        <v/>
      </c>
    </row>
    <row r="87" ht="14.25" customHeight="1" s="65">
      <c r="A87" s="140" t="inlineStr">
        <is>
          <t>6.15-6.21</t>
        </is>
      </c>
      <c r="B87" s="141" t="n">
        <v>744317232690</v>
      </c>
      <c r="C87" s="140" t="inlineStr">
        <is>
          <t>多规格</t>
        </is>
      </c>
      <c r="D87" s="140" t="inlineStr">
        <is>
          <t>营多捞面汤面清香牛肉味方便面泡面速食食品泡面拉面整箱旅行宿舍</t>
        </is>
      </c>
      <c r="E87" s="142" t="n">
        <v>830.34</v>
      </c>
      <c r="F87" s="142">
        <f>IFERROR(E87/1.13,0)</f>
        <v/>
      </c>
      <c r="G87" s="143" t="n">
        <v>57</v>
      </c>
      <c r="H87" s="144">
        <f>IFERROR(G87/SUMIF($A:$A,A87,$G:$G),0)</f>
        <v/>
      </c>
      <c r="I87" s="142">
        <f>IFERROR(E87/G87,0)</f>
        <v/>
      </c>
      <c r="J87" s="142" t="n">
        <v>48.7898333767248</v>
      </c>
      <c r="K87" s="142" t="n">
        <v>167.312665972403</v>
      </c>
      <c r="L87" s="145">
        <f>IFERROR(K87/J87,0)</f>
        <v/>
      </c>
      <c r="M87" s="142" t="n">
        <v>30.3713095548034</v>
      </c>
      <c r="N87" s="142" t="n">
        <v>65.63814891955219</v>
      </c>
      <c r="O87" s="145">
        <f>IFERROR(N87/M87,0)</f>
        <v/>
      </c>
      <c r="P87" s="142">
        <f>J87+M87</f>
        <v/>
      </c>
      <c r="Q87" s="142">
        <f>K87+N87</f>
        <v/>
      </c>
      <c r="R87" s="145">
        <f>IFERROR(Q87/P87,0)</f>
        <v/>
      </c>
      <c r="S87" s="144">
        <f>IFERROR(P87/SUMIF($A:$A,A87,$P:$P),0)</f>
        <v/>
      </c>
      <c r="T87" s="144">
        <f>IFERROR(P87/E87,0)</f>
        <v/>
      </c>
      <c r="U87" s="142">
        <f>E87-Q87</f>
        <v/>
      </c>
      <c r="V87" s="144">
        <f>IFERROR(U87/E87,0)</f>
        <v/>
      </c>
      <c r="W87" s="142">
        <f>IFERROR(VLOOKUP(A87,周报其他费用!$A:$B,2,FALSE)*H87,0)</f>
        <v/>
      </c>
      <c r="X87" s="142" t="n">
        <v>170.991</v>
      </c>
      <c r="Y87" s="144">
        <f>IFERROR(X87/F87,0)</f>
        <v/>
      </c>
      <c r="Z87" s="142">
        <f>X87-J87/1.06</f>
        <v/>
      </c>
      <c r="AA87" s="144">
        <f>IFERROR(Z87/F87,0)</f>
        <v/>
      </c>
      <c r="AB87" s="142">
        <f>X87-(P87+W87)/1.06</f>
        <v/>
      </c>
      <c r="AC87" s="144">
        <f>IFERROR(AB87/F87,0)</f>
        <v/>
      </c>
    </row>
    <row r="88" ht="14.25" customHeight="1" s="65">
      <c r="A88" s="146" t="inlineStr">
        <is>
          <t>6.15-6.21</t>
        </is>
      </c>
      <c r="B88" s="147" t="n">
        <v>648681860568</v>
      </c>
      <c r="C88" s="146" t="inlineStr">
        <is>
          <t>杯面次链接</t>
        </is>
      </c>
      <c r="D88" s="146" t="inlineStr">
        <is>
          <t>营多捞面杯装方便面泡面速食干拌面原味整箱批发印尼进口桶装拌面</t>
        </is>
      </c>
      <c r="E88" s="148" t="n">
        <v>1344.68</v>
      </c>
      <c r="F88" s="148">
        <f>IFERROR(E88/1.13,0)</f>
        <v/>
      </c>
      <c r="G88" s="149" t="n">
        <v>50</v>
      </c>
      <c r="H88" s="150">
        <f>IFERROR(G88/SUMIF($A:$A,A88,$G:$G),0)</f>
        <v/>
      </c>
      <c r="I88" s="148">
        <f>IFERROR(E88/G88,0)</f>
        <v/>
      </c>
      <c r="J88" s="148" t="n">
        <v>294.548099453267</v>
      </c>
      <c r="K88" s="148" t="n">
        <v>1303.74040874772</v>
      </c>
      <c r="L88" s="151">
        <f>IFERROR(K88/J88,0)</f>
        <v/>
      </c>
      <c r="M88" s="148" t="n">
        <v>26.6414996094767</v>
      </c>
      <c r="N88" s="148" t="n">
        <v>57.5773236136423</v>
      </c>
      <c r="O88" s="151">
        <f>IFERROR(N88/M88,0)</f>
        <v/>
      </c>
      <c r="P88" s="148">
        <f>J88+M88</f>
        <v/>
      </c>
      <c r="Q88" s="148">
        <f>K88+N88</f>
        <v/>
      </c>
      <c r="R88" s="151">
        <f>IFERROR(Q88/P88,0)</f>
        <v/>
      </c>
      <c r="S88" s="150">
        <f>IFERROR(P88/SUMIF($A:$A,A88,$P:$P),0)</f>
        <v/>
      </c>
      <c r="T88" s="150">
        <f>IFERROR(P88/E88,0)</f>
        <v/>
      </c>
      <c r="U88" s="148">
        <f>E88-Q88</f>
        <v/>
      </c>
      <c r="V88" s="150">
        <f>IFERROR(U88/E88,0)</f>
        <v/>
      </c>
      <c r="W88" s="148">
        <f>IFERROR(VLOOKUP(A88,周报其他费用!$A:$B,2,FALSE)*H88,0)</f>
        <v/>
      </c>
      <c r="X88" s="148" t="n">
        <v>167.839</v>
      </c>
      <c r="Y88" s="150">
        <f>IFERROR(X88/F88,0)</f>
        <v/>
      </c>
      <c r="Z88" s="148">
        <f>X88-J88/1.06</f>
        <v/>
      </c>
      <c r="AA88" s="150">
        <f>IFERROR(Z88/F88,0)</f>
        <v/>
      </c>
      <c r="AB88" s="148">
        <f>X88-(P88+W88)/1.06</f>
        <v/>
      </c>
      <c r="AC88" s="150">
        <f>IFERROR(AB88/F88,0)</f>
        <v/>
      </c>
    </row>
    <row r="89" ht="14.25" customHeight="1" s="65">
      <c r="A89" s="140" t="inlineStr">
        <is>
          <t>6.15-6.21</t>
        </is>
      </c>
      <c r="B89" s="141" t="n">
        <v>766165464414</v>
      </c>
      <c r="C89" s="140" t="inlineStr">
        <is>
          <t>12包</t>
        </is>
      </c>
      <c r="D89" s="140" t="inlineStr">
        <is>
          <t>营多印尼进口营多捞面方便面火鸡面干拌面12包宿舍速食泡面夜宵</t>
        </is>
      </c>
      <c r="E89" s="142" t="n">
        <v>1419.38</v>
      </c>
      <c r="F89" s="142">
        <f>IFERROR(E89/1.13,0)</f>
        <v/>
      </c>
      <c r="G89" s="143" t="n">
        <v>48</v>
      </c>
      <c r="H89" s="144">
        <f>IFERROR(G89/SUMIF($A:$A,A89,$G:$G),0)</f>
        <v/>
      </c>
      <c r="I89" s="142">
        <f>IFERROR(E89/G89,0)</f>
        <v/>
      </c>
      <c r="J89" s="142" t="n">
        <v>77.9561754751367</v>
      </c>
      <c r="K89" s="142" t="n">
        <v>195.781192397813</v>
      </c>
      <c r="L89" s="145">
        <f>IFERROR(K89/J89,0)</f>
        <v/>
      </c>
      <c r="M89" s="142" t="n">
        <v>25.5758396250976</v>
      </c>
      <c r="N89" s="142" t="n">
        <v>55.2742306690966</v>
      </c>
      <c r="O89" s="145">
        <f>IFERROR(N89/M89,0)</f>
        <v/>
      </c>
      <c r="P89" s="142">
        <f>J89+M89</f>
        <v/>
      </c>
      <c r="Q89" s="142">
        <f>K89+N89</f>
        <v/>
      </c>
      <c r="R89" s="145">
        <f>IFERROR(Q89/P89,0)</f>
        <v/>
      </c>
      <c r="S89" s="144">
        <f>IFERROR(P89/SUMIF($A:$A,A89,$P:$P),0)</f>
        <v/>
      </c>
      <c r="T89" s="144">
        <f>IFERROR(P89/E89,0)</f>
        <v/>
      </c>
      <c r="U89" s="142">
        <f>E89-Q89</f>
        <v/>
      </c>
      <c r="V89" s="144">
        <f>IFERROR(U89/E89,0)</f>
        <v/>
      </c>
      <c r="W89" s="142">
        <f>IFERROR(VLOOKUP(A89,周报其他费用!$A:$B,2,FALSE)*H89,0)</f>
        <v/>
      </c>
      <c r="X89" s="142" t="n">
        <v>207.093</v>
      </c>
      <c r="Y89" s="144">
        <f>IFERROR(X89/F89,0)</f>
        <v/>
      </c>
      <c r="Z89" s="142">
        <f>X89-J89/1.06</f>
        <v/>
      </c>
      <c r="AA89" s="144">
        <f>IFERROR(Z89/F89,0)</f>
        <v/>
      </c>
      <c r="AB89" s="142">
        <f>X89-(P89+W89)/1.06</f>
        <v/>
      </c>
      <c r="AC89" s="144">
        <f>IFERROR(AB89/F89,0)</f>
        <v/>
      </c>
    </row>
    <row r="90" ht="14.25" customHeight="1" s="65">
      <c r="A90" s="146" t="inlineStr">
        <is>
          <t>6.15-6.21</t>
        </is>
      </c>
      <c r="B90" s="147" t="n">
        <v>1013887677295</v>
      </c>
      <c r="C90" s="146" t="inlineStr">
        <is>
          <t>混搭5杯</t>
        </is>
      </c>
      <c r="D90" s="146" t="inlineStr">
        <is>
          <t>进口营多原味杯面日式杯面韩式杯面泡面方便面汤面宿舍速食夜宵</t>
        </is>
      </c>
      <c r="E90" s="148" t="n">
        <v>1250.13</v>
      </c>
      <c r="F90" s="148">
        <f>IFERROR(E90/1.13,0)</f>
        <v/>
      </c>
      <c r="G90" s="149" t="n">
        <v>48</v>
      </c>
      <c r="H90" s="150">
        <f>IFERROR(G90/SUMIF($A:$A,A90,$G:$G),0)</f>
        <v/>
      </c>
      <c r="I90" s="148">
        <f>IFERROR(E90/G90,0)</f>
        <v/>
      </c>
      <c r="J90" s="148" t="n">
        <v>231.016175475137</v>
      </c>
      <c r="K90" s="148" t="n">
        <v>745.211192397813</v>
      </c>
      <c r="L90" s="151">
        <f>IFERROR(K90/J90,0)</f>
        <v/>
      </c>
      <c r="M90" s="148" t="n">
        <v>25.5758396250976</v>
      </c>
      <c r="N90" s="148" t="n">
        <v>55.2742306690966</v>
      </c>
      <c r="O90" s="151">
        <f>IFERROR(N90/M90,0)</f>
        <v/>
      </c>
      <c r="P90" s="148">
        <f>J90+M90</f>
        <v/>
      </c>
      <c r="Q90" s="148">
        <f>K90+N90</f>
        <v/>
      </c>
      <c r="R90" s="151">
        <f>IFERROR(Q90/P90,0)</f>
        <v/>
      </c>
      <c r="S90" s="150">
        <f>IFERROR(P90/SUMIF($A:$A,A90,$P:$P),0)</f>
        <v/>
      </c>
      <c r="T90" s="150">
        <f>IFERROR(P90/E90,0)</f>
        <v/>
      </c>
      <c r="U90" s="148">
        <f>E90-Q90</f>
        <v/>
      </c>
      <c r="V90" s="150">
        <f>IFERROR(U90/E90,0)</f>
        <v/>
      </c>
      <c r="W90" s="148">
        <f>IFERROR(VLOOKUP(A90,周报其他费用!$A:$B,2,FALSE)*H90,0)</f>
        <v/>
      </c>
      <c r="X90" s="148" t="n">
        <v>130.131</v>
      </c>
      <c r="Y90" s="150">
        <f>IFERROR(X90/F90,0)</f>
        <v/>
      </c>
      <c r="Z90" s="148">
        <f>X90-J90/1.06</f>
        <v/>
      </c>
      <c r="AA90" s="150">
        <f>IFERROR(Z90/F90,0)</f>
        <v/>
      </c>
      <c r="AB90" s="148">
        <f>X90-(P90+W90)/1.06</f>
        <v/>
      </c>
      <c r="AC90" s="150">
        <f>IFERROR(AB90/F90,0)</f>
        <v/>
      </c>
    </row>
    <row r="91" ht="14.25" customHeight="1" s="65">
      <c r="A91" s="140" t="inlineStr">
        <is>
          <t>6.15-6.21</t>
        </is>
      </c>
      <c r="B91" s="141" t="n">
        <v>735014804839</v>
      </c>
      <c r="C91" s="140" t="inlineStr">
        <is>
          <t>24/30包</t>
        </is>
      </c>
      <c r="D91" s="140" t="inlineStr">
        <is>
          <t>进口营多捞面多口味Indomie网红方便面干拌面泡面30包整箱批发面</t>
        </is>
      </c>
      <c r="E91" s="142" t="n">
        <v>1900.41</v>
      </c>
      <c r="F91" s="142">
        <f>IFERROR(E91/1.13,0)</f>
        <v/>
      </c>
      <c r="G91" s="143" t="n">
        <v>28</v>
      </c>
      <c r="H91" s="144">
        <f>IFERROR(G91/SUMIF($A:$A,A91,$G:$G),0)</f>
        <v/>
      </c>
      <c r="I91" s="142">
        <f>IFERROR(E91/G91,0)</f>
        <v/>
      </c>
      <c r="J91" s="142" t="n">
        <v>225.51693569383</v>
      </c>
      <c r="K91" s="142" t="n">
        <v>1147.87902889872</v>
      </c>
      <c r="L91" s="145">
        <f>IFERROR(K91/J91,0)</f>
        <v/>
      </c>
      <c r="M91" s="142" t="n">
        <v>14.919239781307</v>
      </c>
      <c r="N91" s="142" t="n">
        <v>32.2433012236397</v>
      </c>
      <c r="O91" s="145">
        <f>IFERROR(N91/M91,0)</f>
        <v/>
      </c>
      <c r="P91" s="142">
        <f>J91+M91</f>
        <v/>
      </c>
      <c r="Q91" s="142">
        <f>K91+N91</f>
        <v/>
      </c>
      <c r="R91" s="145">
        <f>IFERROR(Q91/P91,0)</f>
        <v/>
      </c>
      <c r="S91" s="144">
        <f>IFERROR(P91/SUMIF($A:$A,A91,$P:$P),0)</f>
        <v/>
      </c>
      <c r="T91" s="144">
        <f>IFERROR(P91/E91,0)</f>
        <v/>
      </c>
      <c r="U91" s="142">
        <f>E91-Q91</f>
        <v/>
      </c>
      <c r="V91" s="144">
        <f>IFERROR(U91/E91,0)</f>
        <v/>
      </c>
      <c r="W91" s="142">
        <f>IFERROR(VLOOKUP(A91,周报其他费用!$A:$B,2,FALSE)*H91,0)</f>
        <v/>
      </c>
      <c r="X91" s="142" t="n">
        <v>371.174</v>
      </c>
      <c r="Y91" s="144">
        <f>IFERROR(X91/F91,0)</f>
        <v/>
      </c>
      <c r="Z91" s="142">
        <f>X91-J91/1.06</f>
        <v/>
      </c>
      <c r="AA91" s="144">
        <f>IFERROR(Z91/F91,0)</f>
        <v/>
      </c>
      <c r="AB91" s="142">
        <f>X91-(P91+W91)/1.06</f>
        <v/>
      </c>
      <c r="AC91" s="144">
        <f>IFERROR(AB91/F91,0)</f>
        <v/>
      </c>
    </row>
    <row r="92" ht="14.25" customHeight="1" s="65">
      <c r="A92" s="146" t="inlineStr">
        <is>
          <t>6.15-6.21</t>
        </is>
      </c>
      <c r="B92" s="147" t="n">
        <v>898076297965</v>
      </c>
      <c r="C92" s="146" t="inlineStr">
        <is>
          <t>番茄牛肉</t>
        </is>
      </c>
      <c r="D92" s="146" t="inlineStr">
        <is>
          <t>进口正品意面风味奶香番茄牛肉味意式拌面营多捞面早餐儿童宝妈餐</t>
        </is>
      </c>
      <c r="E92" s="148" t="n">
        <v>159.58</v>
      </c>
      <c r="F92" s="148">
        <f>IFERROR(E92/1.13,0)</f>
        <v/>
      </c>
      <c r="G92" s="149" t="n">
        <v>10</v>
      </c>
      <c r="H92" s="150">
        <f>IFERROR(G92/SUMIF($A:$A,A92,$G:$G),0)</f>
        <v/>
      </c>
      <c r="I92" s="148">
        <f>IFERROR(E92/G92,0)</f>
        <v/>
      </c>
      <c r="J92" s="148" t="n">
        <v>13.0696198906535</v>
      </c>
      <c r="K92" s="148" t="n">
        <v>15.5260817495444</v>
      </c>
      <c r="L92" s="151">
        <f>IFERROR(K92/J92,0)</f>
        <v/>
      </c>
      <c r="M92" s="148" t="n">
        <v>5.32829992189534</v>
      </c>
      <c r="N92" s="148" t="n">
        <v>11.5154647227285</v>
      </c>
      <c r="O92" s="151">
        <f>IFERROR(N92/M92,0)</f>
        <v/>
      </c>
      <c r="P92" s="148">
        <f>J92+M92</f>
        <v/>
      </c>
      <c r="Q92" s="148">
        <f>K92+N92</f>
        <v/>
      </c>
      <c r="R92" s="151">
        <f>IFERROR(Q92/P92,0)</f>
        <v/>
      </c>
      <c r="S92" s="150">
        <f>IFERROR(P92/SUMIF($A:$A,A92,$P:$P),0)</f>
        <v/>
      </c>
      <c r="T92" s="150">
        <f>IFERROR(P92/E92,0)</f>
        <v/>
      </c>
      <c r="U92" s="148">
        <f>E92-Q92</f>
        <v/>
      </c>
      <c r="V92" s="150">
        <f>IFERROR(U92/E92,0)</f>
        <v/>
      </c>
      <c r="W92" s="148">
        <f>IFERROR(VLOOKUP(A92,周报其他费用!$A:$B,2,FALSE)*H92,0)</f>
        <v/>
      </c>
      <c r="X92" s="148" t="n">
        <v>9.420999999999999</v>
      </c>
      <c r="Y92" s="150">
        <f>IFERROR(X92/F92,0)</f>
        <v/>
      </c>
      <c r="Z92" s="148">
        <f>X92-J92/1.06</f>
        <v/>
      </c>
      <c r="AA92" s="150">
        <f>IFERROR(Z92/F92,0)</f>
        <v/>
      </c>
      <c r="AB92" s="148">
        <f>X92-(P92+W92)/1.06</f>
        <v/>
      </c>
      <c r="AC92" s="150">
        <f>IFERROR(AB92/F92,0)</f>
        <v/>
      </c>
    </row>
    <row r="93" ht="14.25" customHeight="1" s="65">
      <c r="A93" s="140" t="inlineStr">
        <is>
          <t>6.15-6.21</t>
        </is>
      </c>
      <c r="B93" s="141" t="n">
        <v>969423151512</v>
      </c>
      <c r="C93" s="140" t="inlineStr">
        <is>
          <t>日韩混搭</t>
        </is>
      </c>
      <c r="D93" s="140" t="inlineStr">
        <is>
          <t>营多捞面甜辣炸鸡火鸡面辣蘑菇泡面方便面速食干拌面宿舍宵夜旅行</t>
        </is>
      </c>
      <c r="E93" s="142" t="n">
        <v>162.91</v>
      </c>
      <c r="F93" s="142">
        <f>IFERROR(E93/1.13,0)</f>
        <v/>
      </c>
      <c r="G93" s="143" t="n">
        <v>9</v>
      </c>
      <c r="H93" s="144">
        <f>IFERROR(G93/SUMIF($A:$A,A93,$G:$G),0)</f>
        <v/>
      </c>
      <c r="I93" s="142">
        <f>IFERROR(E93/G93,0)</f>
        <v/>
      </c>
      <c r="J93" s="142" t="n">
        <v>44.3736579015881</v>
      </c>
      <c r="K93" s="142" t="n">
        <v>132.71147357459</v>
      </c>
      <c r="L93" s="145">
        <f>IFERROR(K93/J93,0)</f>
        <v/>
      </c>
      <c r="M93" s="142" t="n">
        <v>4.79546992970581</v>
      </c>
      <c r="N93" s="142" t="n">
        <v>10.3639182504556</v>
      </c>
      <c r="O93" s="145">
        <f>IFERROR(N93/M93,0)</f>
        <v/>
      </c>
      <c r="P93" s="142">
        <f>J93+M93</f>
        <v/>
      </c>
      <c r="Q93" s="142">
        <f>K93+N93</f>
        <v/>
      </c>
      <c r="R93" s="145">
        <f>IFERROR(Q93/P93,0)</f>
        <v/>
      </c>
      <c r="S93" s="144">
        <f>IFERROR(P93/SUMIF($A:$A,A93,$P:$P),0)</f>
        <v/>
      </c>
      <c r="T93" s="144">
        <f>IFERROR(P93/E93,0)</f>
        <v/>
      </c>
      <c r="U93" s="142">
        <f>E93-Q93</f>
        <v/>
      </c>
      <c r="V93" s="144">
        <f>IFERROR(U93/E93,0)</f>
        <v/>
      </c>
      <c r="W93" s="142">
        <f>IFERROR(VLOOKUP(A93,周报其他费用!$A:$B,2,FALSE)*H93,0)</f>
        <v/>
      </c>
      <c r="X93" s="142" t="n">
        <v>19.502</v>
      </c>
      <c r="Y93" s="144">
        <f>IFERROR(X93/F93,0)</f>
        <v/>
      </c>
      <c r="Z93" s="142">
        <f>X93-J93/1.06</f>
        <v/>
      </c>
      <c r="AA93" s="144">
        <f>IFERROR(Z93/F93,0)</f>
        <v/>
      </c>
      <c r="AB93" s="142">
        <f>X93-(P93+W93)/1.06</f>
        <v/>
      </c>
      <c r="AC93" s="144">
        <f>IFERROR(AB93/F93,0)</f>
        <v/>
      </c>
    </row>
    <row r="94" ht="14.25" customHeight="1" s="65">
      <c r="A94" s="146" t="inlineStr">
        <is>
          <t>6.15-6.21</t>
        </is>
      </c>
      <c r="B94" s="147" t="n">
        <v>886856687067</v>
      </c>
      <c r="C94" s="146" t="inlineStr">
        <is>
          <t>大骨</t>
        </is>
      </c>
      <c r="D94" s="146" t="inlineStr">
        <is>
          <t>营多捞面牛系列大骨牛肉味方便面食品泡面拉面汤面宿舍宵夜旅行</t>
        </is>
      </c>
      <c r="E94" s="148" t="n">
        <v>167.14</v>
      </c>
      <c r="F94" s="148">
        <f>IFERROR(E94/1.13,0)</f>
        <v/>
      </c>
      <c r="G94" s="149" t="n">
        <v>9</v>
      </c>
      <c r="H94" s="150">
        <f>IFERROR(G94/SUMIF($A:$A,A94,$G:$G),0)</f>
        <v/>
      </c>
      <c r="I94" s="148">
        <f>IFERROR(E94/G94,0)</f>
        <v/>
      </c>
      <c r="J94" s="148" t="n">
        <v>8.573657901588129</v>
      </c>
      <c r="K94" s="148" t="n">
        <v>1.75147357459</v>
      </c>
      <c r="L94" s="151">
        <f>IFERROR(K94/J94,0)</f>
        <v/>
      </c>
      <c r="M94" s="148" t="n">
        <v>4.79546992970581</v>
      </c>
      <c r="N94" s="148" t="n">
        <v>10.3639182504556</v>
      </c>
      <c r="O94" s="151">
        <f>IFERROR(N94/M94,0)</f>
        <v/>
      </c>
      <c r="P94" s="148">
        <f>J94+M94</f>
        <v/>
      </c>
      <c r="Q94" s="148">
        <f>K94+N94</f>
        <v/>
      </c>
      <c r="R94" s="151">
        <f>IFERROR(Q94/P94,0)</f>
        <v/>
      </c>
      <c r="S94" s="150">
        <f>IFERROR(P94/SUMIF($A:$A,A94,$P:$P),0)</f>
        <v/>
      </c>
      <c r="T94" s="150">
        <f>IFERROR(P94/E94,0)</f>
        <v/>
      </c>
      <c r="U94" s="148">
        <f>E94-Q94</f>
        <v/>
      </c>
      <c r="V94" s="150">
        <f>IFERROR(U94/E94,0)</f>
        <v/>
      </c>
      <c r="W94" s="148">
        <f>IFERROR(VLOOKUP(A94,周报其他费用!$A:$B,2,FALSE)*H94,0)</f>
        <v/>
      </c>
      <c r="X94" s="148" t="n">
        <v>16.224</v>
      </c>
      <c r="Y94" s="150">
        <f>IFERROR(X94/F94,0)</f>
        <v/>
      </c>
      <c r="Z94" s="148">
        <f>X94-J94/1.06</f>
        <v/>
      </c>
      <c r="AA94" s="150">
        <f>IFERROR(Z94/F94,0)</f>
        <v/>
      </c>
      <c r="AB94" s="148">
        <f>X94-(P94+W94)/1.06</f>
        <v/>
      </c>
      <c r="AC94" s="150">
        <f>IFERROR(AB94/F94,0)</f>
        <v/>
      </c>
    </row>
    <row r="95" ht="14.25" customHeight="1" s="65">
      <c r="A95" s="140" t="inlineStr">
        <is>
          <t>6.15-6.21</t>
        </is>
      </c>
      <c r="B95" s="141" t="n">
        <v>976479938842</v>
      </c>
      <c r="C95" s="140" t="inlineStr">
        <is>
          <t>【U选】原味5</t>
        </is>
      </c>
      <c r="D95" s="140" t="inlineStr">
        <is>
          <t>【天猫U选】indomie营多大骨牛肉味捞面拌面5包</t>
        </is>
      </c>
      <c r="E95" s="142" t="n">
        <v>76.75</v>
      </c>
      <c r="F95" s="142">
        <f>IFERROR(E95/1.13,0)</f>
        <v/>
      </c>
      <c r="G95" s="143" t="n">
        <v>8</v>
      </c>
      <c r="H95" s="144">
        <f>IFERROR(G95/SUMIF($A:$A,A95,$G:$G),0)</f>
        <v/>
      </c>
      <c r="I95" s="142">
        <f>IFERROR(E95/G95,0)</f>
        <v/>
      </c>
      <c r="J95" s="142" t="n">
        <v>1.64769591252279</v>
      </c>
      <c r="K95" s="142" t="n">
        <v>1.55686539963555</v>
      </c>
      <c r="L95" s="145">
        <f>IFERROR(K95/J95,0)</f>
        <v/>
      </c>
      <c r="M95" s="142" t="n">
        <v>4.26263993751627</v>
      </c>
      <c r="N95" s="142" t="n">
        <v>9.212371778182771</v>
      </c>
      <c r="O95" s="145">
        <f>IFERROR(N95/M95,0)</f>
        <v/>
      </c>
      <c r="P95" s="142">
        <f>J95+M95</f>
        <v/>
      </c>
      <c r="Q95" s="142">
        <f>K95+N95</f>
        <v/>
      </c>
      <c r="R95" s="145">
        <f>IFERROR(Q95/P95,0)</f>
        <v/>
      </c>
      <c r="S95" s="144">
        <f>IFERROR(P95/SUMIF($A:$A,A95,$P:$P),0)</f>
        <v/>
      </c>
      <c r="T95" s="144">
        <f>IFERROR(P95/E95,0)</f>
        <v/>
      </c>
      <c r="U95" s="142">
        <f>E95-Q95</f>
        <v/>
      </c>
      <c r="V95" s="144">
        <f>IFERROR(U95/E95,0)</f>
        <v/>
      </c>
      <c r="W95" s="142">
        <f>IFERROR(VLOOKUP(A95,周报其他费用!$A:$B,2,FALSE)*H95,0)</f>
        <v/>
      </c>
      <c r="X95" s="142" t="n">
        <v>-24.114</v>
      </c>
      <c r="Y95" s="144">
        <f>IFERROR(X95/F95,0)</f>
        <v/>
      </c>
      <c r="Z95" s="142">
        <f>X95-J95/1.06</f>
        <v/>
      </c>
      <c r="AA95" s="144">
        <f>IFERROR(Z95/F95,0)</f>
        <v/>
      </c>
      <c r="AB95" s="142">
        <f>X95-(P95+W95)/1.06</f>
        <v/>
      </c>
      <c r="AC95" s="144">
        <f>IFERROR(AB95/F95,0)</f>
        <v/>
      </c>
    </row>
    <row r="96" ht="14.25" customHeight="1" s="65">
      <c r="A96" s="146" t="inlineStr">
        <is>
          <t>6.15-6.21</t>
        </is>
      </c>
      <c r="B96" s="147" t="n">
        <v>648604228786</v>
      </c>
      <c r="C96" s="146" t="inlineStr">
        <is>
          <t>杯面混搭</t>
        </is>
      </c>
      <c r="D96" s="146" t="inlineStr">
        <is>
          <t>INDOMIE营多日式杯面原味经典泡面整箱批发速食宿舍旅行宵夜宿舍</t>
        </is>
      </c>
      <c r="E96" s="148" t="n">
        <v>221.9</v>
      </c>
      <c r="F96" s="148">
        <f>IFERROR(E96/1.13,0)</f>
        <v/>
      </c>
      <c r="G96" s="149" t="n">
        <v>8</v>
      </c>
      <c r="H96" s="150">
        <f>IFERROR(G96/SUMIF($A:$A,A96,$G:$G),0)</f>
        <v/>
      </c>
      <c r="I96" s="148">
        <f>IFERROR(E96/G96,0)</f>
        <v/>
      </c>
      <c r="J96" s="148" t="n">
        <v>11.4376959125228</v>
      </c>
      <c r="K96" s="148" t="n">
        <v>1.55686539963555</v>
      </c>
      <c r="L96" s="151">
        <f>IFERROR(K96/J96,0)</f>
        <v/>
      </c>
      <c r="M96" s="148" t="n">
        <v>4.26263993751627</v>
      </c>
      <c r="N96" s="148" t="n">
        <v>9.212371778182771</v>
      </c>
      <c r="O96" s="151">
        <f>IFERROR(N96/M96,0)</f>
        <v/>
      </c>
      <c r="P96" s="148">
        <f>J96+M96</f>
        <v/>
      </c>
      <c r="Q96" s="148">
        <f>K96+N96</f>
        <v/>
      </c>
      <c r="R96" s="151">
        <f>IFERROR(Q96/P96,0)</f>
        <v/>
      </c>
      <c r="S96" s="150">
        <f>IFERROR(P96/SUMIF($A:$A,A96,$P:$P),0)</f>
        <v/>
      </c>
      <c r="T96" s="150">
        <f>IFERROR(P96/E96,0)</f>
        <v/>
      </c>
      <c r="U96" s="148">
        <f>E96-Q96</f>
        <v/>
      </c>
      <c r="V96" s="150">
        <f>IFERROR(U96/E96,0)</f>
        <v/>
      </c>
      <c r="W96" s="148">
        <f>IFERROR(VLOOKUP(A96,周报其他费用!$A:$B,2,FALSE)*H96,0)</f>
        <v/>
      </c>
      <c r="X96" s="148" t="n">
        <v>28.136</v>
      </c>
      <c r="Y96" s="150">
        <f>IFERROR(X96/F96,0)</f>
        <v/>
      </c>
      <c r="Z96" s="148">
        <f>X96-J96/1.06</f>
        <v/>
      </c>
      <c r="AA96" s="150">
        <f>IFERROR(Z96/F96,0)</f>
        <v/>
      </c>
      <c r="AB96" s="148">
        <f>X96-(P96+W96)/1.06</f>
        <v/>
      </c>
      <c r="AC96" s="150">
        <f>IFERROR(AB96/F96,0)</f>
        <v/>
      </c>
    </row>
    <row r="97" ht="14.25" customHeight="1" s="65">
      <c r="A97" s="140" t="inlineStr">
        <is>
          <t>6.15-6.21</t>
        </is>
      </c>
      <c r="B97" s="141" t="n">
        <v>649729851594</v>
      </c>
      <c r="C97" s="140" t="inlineStr">
        <is>
          <t>小规格</t>
        </is>
      </c>
      <c r="D97" s="140" t="inlineStr">
        <is>
          <t>营多捞面袋装8包装泡面宿舍速食面热干面干拌面方便面火鸡面食品</t>
        </is>
      </c>
      <c r="E97" s="142" t="n">
        <v>130.95</v>
      </c>
      <c r="F97" s="142">
        <f>IFERROR(E97/1.13,0)</f>
        <v/>
      </c>
      <c r="G97" s="143" t="n">
        <v>6</v>
      </c>
      <c r="H97" s="144">
        <f>IFERROR(G97/SUMIF($A:$A,A97,$G:$G),0)</f>
        <v/>
      </c>
      <c r="I97" s="142">
        <f>IFERROR(E97/G97,0)</f>
        <v/>
      </c>
      <c r="J97" s="142" t="n">
        <v>6.81577193439209</v>
      </c>
      <c r="K97" s="142" t="n">
        <v>1.16764904972666</v>
      </c>
      <c r="L97" s="145">
        <f>IFERROR(K97/J97,0)</f>
        <v/>
      </c>
      <c r="M97" s="142" t="n">
        <v>3.1969799531372</v>
      </c>
      <c r="N97" s="142" t="n">
        <v>6.90927883363707</v>
      </c>
      <c r="O97" s="145">
        <f>IFERROR(N97/M97,0)</f>
        <v/>
      </c>
      <c r="P97" s="142">
        <f>J97+M97</f>
        <v/>
      </c>
      <c r="Q97" s="142">
        <f>K97+N97</f>
        <v/>
      </c>
      <c r="R97" s="145">
        <f>IFERROR(Q97/P97,0)</f>
        <v/>
      </c>
      <c r="S97" s="144">
        <f>IFERROR(P97/SUMIF($A:$A,A97,$P:$P),0)</f>
        <v/>
      </c>
      <c r="T97" s="144">
        <f>IFERROR(P97/E97,0)</f>
        <v/>
      </c>
      <c r="U97" s="142">
        <f>E97-Q97</f>
        <v/>
      </c>
      <c r="V97" s="144">
        <f>IFERROR(U97/E97,0)</f>
        <v/>
      </c>
      <c r="W97" s="142">
        <f>IFERROR(VLOOKUP(A97,周报其他费用!$A:$B,2,FALSE)*H97,0)</f>
        <v/>
      </c>
      <c r="X97" s="142" t="n">
        <v>18.737</v>
      </c>
      <c r="Y97" s="144">
        <f>IFERROR(X97/F97,0)</f>
        <v/>
      </c>
      <c r="Z97" s="142">
        <f>X97-J97/1.06</f>
        <v/>
      </c>
      <c r="AA97" s="144">
        <f>IFERROR(Z97/F97,0)</f>
        <v/>
      </c>
      <c r="AB97" s="142">
        <f>X97-(P97+W97)/1.06</f>
        <v/>
      </c>
      <c r="AC97" s="144">
        <f>IFERROR(AB97/F97,0)</f>
        <v/>
      </c>
    </row>
    <row r="98" ht="14.25" customHeight="1" s="65">
      <c r="A98" s="146" t="inlineStr">
        <is>
          <t>6.15-6.21</t>
        </is>
      </c>
      <c r="B98" s="147" t="n">
        <v>937005385662</v>
      </c>
      <c r="C98" s="146" t="inlineStr">
        <is>
          <t>日式袋面</t>
        </is>
      </c>
      <c r="D98" s="146" t="inlineStr">
        <is>
          <t>进口营多正品捞面日式鸡肉鸡汤辛辣味袋装泡面辣味速食方便面汤面</t>
        </is>
      </c>
      <c r="E98" s="148" t="n">
        <v>91</v>
      </c>
      <c r="F98" s="148">
        <f>IFERROR(E98/1.13,0)</f>
        <v/>
      </c>
      <c r="G98" s="149" t="n">
        <v>5</v>
      </c>
      <c r="H98" s="150">
        <f>IFERROR(G98/SUMIF($A:$A,A98,$G:$G),0)</f>
        <v/>
      </c>
      <c r="I98" s="148">
        <f>IFERROR(E98/G98,0)</f>
        <v/>
      </c>
      <c r="J98" s="148" t="n">
        <v>40.3298099453267</v>
      </c>
      <c r="K98" s="148" t="n">
        <v>180.273040874772</v>
      </c>
      <c r="L98" s="151">
        <f>IFERROR(K98/J98,0)</f>
        <v/>
      </c>
      <c r="M98" s="148" t="n">
        <v>2.66414996094767</v>
      </c>
      <c r="N98" s="148" t="n">
        <v>5.75773236136423</v>
      </c>
      <c r="O98" s="151">
        <f>IFERROR(N98/M98,0)</f>
        <v/>
      </c>
      <c r="P98" s="148">
        <f>J98+M98</f>
        <v/>
      </c>
      <c r="Q98" s="148">
        <f>K98+N98</f>
        <v/>
      </c>
      <c r="R98" s="151">
        <f>IFERROR(Q98/P98,0)</f>
        <v/>
      </c>
      <c r="S98" s="150">
        <f>IFERROR(P98/SUMIF($A:$A,A98,$P:$P),0)</f>
        <v/>
      </c>
      <c r="T98" s="150">
        <f>IFERROR(P98/E98,0)</f>
        <v/>
      </c>
      <c r="U98" s="148">
        <f>E98-Q98</f>
        <v/>
      </c>
      <c r="V98" s="150">
        <f>IFERROR(U98/E98,0)</f>
        <v/>
      </c>
      <c r="W98" s="148">
        <f>IFERROR(VLOOKUP(A98,周报其他费用!$A:$B,2,FALSE)*H98,0)</f>
        <v/>
      </c>
      <c r="X98" s="148" t="n">
        <v>8.720000000000001</v>
      </c>
      <c r="Y98" s="150">
        <f>IFERROR(X98/F98,0)</f>
        <v/>
      </c>
      <c r="Z98" s="148">
        <f>X98-J98/1.06</f>
        <v/>
      </c>
      <c r="AA98" s="150">
        <f>IFERROR(Z98/F98,0)</f>
        <v/>
      </c>
      <c r="AB98" s="148">
        <f>X98-(P98+W98)/1.06</f>
        <v/>
      </c>
      <c r="AC98" s="150">
        <f>IFERROR(AB98/F98,0)</f>
        <v/>
      </c>
    </row>
    <row r="99" ht="14.25" customHeight="1" s="65">
      <c r="A99" s="140" t="inlineStr">
        <is>
          <t>6.15-6.21</t>
        </is>
      </c>
      <c r="B99" s="141" t="n">
        <v>903183018417</v>
      </c>
      <c r="C99" s="140" t="inlineStr">
        <is>
          <t>七口味混搭</t>
        </is>
      </c>
      <c r="D99" s="140" t="inlineStr">
        <is>
          <t>进口营多捞面汤面拌面七口味混合方便面速拉面宿舍拌面泡面食食品</t>
        </is>
      </c>
      <c r="E99" s="142" t="n">
        <v>94.68000000000001</v>
      </c>
      <c r="F99" s="142">
        <f>IFERROR(E99/1.13,0)</f>
        <v/>
      </c>
      <c r="G99" s="143" t="n">
        <v>5</v>
      </c>
      <c r="H99" s="144">
        <f>IFERROR(G99/SUMIF($A:$A,A99,$G:$G),0)</f>
        <v/>
      </c>
      <c r="I99" s="142">
        <f>IFERROR(E99/G99,0)</f>
        <v/>
      </c>
      <c r="J99" s="142" t="n">
        <v>3.78980994532674</v>
      </c>
      <c r="K99" s="142" t="n">
        <v>56.3430408747722</v>
      </c>
      <c r="L99" s="145">
        <f>IFERROR(K99/J99,0)</f>
        <v/>
      </c>
      <c r="M99" s="142" t="n">
        <v>2.66414996094767</v>
      </c>
      <c r="N99" s="142" t="n">
        <v>5.75773236136423</v>
      </c>
      <c r="O99" s="145">
        <f>IFERROR(N99/M99,0)</f>
        <v/>
      </c>
      <c r="P99" s="142">
        <f>J99+M99</f>
        <v/>
      </c>
      <c r="Q99" s="142">
        <f>K99+N99</f>
        <v/>
      </c>
      <c r="R99" s="145">
        <f>IFERROR(Q99/P99,0)</f>
        <v/>
      </c>
      <c r="S99" s="144">
        <f>IFERROR(P99/SUMIF($A:$A,A99,$P:$P),0)</f>
        <v/>
      </c>
      <c r="T99" s="144">
        <f>IFERROR(P99/E99,0)</f>
        <v/>
      </c>
      <c r="U99" s="142">
        <f>E99-Q99</f>
        <v/>
      </c>
      <c r="V99" s="144">
        <f>IFERROR(U99/E99,0)</f>
        <v/>
      </c>
      <c r="W99" s="142">
        <f>IFERROR(VLOOKUP(A99,周报其他费用!$A:$B,2,FALSE)*H99,0)</f>
        <v/>
      </c>
      <c r="X99" s="142" t="n">
        <v>17.654</v>
      </c>
      <c r="Y99" s="144">
        <f>IFERROR(X99/F99,0)</f>
        <v/>
      </c>
      <c r="Z99" s="142">
        <f>X99-J99/1.06</f>
        <v/>
      </c>
      <c r="AA99" s="144">
        <f>IFERROR(Z99/F99,0)</f>
        <v/>
      </c>
      <c r="AB99" s="142">
        <f>X99-(P99+W99)/1.06</f>
        <v/>
      </c>
      <c r="AC99" s="144">
        <f>IFERROR(AB99/F99,0)</f>
        <v/>
      </c>
    </row>
    <row r="100" ht="14.25" customHeight="1" s="65">
      <c r="A100" s="146" t="inlineStr">
        <is>
          <t>6.15-6.21</t>
        </is>
      </c>
      <c r="B100" s="147" t="n">
        <v>773972883430</v>
      </c>
      <c r="C100" s="146" t="inlineStr">
        <is>
          <t>日式袋面</t>
        </is>
      </c>
      <c r="D100" s="146" t="inlineStr">
        <is>
          <t>营多捞面韩式火鸡面辣蘑菇汤面袋装泡面辣味速食方便面宿舍宵夜面</t>
        </is>
      </c>
      <c r="E100" s="148" t="n">
        <v>102.88</v>
      </c>
      <c r="F100" s="148">
        <f>IFERROR(E100/1.13,0)</f>
        <v/>
      </c>
      <c r="G100" s="149" t="n">
        <v>5</v>
      </c>
      <c r="H100" s="150">
        <f>IFERROR(G100/SUMIF($A:$A,A100,$G:$G),0)</f>
        <v/>
      </c>
      <c r="I100" s="148">
        <f>IFERROR(E100/G100,0)</f>
        <v/>
      </c>
      <c r="J100" s="148" t="n">
        <v>4.73980994532674</v>
      </c>
      <c r="K100" s="148" t="n">
        <v>32.7630408747722</v>
      </c>
      <c r="L100" s="151">
        <f>IFERROR(K100/J100,0)</f>
        <v/>
      </c>
      <c r="M100" s="148" t="n">
        <v>2.66414996094767</v>
      </c>
      <c r="N100" s="148" t="n">
        <v>5.75773236136423</v>
      </c>
      <c r="O100" s="151">
        <f>IFERROR(N100/M100,0)</f>
        <v/>
      </c>
      <c r="P100" s="148">
        <f>J100+M100</f>
        <v/>
      </c>
      <c r="Q100" s="148">
        <f>K100+N100</f>
        <v/>
      </c>
      <c r="R100" s="151">
        <f>IFERROR(Q100/P100,0)</f>
        <v/>
      </c>
      <c r="S100" s="150">
        <f>IFERROR(P100/SUMIF($A:$A,A100,$P:$P),0)</f>
        <v/>
      </c>
      <c r="T100" s="150">
        <f>IFERROR(P100/E100,0)</f>
        <v/>
      </c>
      <c r="U100" s="148">
        <f>E100-Q100</f>
        <v/>
      </c>
      <c r="V100" s="150">
        <f>IFERROR(U100/E100,0)</f>
        <v/>
      </c>
      <c r="W100" s="148">
        <f>IFERROR(VLOOKUP(A100,周报其他费用!$A:$B,2,FALSE)*H100,0)</f>
        <v/>
      </c>
      <c r="X100" s="148" t="n">
        <v>11.47</v>
      </c>
      <c r="Y100" s="150">
        <f>IFERROR(X100/F100,0)</f>
        <v/>
      </c>
      <c r="Z100" s="148">
        <f>X100-J100/1.06</f>
        <v/>
      </c>
      <c r="AA100" s="150">
        <f>IFERROR(Z100/F100,0)</f>
        <v/>
      </c>
      <c r="AB100" s="148">
        <f>X100-(P100+W100)/1.06</f>
        <v/>
      </c>
      <c r="AC100" s="150">
        <f>IFERROR(AB100/F100,0)</f>
        <v/>
      </c>
    </row>
    <row r="101" ht="14.25" customHeight="1" s="65">
      <c r="A101" s="140" t="inlineStr">
        <is>
          <t>6.15-6.21</t>
        </is>
      </c>
      <c r="B101" s="141" t="n">
        <v>649731447266</v>
      </c>
      <c r="C101" s="140" t="inlineStr">
        <is>
          <t>20包经典/牛系列</t>
        </is>
      </c>
      <c r="D101" s="140" t="inlineStr">
        <is>
          <t>营多印尼进口营多捞面方便面火鸡面干拌面20包宿舍速食泡面夜宵</t>
        </is>
      </c>
      <c r="E101" s="142" t="n">
        <v>227.99</v>
      </c>
      <c r="F101" s="142">
        <f>IFERROR(E101/1.13,0)</f>
        <v/>
      </c>
      <c r="G101" s="143" t="n">
        <v>5</v>
      </c>
      <c r="H101" s="144">
        <f>IFERROR(G101/SUMIF($A:$A,A101,$G:$G),0)</f>
        <v/>
      </c>
      <c r="I101" s="142">
        <f>IFERROR(E101/G101,0)</f>
        <v/>
      </c>
      <c r="J101" s="142" t="n">
        <v>17.8598099453267</v>
      </c>
      <c r="K101" s="142" t="n">
        <v>26.2630408747722</v>
      </c>
      <c r="L101" s="145">
        <f>IFERROR(K101/J101,0)</f>
        <v/>
      </c>
      <c r="M101" s="142" t="n">
        <v>2.66414996094767</v>
      </c>
      <c r="N101" s="142" t="n">
        <v>5.75773236136423</v>
      </c>
      <c r="O101" s="145">
        <f>IFERROR(N101/M101,0)</f>
        <v/>
      </c>
      <c r="P101" s="142">
        <f>J101+M101</f>
        <v/>
      </c>
      <c r="Q101" s="142">
        <f>K101+N101</f>
        <v/>
      </c>
      <c r="R101" s="145">
        <f>IFERROR(Q101/P101,0)</f>
        <v/>
      </c>
      <c r="S101" s="144">
        <f>IFERROR(P101/SUMIF($A:$A,A101,$P:$P),0)</f>
        <v/>
      </c>
      <c r="T101" s="144">
        <f>IFERROR(P101/E101,0)</f>
        <v/>
      </c>
      <c r="U101" s="142">
        <f>E101-Q101</f>
        <v/>
      </c>
      <c r="V101" s="144">
        <f>IFERROR(U101/E101,0)</f>
        <v/>
      </c>
      <c r="W101" s="142">
        <f>IFERROR(VLOOKUP(A101,周报其他费用!$A:$B,2,FALSE)*H101,0)</f>
        <v/>
      </c>
      <c r="X101" s="142" t="n">
        <v>37.497</v>
      </c>
      <c r="Y101" s="144">
        <f>IFERROR(X101/F101,0)</f>
        <v/>
      </c>
      <c r="Z101" s="142">
        <f>X101-J101/1.06</f>
        <v/>
      </c>
      <c r="AA101" s="144">
        <f>IFERROR(Z101/F101,0)</f>
        <v/>
      </c>
      <c r="AB101" s="142">
        <f>X101-(P101+W101)/1.06</f>
        <v/>
      </c>
      <c r="AC101" s="144">
        <f>IFERROR(AB101/F101,0)</f>
        <v/>
      </c>
    </row>
    <row r="102" ht="14.25" customHeight="1" s="65">
      <c r="A102" s="146" t="inlineStr">
        <is>
          <t>6.15-6.21</t>
        </is>
      </c>
      <c r="B102" s="147" t="n">
        <v>971242260371</v>
      </c>
      <c r="C102" s="146" t="inlineStr">
        <is>
          <t>韩式袋面</t>
        </is>
      </c>
      <c r="D102" s="146" t="inlineStr">
        <is>
          <t>新品营多捞面韩式辣蘑菇汤面泡面方便面速食干拌面宿舍宵夜旅行</t>
        </is>
      </c>
      <c r="E102" s="148" t="n">
        <v>80.68000000000001</v>
      </c>
      <c r="F102" s="148">
        <f>IFERROR(E102/1.13,0)</f>
        <v/>
      </c>
      <c r="G102" s="149" t="n">
        <v>4</v>
      </c>
      <c r="H102" s="150">
        <f>IFERROR(G102/SUMIF($A:$A,A102,$G:$G),0)</f>
        <v/>
      </c>
      <c r="I102" s="148">
        <f>IFERROR(E102/G102,0)</f>
        <v/>
      </c>
      <c r="J102" s="148" t="n">
        <v>18.4538479562614</v>
      </c>
      <c r="K102" s="148" t="n">
        <v>118.378432699818</v>
      </c>
      <c r="L102" s="151">
        <f>IFERROR(K102/J102,0)</f>
        <v/>
      </c>
      <c r="M102" s="148" t="n">
        <v>2.13131996875814</v>
      </c>
      <c r="N102" s="148" t="n">
        <v>4.60618588909138</v>
      </c>
      <c r="O102" s="151">
        <f>IFERROR(N102/M102,0)</f>
        <v/>
      </c>
      <c r="P102" s="148">
        <f>J102+M102</f>
        <v/>
      </c>
      <c r="Q102" s="148">
        <f>K102+N102</f>
        <v/>
      </c>
      <c r="R102" s="151">
        <f>IFERROR(Q102/P102,0)</f>
        <v/>
      </c>
      <c r="S102" s="150">
        <f>IFERROR(P102/SUMIF($A:$A,A102,$P:$P),0)</f>
        <v/>
      </c>
      <c r="T102" s="150">
        <f>IFERROR(P102/E102,0)</f>
        <v/>
      </c>
      <c r="U102" s="148">
        <f>E102-Q102</f>
        <v/>
      </c>
      <c r="V102" s="150">
        <f>IFERROR(U102/E102,0)</f>
        <v/>
      </c>
      <c r="W102" s="148">
        <f>IFERROR(VLOOKUP(A102,周报其他费用!$A:$B,2,FALSE)*H102,0)</f>
        <v/>
      </c>
      <c r="X102" s="148" t="n">
        <v>11.4</v>
      </c>
      <c r="Y102" s="150">
        <f>IFERROR(X102/F102,0)</f>
        <v/>
      </c>
      <c r="Z102" s="148">
        <f>X102-J102/1.06</f>
        <v/>
      </c>
      <c r="AA102" s="150">
        <f>IFERROR(Z102/F102,0)</f>
        <v/>
      </c>
      <c r="AB102" s="148">
        <f>X102-(P102+W102)/1.06</f>
        <v/>
      </c>
      <c r="AC102" s="150">
        <f>IFERROR(AB102/F102,0)</f>
        <v/>
      </c>
    </row>
    <row r="103" ht="14.25" customHeight="1" s="65">
      <c r="A103" s="140" t="inlineStr">
        <is>
          <t>6.15-6.21</t>
        </is>
      </c>
      <c r="B103" s="141" t="n">
        <v>949962665617</v>
      </c>
      <c r="C103" s="140" t="inlineStr">
        <is>
          <t>组合</t>
        </is>
      </c>
      <c r="D103" s="140" t="inlineStr">
        <is>
          <t>营多捞面多口味袋装泡面拌面速食面干拌面方便面宿舍宵夜速食旅行</t>
        </is>
      </c>
      <c r="E103" s="142" t="n">
        <v>71.92</v>
      </c>
      <c r="F103" s="142">
        <f>IFERROR(E103/1.13,0)</f>
        <v/>
      </c>
      <c r="G103" s="143" t="n">
        <v>4</v>
      </c>
      <c r="H103" s="144">
        <f>IFERROR(G103/SUMIF($A:$A,A103,$G:$G),0)</f>
        <v/>
      </c>
      <c r="I103" s="142">
        <f>IFERROR(E103/G103,0)</f>
        <v/>
      </c>
      <c r="J103" s="142" t="n">
        <v>47.9138479562614</v>
      </c>
      <c r="K103" s="142" t="n">
        <v>88.1484326998178</v>
      </c>
      <c r="L103" s="145">
        <f>IFERROR(K103/J103,0)</f>
        <v/>
      </c>
      <c r="M103" s="142" t="n">
        <v>2.13131996875814</v>
      </c>
      <c r="N103" s="142" t="n">
        <v>4.60618588909138</v>
      </c>
      <c r="O103" s="145">
        <f>IFERROR(N103/M103,0)</f>
        <v/>
      </c>
      <c r="P103" s="142">
        <f>J103+M103</f>
        <v/>
      </c>
      <c r="Q103" s="142">
        <f>K103+N103</f>
        <v/>
      </c>
      <c r="R103" s="145">
        <f>IFERROR(Q103/P103,0)</f>
        <v/>
      </c>
      <c r="S103" s="144">
        <f>IFERROR(P103/SUMIF($A:$A,A103,$P:$P),0)</f>
        <v/>
      </c>
      <c r="T103" s="144">
        <f>IFERROR(P103/E103,0)</f>
        <v/>
      </c>
      <c r="U103" s="142">
        <f>E103-Q103</f>
        <v/>
      </c>
      <c r="V103" s="144">
        <f>IFERROR(U103/E103,0)</f>
        <v/>
      </c>
      <c r="W103" s="142">
        <f>IFERROR(VLOOKUP(A103,周报其他费用!$A:$B,2,FALSE)*H103,0)</f>
        <v/>
      </c>
      <c r="X103" s="142" t="n">
        <v>5.715</v>
      </c>
      <c r="Y103" s="144">
        <f>IFERROR(X103/F103,0)</f>
        <v/>
      </c>
      <c r="Z103" s="142">
        <f>X103-J103/1.06</f>
        <v/>
      </c>
      <c r="AA103" s="144">
        <f>IFERROR(Z103/F103,0)</f>
        <v/>
      </c>
      <c r="AB103" s="142">
        <f>X103-(P103+W103)/1.06</f>
        <v/>
      </c>
      <c r="AC103" s="144">
        <f>IFERROR(AB103/F103,0)</f>
        <v/>
      </c>
    </row>
    <row r="104" ht="14.25" customHeight="1" s="65">
      <c r="A104" s="146" t="inlineStr">
        <is>
          <t>6.15-6.21</t>
        </is>
      </c>
      <c r="B104" s="147" t="n">
        <v>969433743398</v>
      </c>
      <c r="C104" s="146" t="inlineStr">
        <is>
          <t>韩蘑菇</t>
        </is>
      </c>
      <c r="D104" s="146" t="inlineStr">
        <is>
          <t>新品营多捞面韩式辣蘑菇汤面泡面方便面速食干拌面宿舍宵夜旅行</t>
        </is>
      </c>
      <c r="E104" s="148" t="n">
        <v>84.02</v>
      </c>
      <c r="F104" s="148">
        <f>IFERROR(E104/1.13,0)</f>
        <v/>
      </c>
      <c r="G104" s="149" t="n">
        <v>3</v>
      </c>
      <c r="H104" s="150">
        <f>IFERROR(G104/SUMIF($A:$A,A104,$G:$G),0)</f>
        <v/>
      </c>
      <c r="I104" s="148">
        <f>IFERROR(E104/G104,0)</f>
        <v/>
      </c>
      <c r="J104" s="148" t="n">
        <v>9.937885967196051</v>
      </c>
      <c r="K104" s="148" t="n">
        <v>90.1338245248633</v>
      </c>
      <c r="L104" s="151">
        <f>IFERROR(K104/J104,0)</f>
        <v/>
      </c>
      <c r="M104" s="148" t="n">
        <v>1.5984899765686</v>
      </c>
      <c r="N104" s="148" t="n">
        <v>3.45463941681854</v>
      </c>
      <c r="O104" s="151">
        <f>IFERROR(N104/M104,0)</f>
        <v/>
      </c>
      <c r="P104" s="148">
        <f>J104+M104</f>
        <v/>
      </c>
      <c r="Q104" s="148">
        <f>K104+N104</f>
        <v/>
      </c>
      <c r="R104" s="151">
        <f>IFERROR(Q104/P104,0)</f>
        <v/>
      </c>
      <c r="S104" s="150">
        <f>IFERROR(P104/SUMIF($A:$A,A104,$P:$P),0)</f>
        <v/>
      </c>
      <c r="T104" s="150">
        <f>IFERROR(P104/E104,0)</f>
        <v/>
      </c>
      <c r="U104" s="148">
        <f>E104-Q104</f>
        <v/>
      </c>
      <c r="V104" s="150">
        <f>IFERROR(U104/E104,0)</f>
        <v/>
      </c>
      <c r="W104" s="148">
        <f>IFERROR(VLOOKUP(A104,周报其他费用!$A:$B,2,FALSE)*H104,0)</f>
        <v/>
      </c>
      <c r="X104" s="148" t="n">
        <v>15.365</v>
      </c>
      <c r="Y104" s="150">
        <f>IFERROR(X104/F104,0)</f>
        <v/>
      </c>
      <c r="Z104" s="148">
        <f>X104-J104/1.06</f>
        <v/>
      </c>
      <c r="AA104" s="150">
        <f>IFERROR(Z104/F104,0)</f>
        <v/>
      </c>
      <c r="AB104" s="148">
        <f>X104-(P104+W104)/1.06</f>
        <v/>
      </c>
      <c r="AC104" s="150">
        <f>IFERROR(AB104/F104,0)</f>
        <v/>
      </c>
    </row>
    <row r="105" ht="14.25" customHeight="1" s="65">
      <c r="A105" s="140" t="inlineStr">
        <is>
          <t>6.15-6.21</t>
        </is>
      </c>
      <c r="B105" s="141" t="n">
        <v>898120785283</v>
      </c>
      <c r="C105" s="140" t="inlineStr">
        <is>
          <t>番茄</t>
        </is>
      </c>
      <c r="D105" s="140" t="inlineStr">
        <is>
          <t>进口意大利面风味奶香番茄牛肉味意式营多早餐儿童宝妈家庭餐拌面</t>
        </is>
      </c>
      <c r="E105" s="142" t="n">
        <v>65.7</v>
      </c>
      <c r="F105" s="142">
        <f>IFERROR(E105/1.13,0)</f>
        <v/>
      </c>
      <c r="G105" s="143" t="n">
        <v>3</v>
      </c>
      <c r="H105" s="144">
        <f>IFERROR(G105/SUMIF($A:$A,A105,$G:$G),0)</f>
        <v/>
      </c>
      <c r="I105" s="142">
        <f>IFERROR(E105/G105,0)</f>
        <v/>
      </c>
      <c r="J105" s="142" t="n">
        <v>1.14788596719604</v>
      </c>
      <c r="K105" s="142" t="n">
        <v>0.583824524863332</v>
      </c>
      <c r="L105" s="145">
        <f>IFERROR(K105/J105,0)</f>
        <v/>
      </c>
      <c r="M105" s="142" t="n">
        <v>1.5984899765686</v>
      </c>
      <c r="N105" s="142" t="n">
        <v>3.45463941681854</v>
      </c>
      <c r="O105" s="145">
        <f>IFERROR(N105/M105,0)</f>
        <v/>
      </c>
      <c r="P105" s="142">
        <f>J105+M105</f>
        <v/>
      </c>
      <c r="Q105" s="142">
        <f>K105+N105</f>
        <v/>
      </c>
      <c r="R105" s="145">
        <f>IFERROR(Q105/P105,0)</f>
        <v/>
      </c>
      <c r="S105" s="144">
        <f>IFERROR(P105/SUMIF($A:$A,A105,$P:$P),0)</f>
        <v/>
      </c>
      <c r="T105" s="144">
        <f>IFERROR(P105/E105,0)</f>
        <v/>
      </c>
      <c r="U105" s="142">
        <f>E105-Q105</f>
        <v/>
      </c>
      <c r="V105" s="144">
        <f>IFERROR(U105/E105,0)</f>
        <v/>
      </c>
      <c r="W105" s="142">
        <f>IFERROR(VLOOKUP(A105,周报其他费用!$A:$B,2,FALSE)*H105,0)</f>
        <v/>
      </c>
      <c r="X105" s="142" t="n">
        <v>8.631</v>
      </c>
      <c r="Y105" s="144">
        <f>IFERROR(X105/F105,0)</f>
        <v/>
      </c>
      <c r="Z105" s="142">
        <f>X105-J105/1.06</f>
        <v/>
      </c>
      <c r="AA105" s="144">
        <f>IFERROR(Z105/F105,0)</f>
        <v/>
      </c>
      <c r="AB105" s="142">
        <f>X105-(P105+W105)/1.06</f>
        <v/>
      </c>
      <c r="AC105" s="144">
        <f>IFERROR(AB105/F105,0)</f>
        <v/>
      </c>
    </row>
    <row r="106" ht="14.25" customHeight="1" s="65">
      <c r="A106" s="146" t="inlineStr">
        <is>
          <t>6.15-6.21</t>
        </is>
      </c>
      <c r="B106" s="147" t="n">
        <v>885645733215</v>
      </c>
      <c r="C106" s="146" t="inlineStr">
        <is>
          <t>大骨牛肉</t>
        </is>
      </c>
      <c r="D106" s="146" t="inlineStr">
        <is>
          <t>进口营多大骨番茄牛肉味营多捞面意式泡面宿舍宿舍宵夜速食方便面</t>
        </is>
      </c>
      <c r="E106" s="148" t="n">
        <v>41.06</v>
      </c>
      <c r="F106" s="148">
        <f>IFERROR(E106/1.13,0)</f>
        <v/>
      </c>
      <c r="G106" s="149" t="n">
        <v>3</v>
      </c>
      <c r="H106" s="150">
        <f>IFERROR(G106/SUMIF($A:$A,A106,$G:$G),0)</f>
        <v/>
      </c>
      <c r="I106" s="148">
        <f>IFERROR(E106/G106,0)</f>
        <v/>
      </c>
      <c r="J106" s="148" t="n">
        <v>2.31788596719604</v>
      </c>
      <c r="K106" s="148" t="n">
        <v>0.583824524863332</v>
      </c>
      <c r="L106" s="151">
        <f>IFERROR(K106/J106,0)</f>
        <v/>
      </c>
      <c r="M106" s="148" t="n">
        <v>1.5984899765686</v>
      </c>
      <c r="N106" s="148" t="n">
        <v>3.45463941681854</v>
      </c>
      <c r="O106" s="151">
        <f>IFERROR(N106/M106,0)</f>
        <v/>
      </c>
      <c r="P106" s="148">
        <f>J106+M106</f>
        <v/>
      </c>
      <c r="Q106" s="148">
        <f>K106+N106</f>
        <v/>
      </c>
      <c r="R106" s="151">
        <f>IFERROR(Q106/P106,0)</f>
        <v/>
      </c>
      <c r="S106" s="150">
        <f>IFERROR(P106/SUMIF($A:$A,A106,$P:$P),0)</f>
        <v/>
      </c>
      <c r="T106" s="150">
        <f>IFERROR(P106/E106,0)</f>
        <v/>
      </c>
      <c r="U106" s="148">
        <f>E106-Q106</f>
        <v/>
      </c>
      <c r="V106" s="150">
        <f>IFERROR(U106/E106,0)</f>
        <v/>
      </c>
      <c r="W106" s="148">
        <f>IFERROR(VLOOKUP(A106,周报其他费用!$A:$B,2,FALSE)*H106,0)</f>
        <v/>
      </c>
      <c r="X106" s="148" t="n">
        <v>1.015</v>
      </c>
      <c r="Y106" s="150">
        <f>IFERROR(X106/F106,0)</f>
        <v/>
      </c>
      <c r="Z106" s="148">
        <f>X106-J106/1.06</f>
        <v/>
      </c>
      <c r="AA106" s="150">
        <f>IFERROR(Z106/F106,0)</f>
        <v/>
      </c>
      <c r="AB106" s="148">
        <f>X106-(P106+W106)/1.06</f>
        <v/>
      </c>
      <c r="AC106" s="150">
        <f>IFERROR(AB106/F106,0)</f>
        <v/>
      </c>
    </row>
    <row r="107" ht="14.25" customHeight="1" s="65">
      <c r="A107" s="140" t="inlineStr">
        <is>
          <t>6.15-6.21</t>
        </is>
      </c>
      <c r="B107" s="141" t="n">
        <v>1028450344901</v>
      </c>
      <c r="C107" s="140" t="inlineStr">
        <is>
          <t>韩式火鸡</t>
        </is>
      </c>
      <c r="D107" s="140" t="inlineStr">
        <is>
          <t>营多韩式火鸡面袋装拌面干拌面泡面方便面速食面宿舍宵夜旅行</t>
        </is>
      </c>
      <c r="E107" s="142" t="n">
        <v>69.56999999999999</v>
      </c>
      <c r="F107" s="142">
        <f>IFERROR(E107/1.13,0)</f>
        <v/>
      </c>
      <c r="G107" s="143" t="n">
        <v>3</v>
      </c>
      <c r="H107" s="144">
        <f>IFERROR(G107/SUMIF($A:$A,A107,$G:$G),0)</f>
        <v/>
      </c>
      <c r="I107" s="142">
        <f>IFERROR(E107/G107,0)</f>
        <v/>
      </c>
      <c r="J107" s="142" t="n">
        <v>3.61788596719604</v>
      </c>
      <c r="K107" s="142" t="n">
        <v>19.0438245248633</v>
      </c>
      <c r="L107" s="145">
        <f>IFERROR(K107/J107,0)</f>
        <v/>
      </c>
      <c r="M107" s="142" t="n">
        <v>1.5984899765686</v>
      </c>
      <c r="N107" s="142" t="n">
        <v>3.45463941681854</v>
      </c>
      <c r="O107" s="145">
        <f>IFERROR(N107/M107,0)</f>
        <v/>
      </c>
      <c r="P107" s="142">
        <f>J107+M107</f>
        <v/>
      </c>
      <c r="Q107" s="142">
        <f>K107+N107</f>
        <v/>
      </c>
      <c r="R107" s="145">
        <f>IFERROR(Q107/P107,0)</f>
        <v/>
      </c>
      <c r="S107" s="144">
        <f>IFERROR(P107/SUMIF($A:$A,A107,$P:$P),0)</f>
        <v/>
      </c>
      <c r="T107" s="144">
        <f>IFERROR(P107/E107,0)</f>
        <v/>
      </c>
      <c r="U107" s="142">
        <f>E107-Q107</f>
        <v/>
      </c>
      <c r="V107" s="144">
        <f>IFERROR(U107/E107,0)</f>
        <v/>
      </c>
      <c r="W107" s="142">
        <f>IFERROR(VLOOKUP(A107,周报其他费用!$A:$B,2,FALSE)*H107,0)</f>
        <v/>
      </c>
      <c r="X107" s="142" t="n">
        <v>8.861000000000001</v>
      </c>
      <c r="Y107" s="144">
        <f>IFERROR(X107/F107,0)</f>
        <v/>
      </c>
      <c r="Z107" s="142">
        <f>X107-J107/1.06</f>
        <v/>
      </c>
      <c r="AA107" s="144">
        <f>IFERROR(Z107/F107,0)</f>
        <v/>
      </c>
      <c r="AB107" s="142">
        <f>X107-(P107+W107)/1.06</f>
        <v/>
      </c>
      <c r="AC107" s="144">
        <f>IFERROR(AB107/F107,0)</f>
        <v/>
      </c>
    </row>
    <row r="108" ht="14.25" customHeight="1" s="65">
      <c r="A108" s="146" t="inlineStr">
        <is>
          <t>6.15-6.21</t>
        </is>
      </c>
      <c r="B108" s="147" t="n">
        <v>932687928859</v>
      </c>
      <c r="C108" s="146" t="inlineStr">
        <is>
          <t>8包组合</t>
        </is>
      </c>
      <c r="D108" s="146" t="inlineStr">
        <is>
          <t>营多捞面八口味袋装泡面拌面速食面干拌面方便面宿舍宵夜速食家用</t>
        </is>
      </c>
      <c r="E108" s="148" t="n">
        <v>54.24</v>
      </c>
      <c r="F108" s="148">
        <f>IFERROR(E108/1.13,0)</f>
        <v/>
      </c>
      <c r="G108" s="149" t="n">
        <v>2</v>
      </c>
      <c r="H108" s="150">
        <f>IFERROR(G108/SUMIF($A:$A,A108,$G:$G),0)</f>
        <v/>
      </c>
      <c r="I108" s="148">
        <f>IFERROR(E108/G108,0)</f>
        <v/>
      </c>
      <c r="J108" s="148" t="n">
        <v>0.721923978130696</v>
      </c>
      <c r="K108" s="148" t="n">
        <v>0.389216349908888</v>
      </c>
      <c r="L108" s="151">
        <f>IFERROR(K108/J108,0)</f>
        <v/>
      </c>
      <c r="M108" s="148" t="n">
        <v>1.06565998437907</v>
      </c>
      <c r="N108" s="148" t="n">
        <v>2.30309294454569</v>
      </c>
      <c r="O108" s="151">
        <f>IFERROR(N108/M108,0)</f>
        <v/>
      </c>
      <c r="P108" s="148">
        <f>J108+M108</f>
        <v/>
      </c>
      <c r="Q108" s="148">
        <f>K108+N108</f>
        <v/>
      </c>
      <c r="R108" s="151">
        <f>IFERROR(Q108/P108,0)</f>
        <v/>
      </c>
      <c r="S108" s="150">
        <f>IFERROR(P108/SUMIF($A:$A,A108,$P:$P),0)</f>
        <v/>
      </c>
      <c r="T108" s="150">
        <f>IFERROR(P108/E108,0)</f>
        <v/>
      </c>
      <c r="U108" s="148">
        <f>E108-Q108</f>
        <v/>
      </c>
      <c r="V108" s="150">
        <f>IFERROR(U108/E108,0)</f>
        <v/>
      </c>
      <c r="W108" s="148">
        <f>IFERROR(VLOOKUP(A108,周报其他费用!$A:$B,2,FALSE)*H108,0)</f>
        <v/>
      </c>
      <c r="X108" s="148" t="n">
        <v>9.538</v>
      </c>
      <c r="Y108" s="150">
        <f>IFERROR(X108/F108,0)</f>
        <v/>
      </c>
      <c r="Z108" s="148">
        <f>X108-J108/1.06</f>
        <v/>
      </c>
      <c r="AA108" s="150">
        <f>IFERROR(Z108/F108,0)</f>
        <v/>
      </c>
      <c r="AB108" s="148">
        <f>X108-(P108+W108)/1.06</f>
        <v/>
      </c>
      <c r="AC108" s="150">
        <f>IFERROR(AB108/F108,0)</f>
        <v/>
      </c>
    </row>
    <row r="109" ht="14.25" customHeight="1" s="65">
      <c r="A109" s="140" t="inlineStr">
        <is>
          <t>6.15-6.21</t>
        </is>
      </c>
      <c r="B109" s="141" t="n">
        <v>976466902934</v>
      </c>
      <c r="C109" s="140" t="inlineStr">
        <is>
          <t>【U选】日式原杯1+日式辣杯1</t>
        </is>
      </c>
      <c r="D109" s="140" t="inlineStr">
        <is>
          <t>【天猫U选】indomie营多捞面辣火鸡味日式鸡肉原味杯面</t>
        </is>
      </c>
      <c r="E109" s="142" t="n">
        <v>18.81</v>
      </c>
      <c r="F109" s="142">
        <f>IFERROR(E109/1.13,0)</f>
        <v/>
      </c>
      <c r="G109" s="143" t="n">
        <v>2</v>
      </c>
      <c r="H109" s="144">
        <f>IFERROR(G109/SUMIF($A:$A,A109,$G:$G),0)</f>
        <v/>
      </c>
      <c r="I109" s="142">
        <f>IFERROR(E109/G109,0)</f>
        <v/>
      </c>
      <c r="J109" s="142" t="n">
        <v>0.411923978130696</v>
      </c>
      <c r="K109" s="142" t="n">
        <v>0.389216349908888</v>
      </c>
      <c r="L109" s="145">
        <f>IFERROR(K109/J109,0)</f>
        <v/>
      </c>
      <c r="M109" s="142" t="n">
        <v>1.06565998437907</v>
      </c>
      <c r="N109" s="142" t="n">
        <v>2.30309294454569</v>
      </c>
      <c r="O109" s="145">
        <f>IFERROR(N109/M109,0)</f>
        <v/>
      </c>
      <c r="P109" s="142">
        <f>J109+M109</f>
        <v/>
      </c>
      <c r="Q109" s="142">
        <f>K109+N109</f>
        <v/>
      </c>
      <c r="R109" s="145">
        <f>IFERROR(Q109/P109,0)</f>
        <v/>
      </c>
      <c r="S109" s="144">
        <f>IFERROR(P109/SUMIF($A:$A,A109,$P:$P),0)</f>
        <v/>
      </c>
      <c r="T109" s="144">
        <f>IFERROR(P109/E109,0)</f>
        <v/>
      </c>
      <c r="U109" s="142">
        <f>E109-Q109</f>
        <v/>
      </c>
      <c r="V109" s="144">
        <f>IFERROR(U109/E109,0)</f>
        <v/>
      </c>
      <c r="W109" s="142">
        <f>IFERROR(VLOOKUP(A109,周报其他费用!$A:$B,2,FALSE)*H109,0)</f>
        <v/>
      </c>
      <c r="X109" s="142" t="n">
        <v>-3.528</v>
      </c>
      <c r="Y109" s="144">
        <f>IFERROR(X109/F109,0)</f>
        <v/>
      </c>
      <c r="Z109" s="142">
        <f>X109-J109/1.06</f>
        <v/>
      </c>
      <c r="AA109" s="144">
        <f>IFERROR(Z109/F109,0)</f>
        <v/>
      </c>
      <c r="AB109" s="142">
        <f>X109-(P109+W109)/1.06</f>
        <v/>
      </c>
      <c r="AC109" s="144">
        <f>IFERROR(AB109/F109,0)</f>
        <v/>
      </c>
    </row>
    <row r="110" ht="14.25" customHeight="1" s="65">
      <c r="A110" s="146" t="inlineStr">
        <is>
          <t>6.15-6.21</t>
        </is>
      </c>
      <c r="B110" s="147" t="n">
        <v>947413291596</v>
      </c>
      <c r="C110" s="146" t="inlineStr">
        <is>
          <t>杯面</t>
        </is>
      </c>
      <c r="D110" s="146" t="inlineStr">
        <is>
          <t>营多捞面杯装方便面泡面速食干拌面原味整箱批发印尼进口桶装拌面</t>
        </is>
      </c>
      <c r="E110" s="148" t="n">
        <v>54.5</v>
      </c>
      <c r="F110" s="148">
        <f>IFERROR(E110/1.13,0)</f>
        <v/>
      </c>
      <c r="G110" s="149" t="n">
        <v>2</v>
      </c>
      <c r="H110" s="150">
        <f>IFERROR(G110/SUMIF($A:$A,A110,$G:$G),0)</f>
        <v/>
      </c>
      <c r="I110" s="148">
        <f>IFERROR(E110/G110,0)</f>
        <v/>
      </c>
      <c r="J110" s="148" t="n">
        <v>9.6719239781307</v>
      </c>
      <c r="K110" s="148" t="n">
        <v>54.8892163499089</v>
      </c>
      <c r="L110" s="151">
        <f>IFERROR(K110/J110,0)</f>
        <v/>
      </c>
      <c r="M110" s="148" t="n">
        <v>1.06565998437907</v>
      </c>
      <c r="N110" s="148" t="n">
        <v>2.30309294454569</v>
      </c>
      <c r="O110" s="151">
        <f>IFERROR(N110/M110,0)</f>
        <v/>
      </c>
      <c r="P110" s="148">
        <f>J110+M110</f>
        <v/>
      </c>
      <c r="Q110" s="148">
        <f>K110+N110</f>
        <v/>
      </c>
      <c r="R110" s="151">
        <f>IFERROR(Q110/P110,0)</f>
        <v/>
      </c>
      <c r="S110" s="150">
        <f>IFERROR(P110/SUMIF($A:$A,A110,$P:$P),0)</f>
        <v/>
      </c>
      <c r="T110" s="150">
        <f>IFERROR(P110/E110,0)</f>
        <v/>
      </c>
      <c r="U110" s="148">
        <f>E110-Q110</f>
        <v/>
      </c>
      <c r="V110" s="150">
        <f>IFERROR(U110/E110,0)</f>
        <v/>
      </c>
      <c r="W110" s="148">
        <f>IFERROR(VLOOKUP(A110,周报其他费用!$A:$B,2,FALSE)*H110,0)</f>
        <v/>
      </c>
      <c r="X110" s="148" t="n">
        <v>6.236</v>
      </c>
      <c r="Y110" s="150">
        <f>IFERROR(X110/F110,0)</f>
        <v/>
      </c>
      <c r="Z110" s="148">
        <f>X110-J110/1.06</f>
        <v/>
      </c>
      <c r="AA110" s="150">
        <f>IFERROR(Z110/F110,0)</f>
        <v/>
      </c>
      <c r="AB110" s="148">
        <f>X110-(P110+W110)/1.06</f>
        <v/>
      </c>
      <c r="AC110" s="150">
        <f>IFERROR(AB110/F110,0)</f>
        <v/>
      </c>
    </row>
    <row r="111" ht="14.25" customHeight="1" s="65">
      <c r="A111" s="140" t="inlineStr">
        <is>
          <t>6.15-6.21</t>
        </is>
      </c>
      <c r="B111" s="141" t="n">
        <v>1056927747753</v>
      </c>
      <c r="C111" s="140" t="inlineStr">
        <is>
          <t>巴东牛肉</t>
        </is>
      </c>
      <c r="D111" s="140" t="inlineStr">
        <is>
          <t>【新口味】印尼进口营多捞面巴东炖牛肉味泡面方便面宿舍速食宵夜</t>
        </is>
      </c>
      <c r="E111" s="142" t="n">
        <v>12.33</v>
      </c>
      <c r="F111" s="142">
        <f>IFERROR(E111/1.13,0)</f>
        <v/>
      </c>
      <c r="G111" s="143" t="n">
        <v>1</v>
      </c>
      <c r="H111" s="144">
        <f>IFERROR(G111/SUMIF($A:$A,A111,$G:$G),0)</f>
        <v/>
      </c>
      <c r="I111" s="142">
        <f>IFERROR(E111/G111,0)</f>
        <v/>
      </c>
      <c r="J111" s="142" t="n">
        <v>0.215961989065348</v>
      </c>
      <c r="K111" s="142" t="n">
        <v>0.194608174954444</v>
      </c>
      <c r="L111" s="145">
        <f>IFERROR(K111/J111,0)</f>
        <v/>
      </c>
      <c r="M111" s="142" t="n">
        <v>0.532829992189534</v>
      </c>
      <c r="N111" s="142" t="n">
        <v>1.15154647227285</v>
      </c>
      <c r="O111" s="145">
        <f>IFERROR(N111/M111,0)</f>
        <v/>
      </c>
      <c r="P111" s="142">
        <f>J111+M111</f>
        <v/>
      </c>
      <c r="Q111" s="142">
        <f>K111+N111</f>
        <v/>
      </c>
      <c r="R111" s="145">
        <f>IFERROR(Q111/P111,0)</f>
        <v/>
      </c>
      <c r="S111" s="144">
        <f>IFERROR(P111/SUMIF($A:$A,A111,$P:$P),0)</f>
        <v/>
      </c>
      <c r="T111" s="144">
        <f>IFERROR(P111/E111,0)</f>
        <v/>
      </c>
      <c r="U111" s="142">
        <f>E111-Q111</f>
        <v/>
      </c>
      <c r="V111" s="144">
        <f>IFERROR(U111/E111,0)</f>
        <v/>
      </c>
      <c r="W111" s="142">
        <f>IFERROR(VLOOKUP(A111,周报其他费用!$A:$B,2,FALSE)*H111,0)</f>
        <v/>
      </c>
      <c r="X111" s="142" t="n">
        <v>-0.773</v>
      </c>
      <c r="Y111" s="144">
        <f>IFERROR(X111/F111,0)</f>
        <v/>
      </c>
      <c r="Z111" s="142">
        <f>X111-J111/1.06</f>
        <v/>
      </c>
      <c r="AA111" s="144">
        <f>IFERROR(Z111/F111,0)</f>
        <v/>
      </c>
      <c r="AB111" s="142">
        <f>X111-(P111+W111)/1.06</f>
        <v/>
      </c>
      <c r="AC111" s="144">
        <f>IFERROR(AB111/F111,0)</f>
        <v/>
      </c>
    </row>
    <row r="112" ht="14.25" customHeight="1" s="65">
      <c r="A112" s="146" t="inlineStr">
        <is>
          <t>6.15-6.21</t>
        </is>
      </c>
      <c r="B112" s="147" t="n">
        <v>975092562679</v>
      </c>
      <c r="C112" s="146" t="inlineStr">
        <is>
          <t>杯面混搭</t>
        </is>
      </c>
      <c r="D112" s="146" t="inlineStr">
        <is>
          <t>营多韩式甜辣炸鸡火鸡面辣蘑菇杯面拌面泡面方便面速食宵夜旅行</t>
        </is>
      </c>
      <c r="E112" s="148" t="n">
        <v>46.72</v>
      </c>
      <c r="F112" s="148">
        <f>IFERROR(E112/1.13,0)</f>
        <v/>
      </c>
      <c r="G112" s="149" t="n">
        <v>1</v>
      </c>
      <c r="H112" s="150">
        <f>IFERROR(G112/SUMIF($A:$A,A112,$G:$G),0)</f>
        <v/>
      </c>
      <c r="I112" s="148">
        <f>IFERROR(E112/G112,0)</f>
        <v/>
      </c>
      <c r="J112" s="148" t="n">
        <v>2.04596198906535</v>
      </c>
      <c r="K112" s="148" t="n">
        <v>46.9146081749544</v>
      </c>
      <c r="L112" s="151">
        <f>IFERROR(K112/J112,0)</f>
        <v/>
      </c>
      <c r="M112" s="148" t="n">
        <v>0.532829992189534</v>
      </c>
      <c r="N112" s="148" t="n">
        <v>1.15154647227285</v>
      </c>
      <c r="O112" s="151">
        <f>IFERROR(N112/M112,0)</f>
        <v/>
      </c>
      <c r="P112" s="148">
        <f>J112+M112</f>
        <v/>
      </c>
      <c r="Q112" s="148">
        <f>K112+N112</f>
        <v/>
      </c>
      <c r="R112" s="151">
        <f>IFERROR(Q112/P112,0)</f>
        <v/>
      </c>
      <c r="S112" s="150">
        <f>IFERROR(P112/SUMIF($A:$A,A112,$P:$P),0)</f>
        <v/>
      </c>
      <c r="T112" s="150">
        <f>IFERROR(P112/E112,0)</f>
        <v/>
      </c>
      <c r="U112" s="148">
        <f>E112-Q112</f>
        <v/>
      </c>
      <c r="V112" s="150">
        <f>IFERROR(U112/E112,0)</f>
        <v/>
      </c>
      <c r="W112" s="148">
        <f>IFERROR(VLOOKUP(A112,周报其他费用!$A:$B,2,FALSE)*H112,0)</f>
        <v/>
      </c>
      <c r="X112" s="148" t="n">
        <v>14.079</v>
      </c>
      <c r="Y112" s="150">
        <f>IFERROR(X112/F112,0)</f>
        <v/>
      </c>
      <c r="Z112" s="148">
        <f>X112-J112/1.06</f>
        <v/>
      </c>
      <c r="AA112" s="150">
        <f>IFERROR(Z112/F112,0)</f>
        <v/>
      </c>
      <c r="AB112" s="148">
        <f>X112-(P112+W112)/1.06</f>
        <v/>
      </c>
      <c r="AC112" s="150">
        <f>IFERROR(AB112/F112,0)</f>
        <v/>
      </c>
    </row>
    <row r="113" ht="14.25" customHeight="1" s="65">
      <c r="A113" s="140" t="inlineStr">
        <is>
          <t>6.15-6.21</t>
        </is>
      </c>
      <c r="B113" s="141" t="n">
        <v>775016827115</v>
      </c>
      <c r="C113" s="140" t="inlineStr">
        <is>
          <t>杯面混搭</t>
        </is>
      </c>
      <c r="D113" s="140" t="inlineStr">
        <is>
          <t>进口营多原味杯面日式杯面韩式杯面泡面方便面汤面宿舍速食夜宵</t>
        </is>
      </c>
      <c r="E113" s="142" t="n">
        <v>27.9</v>
      </c>
      <c r="F113" s="142">
        <f>IFERROR(E113/1.13,0)</f>
        <v/>
      </c>
      <c r="G113" s="143" t="n">
        <v>1</v>
      </c>
      <c r="H113" s="144">
        <f>IFERROR(G113/SUMIF($A:$A,A113,$G:$G),0)</f>
        <v/>
      </c>
      <c r="I113" s="142">
        <f>IFERROR(E113/G113,0)</f>
        <v/>
      </c>
      <c r="J113" s="142" t="n">
        <v>3.36596198906535</v>
      </c>
      <c r="K113" s="142" t="n">
        <v>0.194608174954444</v>
      </c>
      <c r="L113" s="145">
        <f>IFERROR(K113/J113,0)</f>
        <v/>
      </c>
      <c r="M113" s="142" t="n">
        <v>0.532829992189534</v>
      </c>
      <c r="N113" s="142" t="n">
        <v>1.15154647227285</v>
      </c>
      <c r="O113" s="145">
        <f>IFERROR(N113/M113,0)</f>
        <v/>
      </c>
      <c r="P113" s="142">
        <f>J113+M113</f>
        <v/>
      </c>
      <c r="Q113" s="142">
        <f>K113+N113</f>
        <v/>
      </c>
      <c r="R113" s="145">
        <f>IFERROR(Q113/P113,0)</f>
        <v/>
      </c>
      <c r="S113" s="144">
        <f>IFERROR(P113/SUMIF($A:$A,A113,$P:$P),0)</f>
        <v/>
      </c>
      <c r="T113" s="144">
        <f>IFERROR(P113/E113,0)</f>
        <v/>
      </c>
      <c r="U113" s="142">
        <f>E113-Q113</f>
        <v/>
      </c>
      <c r="V113" s="144">
        <f>IFERROR(U113/E113,0)</f>
        <v/>
      </c>
      <c r="W113" s="142">
        <f>IFERROR(VLOOKUP(A113,周报其他费用!$A:$B,2,FALSE)*H113,0)</f>
        <v/>
      </c>
      <c r="X113" s="142" t="n">
        <v>3.65</v>
      </c>
      <c r="Y113" s="144">
        <f>IFERROR(X113/F113,0)</f>
        <v/>
      </c>
      <c r="Z113" s="142">
        <f>X113-J113/1.06</f>
        <v/>
      </c>
      <c r="AA113" s="144">
        <f>IFERROR(Z113/F113,0)</f>
        <v/>
      </c>
      <c r="AB113" s="142">
        <f>X113-(P113+W113)/1.06</f>
        <v/>
      </c>
      <c r="AC113" s="144">
        <f>IFERROR(AB113/F113,0)</f>
        <v/>
      </c>
    </row>
    <row r="114" ht="14.25" customHeight="1" s="65">
      <c r="A114" s="146" t="inlineStr">
        <is>
          <t>6.22-6.28</t>
        </is>
      </c>
      <c r="B114" s="147" t="n">
        <v>668566625747</v>
      </c>
      <c r="C114" s="146" t="inlineStr">
        <is>
          <t>袋面主链接</t>
        </is>
      </c>
      <c r="D114" s="146" t="inlineStr">
        <is>
          <t>印尼营多捞面进口网红泡面袋装方便面速食食品拉面火鸡面拌面整箱</t>
        </is>
      </c>
      <c r="E114" s="148" t="n">
        <v>25765.0100000003</v>
      </c>
      <c r="F114" s="148">
        <f>IFERROR(E114/1.13,0)</f>
        <v/>
      </c>
      <c r="G114" s="149" t="n">
        <v>1020</v>
      </c>
      <c r="H114" s="150">
        <f>IFERROR(G114/SUMIF($A:$A,A114,$G:$G),0)</f>
        <v/>
      </c>
      <c r="I114" s="148">
        <f>IFERROR(E114/G114,0)</f>
        <v/>
      </c>
      <c r="J114" s="148" t="n">
        <v>3802.10334986055</v>
      </c>
      <c r="K114" s="148" t="n">
        <v>19884.7344468547</v>
      </c>
      <c r="L114" s="151">
        <f>IFERROR(K114/J114,0)</f>
        <v/>
      </c>
      <c r="M114" s="148" t="n">
        <v>601.1488689185001</v>
      </c>
      <c r="N114" s="148" t="n">
        <v>1309.30133250697</v>
      </c>
      <c r="O114" s="151">
        <f>IFERROR(N114/M114,0)</f>
        <v/>
      </c>
      <c r="P114" s="148">
        <f>J114+M114</f>
        <v/>
      </c>
      <c r="Q114" s="148">
        <f>K114+N114</f>
        <v/>
      </c>
      <c r="R114" s="151">
        <f>IFERROR(Q114/P114,0)</f>
        <v/>
      </c>
      <c r="S114" s="150">
        <f>IFERROR(P114/SUMIF($A:$A,A114,$P:$P),0)</f>
        <v/>
      </c>
      <c r="T114" s="150">
        <f>IFERROR(P114/E114,0)</f>
        <v/>
      </c>
      <c r="U114" s="148">
        <f>E114-Q114</f>
        <v/>
      </c>
      <c r="V114" s="150">
        <f>IFERROR(U114/E114,0)</f>
        <v/>
      </c>
      <c r="W114" s="148">
        <f>IFERROR(VLOOKUP(A114,周报其他费用!$A:$B,2,FALSE)*H114,0)</f>
        <v/>
      </c>
      <c r="X114" s="148" t="n">
        <v>3381.64200000002</v>
      </c>
      <c r="Y114" s="150">
        <f>IFERROR(X114/F114,0)</f>
        <v/>
      </c>
      <c r="Z114" s="148">
        <f>X114-J114/1.06</f>
        <v/>
      </c>
      <c r="AA114" s="150">
        <f>IFERROR(Z114/F114,0)</f>
        <v/>
      </c>
      <c r="AB114" s="148">
        <f>X114-(P114+W114)/1.06</f>
        <v/>
      </c>
      <c r="AC114" s="152">
        <f>IFERROR(AB114/F114,0)</f>
        <v/>
      </c>
    </row>
    <row r="115" ht="14.25" customHeight="1" s="65">
      <c r="A115" s="140" t="inlineStr">
        <is>
          <t>6.22-6.28</t>
        </is>
      </c>
      <c r="B115" s="141" t="n">
        <v>649361890551</v>
      </c>
      <c r="C115" s="140" t="inlineStr">
        <is>
          <t>袋面次链接</t>
        </is>
      </c>
      <c r="D115" s="140" t="inlineStr">
        <is>
          <t>营多捞面印尼进口Indomie网红夜宵早餐方便面火鸡面泡面拌面</t>
        </is>
      </c>
      <c r="E115" s="142" t="n">
        <v>16505.8399999999</v>
      </c>
      <c r="F115" s="142">
        <f>IFERROR(E115/1.13,0)</f>
        <v/>
      </c>
      <c r="G115" s="143" t="n">
        <v>882</v>
      </c>
      <c r="H115" s="144">
        <f>IFERROR(G115/SUMIF($A:$A,A115,$G:$G),0)</f>
        <v/>
      </c>
      <c r="I115" s="142">
        <f>IFERROR(E115/G115,0)</f>
        <v/>
      </c>
      <c r="J115" s="142" t="n">
        <v>2715.06872017354</v>
      </c>
      <c r="K115" s="142" t="n">
        <v>13447.150021692</v>
      </c>
      <c r="L115" s="145">
        <f>IFERROR(K115/J115,0)</f>
        <v/>
      </c>
      <c r="M115" s="142" t="n">
        <v>519.816963123644</v>
      </c>
      <c r="N115" s="142" t="n">
        <v>1132.16056399132</v>
      </c>
      <c r="O115" s="145">
        <f>IFERROR(N115/M115,0)</f>
        <v/>
      </c>
      <c r="P115" s="142">
        <f>J115+M115</f>
        <v/>
      </c>
      <c r="Q115" s="142">
        <f>K115+N115</f>
        <v/>
      </c>
      <c r="R115" s="145">
        <f>IFERROR(Q115/P115,0)</f>
        <v/>
      </c>
      <c r="S115" s="144">
        <f>IFERROR(P115/SUMIF($A:$A,A115,$P:$P),0)</f>
        <v/>
      </c>
      <c r="T115" s="144">
        <f>IFERROR(P115/E115,0)</f>
        <v/>
      </c>
      <c r="U115" s="142">
        <f>E115-Q115</f>
        <v/>
      </c>
      <c r="V115" s="144">
        <f>IFERROR(U115/E115,0)</f>
        <v/>
      </c>
      <c r="W115" s="142">
        <f>IFERROR(VLOOKUP(A115,周报其他费用!$A:$B,2,FALSE)*H115,0)</f>
        <v/>
      </c>
      <c r="X115" s="142" t="n">
        <v>1487.82099999999</v>
      </c>
      <c r="Y115" s="144">
        <f>IFERROR(X115/F115,0)</f>
        <v/>
      </c>
      <c r="Z115" s="142">
        <f>X115-J115/1.06</f>
        <v/>
      </c>
      <c r="AA115" s="144">
        <f>IFERROR(Z115/F115,0)</f>
        <v/>
      </c>
      <c r="AB115" s="142">
        <f>X115-(P115+W115)/1.06</f>
        <v/>
      </c>
      <c r="AC115" s="144">
        <f>IFERROR(AB115/F115,0)</f>
        <v/>
      </c>
    </row>
    <row r="116" ht="14.25" customHeight="1" s="65">
      <c r="A116" s="146" t="inlineStr">
        <is>
          <t>6.22-6.28</t>
        </is>
      </c>
      <c r="B116" s="147" t="n">
        <v>649735171438</v>
      </c>
      <c r="C116" s="146" t="inlineStr">
        <is>
          <t>杯面主链接</t>
        </is>
      </c>
      <c r="D116" s="146" t="inlineStr">
        <is>
          <t>印尼进口indomie营多捞面杯面速食泡面干拌面盒桶装方便面火鸡面</t>
        </is>
      </c>
      <c r="E116" s="148" t="n">
        <v>14641.33</v>
      </c>
      <c r="F116" s="148">
        <f>IFERROR(E116/1.13,0)</f>
        <v/>
      </c>
      <c r="G116" s="149" t="n">
        <v>582</v>
      </c>
      <c r="H116" s="150">
        <f>IFERROR(G116/SUMIF($A:$A,A116,$G:$G),0)</f>
        <v/>
      </c>
      <c r="I116" s="148">
        <f>IFERROR(E116/G116,0)</f>
        <v/>
      </c>
      <c r="J116" s="148" t="n">
        <v>2548.2112643322</v>
      </c>
      <c r="K116" s="148" t="n">
        <v>10941.1051843818</v>
      </c>
      <c r="L116" s="151">
        <f>IFERROR(K116/J116,0)</f>
        <v/>
      </c>
      <c r="M116" s="148" t="n">
        <v>343.008472265262</v>
      </c>
      <c r="N116" s="148" t="n">
        <v>747.07193678339</v>
      </c>
      <c r="O116" s="151">
        <f>IFERROR(N116/M116,0)</f>
        <v/>
      </c>
      <c r="P116" s="148">
        <f>J116+M116</f>
        <v/>
      </c>
      <c r="Q116" s="148">
        <f>K116+N116</f>
        <v/>
      </c>
      <c r="R116" s="151">
        <f>IFERROR(Q116/P116,0)</f>
        <v/>
      </c>
      <c r="S116" s="150">
        <f>IFERROR(P116/SUMIF($A:$A,A116,$P:$P),0)</f>
        <v/>
      </c>
      <c r="T116" s="150">
        <f>IFERROR(P116/E116,0)</f>
        <v/>
      </c>
      <c r="U116" s="148">
        <f>E116-Q116</f>
        <v/>
      </c>
      <c r="V116" s="150">
        <f>IFERROR(U116/E116,0)</f>
        <v/>
      </c>
      <c r="W116" s="148">
        <f>IFERROR(VLOOKUP(A116,周报其他费用!$A:$B,2,FALSE)*H116,0)</f>
        <v/>
      </c>
      <c r="X116" s="148" t="n">
        <v>1627.495</v>
      </c>
      <c r="Y116" s="150">
        <f>IFERROR(X116/F116,0)</f>
        <v/>
      </c>
      <c r="Z116" s="148">
        <f>X116-J116/1.06</f>
        <v/>
      </c>
      <c r="AA116" s="150">
        <f>IFERROR(Z116/F116,0)</f>
        <v/>
      </c>
      <c r="AB116" s="148">
        <f>X116-(P116+W116)/1.06</f>
        <v/>
      </c>
      <c r="AC116" s="150">
        <f>IFERROR(AB116/F116,0)</f>
        <v/>
      </c>
    </row>
    <row r="117" ht="14.25" customHeight="1" s="65">
      <c r="A117" s="140" t="inlineStr">
        <is>
          <t>6.22-6.28</t>
        </is>
      </c>
      <c r="B117" s="141" t="n">
        <v>648600900806</v>
      </c>
      <c r="C117" s="140" t="inlineStr">
        <is>
          <t>30包</t>
        </is>
      </c>
      <c r="D117" s="140" t="inlineStr">
        <is>
          <t>进口营多捞面一整箱30包网红速食方便面宿舍速食泡面干拌面拉面</t>
        </is>
      </c>
      <c r="E117" s="142" t="n">
        <v>8216.639999999999</v>
      </c>
      <c r="F117" s="142">
        <f>IFERROR(E117/1.13,0)</f>
        <v/>
      </c>
      <c r="G117" s="143" t="n">
        <v>119</v>
      </c>
      <c r="H117" s="144">
        <f>IFERROR(G117/SUMIF($A:$A,A117,$G:$G),0)</f>
        <v/>
      </c>
      <c r="I117" s="142">
        <f>IFERROR(E117/G117,0)</f>
        <v/>
      </c>
      <c r="J117" s="142" t="n">
        <v>1816.61355748373</v>
      </c>
      <c r="K117" s="142" t="n">
        <v>8969.03468546638</v>
      </c>
      <c r="L117" s="145">
        <f>IFERROR(K117/J117,0)</f>
        <v/>
      </c>
      <c r="M117" s="142" t="n">
        <v>70.13403470715831</v>
      </c>
      <c r="N117" s="142" t="n">
        <v>152.751822125813</v>
      </c>
      <c r="O117" s="145">
        <f>IFERROR(N117/M117,0)</f>
        <v/>
      </c>
      <c r="P117" s="142">
        <f>J117+M117</f>
        <v/>
      </c>
      <c r="Q117" s="142">
        <f>K117+N117</f>
        <v/>
      </c>
      <c r="R117" s="145">
        <f>IFERROR(Q117/P117,0)</f>
        <v/>
      </c>
      <c r="S117" s="144">
        <f>IFERROR(P117/SUMIF($A:$A,A117,$P:$P),0)</f>
        <v/>
      </c>
      <c r="T117" s="144">
        <f>IFERROR(P117/E117,0)</f>
        <v/>
      </c>
      <c r="U117" s="142">
        <f>E117-Q117</f>
        <v/>
      </c>
      <c r="V117" s="144">
        <f>IFERROR(U117/E117,0)</f>
        <v/>
      </c>
      <c r="W117" s="142">
        <f>IFERROR(VLOOKUP(A117,周报其他费用!$A:$B,2,FALSE)*H117,0)</f>
        <v/>
      </c>
      <c r="X117" s="142" t="n">
        <v>1595.262</v>
      </c>
      <c r="Y117" s="144">
        <f>IFERROR(X117/F117,0)</f>
        <v/>
      </c>
      <c r="Z117" s="142">
        <f>X117-J117/1.06</f>
        <v/>
      </c>
      <c r="AA117" s="144">
        <f>IFERROR(Z117/F117,0)</f>
        <v/>
      </c>
      <c r="AB117" s="142">
        <f>X117-(P117+W117)/1.06</f>
        <v/>
      </c>
      <c r="AC117" s="144">
        <f>IFERROR(AB117/F117,0)</f>
        <v/>
      </c>
    </row>
    <row r="118" ht="14.25" customHeight="1" s="65">
      <c r="A118" s="146" t="inlineStr">
        <is>
          <t>6.22-6.28</t>
        </is>
      </c>
      <c r="B118" s="147" t="n">
        <v>649369494424</v>
      </c>
      <c r="C118" s="146" t="inlineStr">
        <is>
          <t>24包经典/牛系列</t>
        </is>
      </c>
      <c r="D118" s="146" t="inlineStr">
        <is>
          <t>营多捞面干拌面一整箱24袋装批发泡面混搭宿舍速食方便面火鸡面</t>
        </is>
      </c>
      <c r="E118" s="148" t="n">
        <v>4641.89</v>
      </c>
      <c r="F118" s="148">
        <f>IFERROR(E118/1.13,0)</f>
        <v/>
      </c>
      <c r="G118" s="149" t="n">
        <v>84</v>
      </c>
      <c r="H118" s="150">
        <f>IFERROR(G118/SUMIF($A:$A,A118,$G:$G),0)</f>
        <v/>
      </c>
      <c r="I118" s="148">
        <f>IFERROR(E118/G118,0)</f>
        <v/>
      </c>
      <c r="J118" s="148" t="n">
        <v>931.063687635575</v>
      </c>
      <c r="K118" s="148" t="n">
        <v>3680.16095444686</v>
      </c>
      <c r="L118" s="151">
        <f>IFERROR(K118/J118,0)</f>
        <v/>
      </c>
      <c r="M118" s="148" t="n">
        <v>49.5063774403471</v>
      </c>
      <c r="N118" s="148" t="n">
        <v>107.824815618221</v>
      </c>
      <c r="O118" s="151">
        <f>IFERROR(N118/M118,0)</f>
        <v/>
      </c>
      <c r="P118" s="148">
        <f>J118+M118</f>
        <v/>
      </c>
      <c r="Q118" s="148">
        <f>K118+N118</f>
        <v/>
      </c>
      <c r="R118" s="151">
        <f>IFERROR(Q118/P118,0)</f>
        <v/>
      </c>
      <c r="S118" s="150">
        <f>IFERROR(P118/SUMIF($A:$A,A118,$P:$P),0)</f>
        <v/>
      </c>
      <c r="T118" s="150">
        <f>IFERROR(P118/E118,0)</f>
        <v/>
      </c>
      <c r="U118" s="148">
        <f>E118-Q118</f>
        <v/>
      </c>
      <c r="V118" s="150">
        <f>IFERROR(U118/E118,0)</f>
        <v/>
      </c>
      <c r="W118" s="148">
        <f>IFERROR(VLOOKUP(A118,周报其他费用!$A:$B,2,FALSE)*H118,0)</f>
        <v/>
      </c>
      <c r="X118" s="148" t="n">
        <v>869.492000000001</v>
      </c>
      <c r="Y118" s="150">
        <f>IFERROR(X118/F118,0)</f>
        <v/>
      </c>
      <c r="Z118" s="148">
        <f>X118-J118/1.06</f>
        <v/>
      </c>
      <c r="AA118" s="150">
        <f>IFERROR(Z118/F118,0)</f>
        <v/>
      </c>
      <c r="AB118" s="148">
        <f>X118-(P118+W118)/1.06</f>
        <v/>
      </c>
      <c r="AC118" s="150">
        <f>IFERROR(AB118/F118,0)</f>
        <v/>
      </c>
    </row>
    <row r="119" ht="14.25" customHeight="1" s="65">
      <c r="A119" s="140" t="inlineStr">
        <is>
          <t>6.22-6.28</t>
        </is>
      </c>
      <c r="B119" s="141" t="n">
        <v>648598580775</v>
      </c>
      <c r="C119" s="140" t="inlineStr">
        <is>
          <t>15包</t>
        </is>
      </c>
      <c r="D119" s="140" t="inlineStr">
        <is>
          <t>进口营多捞面15包Indomie方便面干拌面夜宵方便速食五连包85g*5</t>
        </is>
      </c>
      <c r="E119" s="142" t="n">
        <v>2908.07</v>
      </c>
      <c r="F119" s="142">
        <f>IFERROR(E119/1.13,0)</f>
        <v/>
      </c>
      <c r="G119" s="143" t="n">
        <v>79</v>
      </c>
      <c r="H119" s="144">
        <f>IFERROR(G119/SUMIF($A:$A,A119,$G:$G),0)</f>
        <v/>
      </c>
      <c r="I119" s="142">
        <f>IFERROR(E119/G119,0)</f>
        <v/>
      </c>
      <c r="J119" s="142" t="n">
        <v>573.086563371552</v>
      </c>
      <c r="K119" s="142" t="n">
        <v>2270.85470715835</v>
      </c>
      <c r="L119" s="145">
        <f>IFERROR(K119/J119,0)</f>
        <v/>
      </c>
      <c r="M119" s="142" t="n">
        <v>46.559569259374</v>
      </c>
      <c r="N119" s="142" t="n">
        <v>101.406671831422</v>
      </c>
      <c r="O119" s="145">
        <f>IFERROR(N119/M119,0)</f>
        <v/>
      </c>
      <c r="P119" s="142">
        <f>J119+M119</f>
        <v/>
      </c>
      <c r="Q119" s="142">
        <f>K119+N119</f>
        <v/>
      </c>
      <c r="R119" s="145">
        <f>IFERROR(Q119/P119,0)</f>
        <v/>
      </c>
      <c r="S119" s="144">
        <f>IFERROR(P119/SUMIF($A:$A,A119,$P:$P),0)</f>
        <v/>
      </c>
      <c r="T119" s="144">
        <f>IFERROR(P119/E119,0)</f>
        <v/>
      </c>
      <c r="U119" s="142">
        <f>E119-Q119</f>
        <v/>
      </c>
      <c r="V119" s="144">
        <f>IFERROR(U119/E119,0)</f>
        <v/>
      </c>
      <c r="W119" s="142">
        <f>IFERROR(VLOOKUP(A119,周报其他费用!$A:$B,2,FALSE)*H119,0)</f>
        <v/>
      </c>
      <c r="X119" s="142" t="n">
        <v>516.707</v>
      </c>
      <c r="Y119" s="144">
        <f>IFERROR(X119/F119,0)</f>
        <v/>
      </c>
      <c r="Z119" s="142">
        <f>X119-J119/1.06</f>
        <v/>
      </c>
      <c r="AA119" s="144">
        <f>IFERROR(Z119/F119,0)</f>
        <v/>
      </c>
      <c r="AB119" s="142">
        <f>X119-(P119+W119)/1.06</f>
        <v/>
      </c>
      <c r="AC119" s="144">
        <f>IFERROR(AB119/F119,0)</f>
        <v/>
      </c>
    </row>
    <row r="120" ht="14.25" customHeight="1" s="65">
      <c r="A120" s="146" t="inlineStr">
        <is>
          <t>6.22-6.28</t>
        </is>
      </c>
      <c r="B120" s="147" t="n">
        <v>649014937782</v>
      </c>
      <c r="C120" s="146" t="inlineStr">
        <is>
          <t>24包</t>
        </is>
      </c>
      <c r="D120" s="146" t="inlineStr">
        <is>
          <t>印尼营多捞面干拌面一整箱24袋装批发泡面宿舍速食方便面火鸡面</t>
        </is>
      </c>
      <c r="E120" s="148" t="n">
        <v>3690.03</v>
      </c>
      <c r="F120" s="148">
        <f>IFERROR(E120/1.13,0)</f>
        <v/>
      </c>
      <c r="G120" s="149" t="n">
        <v>65</v>
      </c>
      <c r="H120" s="150">
        <f>IFERROR(G120/SUMIF($A:$A,A120,$G:$G),0)</f>
        <v/>
      </c>
      <c r="I120" s="148">
        <f>IFERROR(E120/G120,0)</f>
        <v/>
      </c>
      <c r="J120" s="148" t="n">
        <v>870.93261543229</v>
      </c>
      <c r="K120" s="148" t="n">
        <v>3114.97121475054</v>
      </c>
      <c r="L120" s="151">
        <f>IFERROR(K120/J120,0)</f>
        <v/>
      </c>
      <c r="M120" s="148" t="n">
        <v>38.3085063526495</v>
      </c>
      <c r="N120" s="148" t="n">
        <v>83.4358692283855</v>
      </c>
      <c r="O120" s="151">
        <f>IFERROR(N120/M120,0)</f>
        <v/>
      </c>
      <c r="P120" s="148">
        <f>J120+M120</f>
        <v/>
      </c>
      <c r="Q120" s="148">
        <f>K120+N120</f>
        <v/>
      </c>
      <c r="R120" s="151">
        <f>IFERROR(Q120/P120,0)</f>
        <v/>
      </c>
      <c r="S120" s="150">
        <f>IFERROR(P120/SUMIF($A:$A,A120,$P:$P),0)</f>
        <v/>
      </c>
      <c r="T120" s="150">
        <f>IFERROR(P120/E120,0)</f>
        <v/>
      </c>
      <c r="U120" s="148">
        <f>E120-Q120</f>
        <v/>
      </c>
      <c r="V120" s="150">
        <f>IFERROR(U120/E120,0)</f>
        <v/>
      </c>
      <c r="W120" s="148">
        <f>IFERROR(VLOOKUP(A120,周报其他费用!$A:$B,2,FALSE)*H120,0)</f>
        <v/>
      </c>
      <c r="X120" s="148" t="n">
        <v>743.049000000001</v>
      </c>
      <c r="Y120" s="150">
        <f>IFERROR(X120/F120,0)</f>
        <v/>
      </c>
      <c r="Z120" s="148">
        <f>X120-J120/1.06</f>
        <v/>
      </c>
      <c r="AA120" s="150">
        <f>IFERROR(Z120/F120,0)</f>
        <v/>
      </c>
      <c r="AB120" s="148">
        <f>X120-(P120+W120)/1.06</f>
        <v/>
      </c>
      <c r="AC120" s="150">
        <f>IFERROR(AB120/F120,0)</f>
        <v/>
      </c>
    </row>
    <row r="121" ht="14.25" customHeight="1" s="65">
      <c r="A121" s="140" t="inlineStr">
        <is>
          <t>6.22-6.28</t>
        </is>
      </c>
      <c r="B121" s="141" t="n">
        <v>1057479227624</v>
      </c>
      <c r="C121" s="140" t="inlineStr">
        <is>
          <t>巴东牛肉</t>
        </is>
      </c>
      <c r="D121" s="140" t="inlineStr">
        <is>
          <t>【新口味】印尼进口营多捞面巴东炖牛肉味泡面方便面宿舍速食宵夜</t>
        </is>
      </c>
      <c r="E121" s="142" t="n">
        <v>831.339999999999</v>
      </c>
      <c r="F121" s="142">
        <f>IFERROR(E121/1.13,0)</f>
        <v/>
      </c>
      <c r="G121" s="143" t="n">
        <v>45</v>
      </c>
      <c r="H121" s="144">
        <f>IFERROR(G121/SUMIF($A:$A,A121,$G:$G),0)</f>
        <v/>
      </c>
      <c r="I121" s="142">
        <f>IFERROR(E121/G121,0)</f>
        <v/>
      </c>
      <c r="J121" s="142" t="n">
        <v>243.604118376201</v>
      </c>
      <c r="K121" s="142" t="n">
        <v>1033.65622559653</v>
      </c>
      <c r="L121" s="145">
        <f>IFERROR(K121/J121,0)</f>
        <v/>
      </c>
      <c r="M121" s="142" t="n">
        <v>26.5212736287574</v>
      </c>
      <c r="N121" s="142" t="n">
        <v>57.76329408119</v>
      </c>
      <c r="O121" s="145">
        <f>IFERROR(N121/M121,0)</f>
        <v/>
      </c>
      <c r="P121" s="142">
        <f>J121+M121</f>
        <v/>
      </c>
      <c r="Q121" s="142">
        <f>K121+N121</f>
        <v/>
      </c>
      <c r="R121" s="145">
        <f>IFERROR(Q121/P121,0)</f>
        <v/>
      </c>
      <c r="S121" s="144">
        <f>IFERROR(P121/SUMIF($A:$A,A121,$P:$P),0)</f>
        <v/>
      </c>
      <c r="T121" s="144">
        <f>IFERROR(P121/E121,0)</f>
        <v/>
      </c>
      <c r="U121" s="142">
        <f>E121-Q121</f>
        <v/>
      </c>
      <c r="V121" s="144">
        <f>IFERROR(U121/E121,0)</f>
        <v/>
      </c>
      <c r="W121" s="142">
        <f>IFERROR(VLOOKUP(A121,周报其他费用!$A:$B,2,FALSE)*H121,0)</f>
        <v/>
      </c>
      <c r="X121" s="142" t="n">
        <v>97.11</v>
      </c>
      <c r="Y121" s="144">
        <f>IFERROR(X121/F121,0)</f>
        <v/>
      </c>
      <c r="Z121" s="142">
        <f>X121-J121/1.06</f>
        <v/>
      </c>
      <c r="AA121" s="144">
        <f>IFERROR(Z121/F121,0)</f>
        <v/>
      </c>
      <c r="AB121" s="142">
        <f>X121-(P121+W121)/1.06</f>
        <v/>
      </c>
      <c r="AC121" s="144">
        <f>IFERROR(AB121/F121,0)</f>
        <v/>
      </c>
    </row>
    <row r="122" ht="14.25" customHeight="1" s="65">
      <c r="A122" s="146" t="inlineStr">
        <is>
          <t>6.22-6.28</t>
        </is>
      </c>
      <c r="B122" s="147" t="n">
        <v>1058280415678</v>
      </c>
      <c r="C122" s="146" t="inlineStr">
        <is>
          <t>原味大包</t>
        </is>
      </c>
      <c r="D122" s="146" t="inlineStr">
        <is>
          <t>印尼进口大大包营多原味捞面5包干拌面速食超大包方便面速食宵夜</t>
        </is>
      </c>
      <c r="E122" s="148" t="n">
        <v>1207</v>
      </c>
      <c r="F122" s="148">
        <f>IFERROR(E122/1.13,0)</f>
        <v/>
      </c>
      <c r="G122" s="149" t="n">
        <v>44</v>
      </c>
      <c r="H122" s="150">
        <f>IFERROR(G122/SUMIF($A:$A,A122,$G:$G),0)</f>
        <v/>
      </c>
      <c r="I122" s="148">
        <f>IFERROR(E122/G122,0)</f>
        <v/>
      </c>
      <c r="J122" s="148" t="n">
        <v>130.676693523396</v>
      </c>
      <c r="K122" s="148" t="n">
        <v>1164.61097613883</v>
      </c>
      <c r="L122" s="151">
        <f>IFERROR(K122/J122,0)</f>
        <v/>
      </c>
      <c r="M122" s="148" t="n">
        <v>25.9319119925627</v>
      </c>
      <c r="N122" s="148" t="n">
        <v>56.4796653238302</v>
      </c>
      <c r="O122" s="151">
        <f>IFERROR(N122/M122,0)</f>
        <v/>
      </c>
      <c r="P122" s="148">
        <f>J122+M122</f>
        <v/>
      </c>
      <c r="Q122" s="148">
        <f>K122+N122</f>
        <v/>
      </c>
      <c r="R122" s="151">
        <f>IFERROR(Q122/P122,0)</f>
        <v/>
      </c>
      <c r="S122" s="150">
        <f>IFERROR(P122/SUMIF($A:$A,A122,$P:$P),0)</f>
        <v/>
      </c>
      <c r="T122" s="150">
        <f>IFERROR(P122/E122,0)</f>
        <v/>
      </c>
      <c r="U122" s="148">
        <f>E122-Q122</f>
        <v/>
      </c>
      <c r="V122" s="150">
        <f>IFERROR(U122/E122,0)</f>
        <v/>
      </c>
      <c r="W122" s="148">
        <f>IFERROR(VLOOKUP(A122,周报其他费用!$A:$B,2,FALSE)*H122,0)</f>
        <v/>
      </c>
      <c r="X122" s="148" t="n">
        <v>253.564</v>
      </c>
      <c r="Y122" s="150">
        <f>IFERROR(X122/F122,0)</f>
        <v/>
      </c>
      <c r="Z122" s="148">
        <f>X122-J122/1.06</f>
        <v/>
      </c>
      <c r="AA122" s="150">
        <f>IFERROR(Z122/F122,0)</f>
        <v/>
      </c>
      <c r="AB122" s="148">
        <f>X122-(P122+W122)/1.06</f>
        <v/>
      </c>
      <c r="AC122" s="150">
        <f>IFERROR(AB122/F122,0)</f>
        <v/>
      </c>
    </row>
    <row r="123" ht="14.25" customHeight="1" s="65">
      <c r="A123" s="140" t="inlineStr">
        <is>
          <t>6.22-6.28</t>
        </is>
      </c>
      <c r="B123" s="141" t="n">
        <v>648681860568</v>
      </c>
      <c r="C123" s="140" t="inlineStr">
        <is>
          <t>杯面次链接</t>
        </is>
      </c>
      <c r="D123" s="140" t="inlineStr">
        <is>
          <t>营多捞面杯装方便面泡面速食干拌面原味整箱批发印尼进口桶装拌面</t>
        </is>
      </c>
      <c r="E123" s="142" t="n">
        <v>1171.64</v>
      </c>
      <c r="F123" s="142">
        <f>IFERROR(E123/1.13,0)</f>
        <v/>
      </c>
      <c r="G123" s="143" t="n">
        <v>40</v>
      </c>
      <c r="H123" s="144">
        <f>IFERROR(G123/SUMIF($A:$A,A123,$G:$G),0)</f>
        <v/>
      </c>
      <c r="I123" s="142">
        <f>IFERROR(E123/G123,0)</f>
        <v/>
      </c>
      <c r="J123" s="142" t="n">
        <v>167.796994112178</v>
      </c>
      <c r="K123" s="142" t="n">
        <v>767.559978308026</v>
      </c>
      <c r="L123" s="145">
        <f>IFERROR(K123/J123,0)</f>
        <v/>
      </c>
      <c r="M123" s="142" t="n">
        <v>23.5744654477843</v>
      </c>
      <c r="N123" s="142" t="n">
        <v>51.3451502943911</v>
      </c>
      <c r="O123" s="145">
        <f>IFERROR(N123/M123,0)</f>
        <v/>
      </c>
      <c r="P123" s="142">
        <f>J123+M123</f>
        <v/>
      </c>
      <c r="Q123" s="142">
        <f>K123+N123</f>
        <v/>
      </c>
      <c r="R123" s="145">
        <f>IFERROR(Q123/P123,0)</f>
        <v/>
      </c>
      <c r="S123" s="144">
        <f>IFERROR(P123/SUMIF($A:$A,A123,$P:$P),0)</f>
        <v/>
      </c>
      <c r="T123" s="144">
        <f>IFERROR(P123/E123,0)</f>
        <v/>
      </c>
      <c r="U123" s="142">
        <f>E123-Q123</f>
        <v/>
      </c>
      <c r="V123" s="144">
        <f>IFERROR(U123/E123,0)</f>
        <v/>
      </c>
      <c r="W123" s="142">
        <f>IFERROR(VLOOKUP(A123,周报其他费用!$A:$B,2,FALSE)*H123,0)</f>
        <v/>
      </c>
      <c r="X123" s="142" t="n">
        <v>135.955</v>
      </c>
      <c r="Y123" s="144">
        <f>IFERROR(X123/F123,0)</f>
        <v/>
      </c>
      <c r="Z123" s="142">
        <f>X123-J123/1.06</f>
        <v/>
      </c>
      <c r="AA123" s="144">
        <f>IFERROR(Z123/F123,0)</f>
        <v/>
      </c>
      <c r="AB123" s="142">
        <f>X123-(P123+W123)/1.06</f>
        <v/>
      </c>
      <c r="AC123" s="144">
        <f>IFERROR(AB123/F123,0)</f>
        <v/>
      </c>
    </row>
    <row r="124" ht="14.25" customHeight="1" s="65">
      <c r="A124" s="146" t="inlineStr">
        <is>
          <t>6.22-6.28</t>
        </is>
      </c>
      <c r="B124" s="147" t="n">
        <v>1059563993918</v>
      </c>
      <c r="C124" s="146" t="inlineStr">
        <is>
          <t>巴东牛肉</t>
        </is>
      </c>
      <c r="D124" s="146" t="inlineStr">
        <is>
          <t>营多进口新口味巴东炖牛肉味捞面印尼料理方便面泡面捞面夜宵速食</t>
        </is>
      </c>
      <c r="E124" s="148" t="n">
        <v>564.61</v>
      </c>
      <c r="F124" s="148">
        <f>IFERROR(E124/1.13,0)</f>
        <v/>
      </c>
      <c r="G124" s="149" t="n">
        <v>39</v>
      </c>
      <c r="H124" s="150">
        <f>IFERROR(G124/SUMIF($A:$A,A124,$G:$G),0)</f>
        <v/>
      </c>
      <c r="I124" s="148">
        <f>IFERROR(E124/G124,0)</f>
        <v/>
      </c>
      <c r="J124" s="148" t="n">
        <v>125.749569259374</v>
      </c>
      <c r="K124" s="148" t="n">
        <v>528.704728850326</v>
      </c>
      <c r="L124" s="151">
        <f>IFERROR(K124/J124,0)</f>
        <v/>
      </c>
      <c r="M124" s="148" t="n">
        <v>22.9851038115897</v>
      </c>
      <c r="N124" s="148" t="n">
        <v>50.0615215370313</v>
      </c>
      <c r="O124" s="151">
        <f>IFERROR(N124/M124,0)</f>
        <v/>
      </c>
      <c r="P124" s="148">
        <f>J124+M124</f>
        <v/>
      </c>
      <c r="Q124" s="148">
        <f>K124+N124</f>
        <v/>
      </c>
      <c r="R124" s="151">
        <f>IFERROR(Q124/P124,0)</f>
        <v/>
      </c>
      <c r="S124" s="150">
        <f>IFERROR(P124/SUMIF($A:$A,A124,$P:$P),0)</f>
        <v/>
      </c>
      <c r="T124" s="150">
        <f>IFERROR(P124/E124,0)</f>
        <v/>
      </c>
      <c r="U124" s="148">
        <f>E124-Q124</f>
        <v/>
      </c>
      <c r="V124" s="150">
        <f>IFERROR(U124/E124,0)</f>
        <v/>
      </c>
      <c r="W124" s="148">
        <f>IFERROR(VLOOKUP(A124,周报其他费用!$A:$B,2,FALSE)*H124,0)</f>
        <v/>
      </c>
      <c r="X124" s="148" t="n">
        <v>56.699</v>
      </c>
      <c r="Y124" s="150">
        <f>IFERROR(X124/F124,0)</f>
        <v/>
      </c>
      <c r="Z124" s="148">
        <f>X124-J124/1.06</f>
        <v/>
      </c>
      <c r="AA124" s="150">
        <f>IFERROR(Z124/F124,0)</f>
        <v/>
      </c>
      <c r="AB124" s="148">
        <f>X124-(P124+W124)/1.06</f>
        <v/>
      </c>
      <c r="AC124" s="150">
        <f>IFERROR(AB124/F124,0)</f>
        <v/>
      </c>
    </row>
    <row r="125" ht="14.25" customHeight="1" s="65">
      <c r="A125" s="140" t="inlineStr">
        <is>
          <t>6.22-6.28</t>
        </is>
      </c>
      <c r="B125" s="141" t="n">
        <v>929504658691</v>
      </c>
      <c r="C125" s="140" t="inlineStr">
        <is>
          <t>日韩袋面</t>
        </is>
      </c>
      <c r="D125" s="140" t="inlineStr">
        <is>
          <t>营多捞面日式鸡肉汤面原味辛辣味袋装泡面方便面速食宿舍夜宵食品</t>
        </is>
      </c>
      <c r="E125" s="142" t="n">
        <v>681.88</v>
      </c>
      <c r="F125" s="142">
        <f>IFERROR(E125/1.13,0)</f>
        <v/>
      </c>
      <c r="G125" s="143" t="n">
        <v>31</v>
      </c>
      <c r="H125" s="144">
        <f>IFERROR(G125/SUMIF($A:$A,A125,$G:$G),0)</f>
        <v/>
      </c>
      <c r="I125" s="142">
        <f>IFERROR(E125/G125,0)</f>
        <v/>
      </c>
      <c r="J125" s="142" t="n">
        <v>394.660170436938</v>
      </c>
      <c r="K125" s="142" t="n">
        <v>761.75273318872</v>
      </c>
      <c r="L125" s="145">
        <f>IFERROR(K125/J125,0)</f>
        <v/>
      </c>
      <c r="M125" s="142" t="n">
        <v>18.2702107220328</v>
      </c>
      <c r="N125" s="142" t="n">
        <v>39.7924914781531</v>
      </c>
      <c r="O125" s="145">
        <f>IFERROR(N125/M125,0)</f>
        <v/>
      </c>
      <c r="P125" s="142">
        <f>J125+M125</f>
        <v/>
      </c>
      <c r="Q125" s="142">
        <f>K125+N125</f>
        <v/>
      </c>
      <c r="R125" s="145">
        <f>IFERROR(Q125/P125,0)</f>
        <v/>
      </c>
      <c r="S125" s="144">
        <f>IFERROR(P125/SUMIF($A:$A,A125,$P:$P),0)</f>
        <v/>
      </c>
      <c r="T125" s="144">
        <f>IFERROR(P125/E125,0)</f>
        <v/>
      </c>
      <c r="U125" s="142">
        <f>E125-Q125</f>
        <v/>
      </c>
      <c r="V125" s="144">
        <f>IFERROR(U125/E125,0)</f>
        <v/>
      </c>
      <c r="W125" s="142">
        <f>IFERROR(VLOOKUP(A125,周报其他费用!$A:$B,2,FALSE)*H125,0)</f>
        <v/>
      </c>
      <c r="X125" s="142" t="n">
        <v>96.63</v>
      </c>
      <c r="Y125" s="144">
        <f>IFERROR(X125/F125,0)</f>
        <v/>
      </c>
      <c r="Z125" s="142">
        <f>X125-J125/1.06</f>
        <v/>
      </c>
      <c r="AA125" s="144">
        <f>IFERROR(Z125/F125,0)</f>
        <v/>
      </c>
      <c r="AB125" s="142">
        <f>X125-(P125+W125)/1.06</f>
        <v/>
      </c>
      <c r="AC125" s="144">
        <f>IFERROR(AB125/F125,0)</f>
        <v/>
      </c>
    </row>
    <row r="126" ht="14.25" customHeight="1" s="65">
      <c r="A126" s="146" t="inlineStr">
        <is>
          <t>6.22-6.28</t>
        </is>
      </c>
      <c r="B126" s="147" t="n">
        <v>766165464414</v>
      </c>
      <c r="C126" s="146" t="inlineStr">
        <is>
          <t>12包</t>
        </is>
      </c>
      <c r="D126" s="146" t="inlineStr">
        <is>
          <t>营多印尼进口营多捞面方便面火鸡面干拌面12包宿舍速食泡面夜宵</t>
        </is>
      </c>
      <c r="E126" s="148" t="n">
        <v>938.61</v>
      </c>
      <c r="F126" s="148">
        <f>IFERROR(E126/1.13,0)</f>
        <v/>
      </c>
      <c r="G126" s="149" t="n">
        <v>31</v>
      </c>
      <c r="H126" s="150">
        <f>IFERROR(G126/SUMIF($A:$A,A126,$G:$G),0)</f>
        <v/>
      </c>
      <c r="I126" s="148">
        <f>IFERROR(E126/G126,0)</f>
        <v/>
      </c>
      <c r="J126" s="148" t="n">
        <v>59.6201704369383</v>
      </c>
      <c r="K126" s="148" t="n">
        <v>116.61273318872</v>
      </c>
      <c r="L126" s="151">
        <f>IFERROR(K126/J126,0)</f>
        <v/>
      </c>
      <c r="M126" s="148" t="n">
        <v>18.2702107220328</v>
      </c>
      <c r="N126" s="148" t="n">
        <v>39.7924914781531</v>
      </c>
      <c r="O126" s="151">
        <f>IFERROR(N126/M126,0)</f>
        <v/>
      </c>
      <c r="P126" s="148">
        <f>J126+M126</f>
        <v/>
      </c>
      <c r="Q126" s="148">
        <f>K126+N126</f>
        <v/>
      </c>
      <c r="R126" s="151">
        <f>IFERROR(Q126/P126,0)</f>
        <v/>
      </c>
      <c r="S126" s="150">
        <f>IFERROR(P126/SUMIF($A:$A,A126,$P:$P),0)</f>
        <v/>
      </c>
      <c r="T126" s="150">
        <f>IFERROR(P126/E126,0)</f>
        <v/>
      </c>
      <c r="U126" s="148">
        <f>E126-Q126</f>
        <v/>
      </c>
      <c r="V126" s="150">
        <f>IFERROR(U126/E126,0)</f>
        <v/>
      </c>
      <c r="W126" s="148">
        <f>IFERROR(VLOOKUP(A126,周报其他费用!$A:$B,2,FALSE)*H126,0)</f>
        <v/>
      </c>
      <c r="X126" s="148" t="n">
        <v>147.233</v>
      </c>
      <c r="Y126" s="150">
        <f>IFERROR(X126/F126,0)</f>
        <v/>
      </c>
      <c r="Z126" s="148">
        <f>X126-J126/1.06</f>
        <v/>
      </c>
      <c r="AA126" s="150">
        <f>IFERROR(Z126/F126,0)</f>
        <v/>
      </c>
      <c r="AB126" s="148">
        <f>X126-(P126+W126)/1.06</f>
        <v/>
      </c>
      <c r="AC126" s="150">
        <f>IFERROR(AB126/F126,0)</f>
        <v/>
      </c>
    </row>
    <row r="127" ht="14.25" customHeight="1" s="65">
      <c r="A127" s="140" t="inlineStr">
        <is>
          <t>6.22-6.28</t>
        </is>
      </c>
      <c r="B127" s="141" t="n">
        <v>1013887677295</v>
      </c>
      <c r="C127" s="140" t="inlineStr">
        <is>
          <t>混搭5杯</t>
        </is>
      </c>
      <c r="D127" s="140" t="inlineStr">
        <is>
          <t>进口营多原味杯面日式杯面韩式杯面泡面方便面汤面宿舍速食夜宵</t>
        </is>
      </c>
      <c r="E127" s="142" t="n">
        <v>711.4</v>
      </c>
      <c r="F127" s="142">
        <f>IFERROR(E127/1.13,0)</f>
        <v/>
      </c>
      <c r="G127" s="143" t="n">
        <v>25</v>
      </c>
      <c r="H127" s="144">
        <f>IFERROR(G127/SUMIF($A:$A,A127,$G:$G),0)</f>
        <v/>
      </c>
      <c r="I127" s="142">
        <f>IFERROR(E127/G127,0)</f>
        <v/>
      </c>
      <c r="J127" s="142" t="n">
        <v>194.085621320112</v>
      </c>
      <c r="K127" s="142" t="n">
        <v>585.711236442516</v>
      </c>
      <c r="L127" s="145">
        <f>IFERROR(K127/J127,0)</f>
        <v/>
      </c>
      <c r="M127" s="142" t="n">
        <v>14.7340409048652</v>
      </c>
      <c r="N127" s="142" t="n">
        <v>32.0907189339944</v>
      </c>
      <c r="O127" s="145">
        <f>IFERROR(N127/M127,0)</f>
        <v/>
      </c>
      <c r="P127" s="142">
        <f>J127+M127</f>
        <v/>
      </c>
      <c r="Q127" s="142">
        <f>K127+N127</f>
        <v/>
      </c>
      <c r="R127" s="145">
        <f>IFERROR(Q127/P127,0)</f>
        <v/>
      </c>
      <c r="S127" s="144">
        <f>IFERROR(P127/SUMIF($A:$A,A127,$P:$P),0)</f>
        <v/>
      </c>
      <c r="T127" s="144">
        <f>IFERROR(P127/E127,0)</f>
        <v/>
      </c>
      <c r="U127" s="142">
        <f>E127-Q127</f>
        <v/>
      </c>
      <c r="V127" s="144">
        <f>IFERROR(U127/E127,0)</f>
        <v/>
      </c>
      <c r="W127" s="142">
        <f>IFERROR(VLOOKUP(A127,周报其他费用!$A:$B,2,FALSE)*H127,0)</f>
        <v/>
      </c>
      <c r="X127" s="142" t="n">
        <v>76.851</v>
      </c>
      <c r="Y127" s="144">
        <f>IFERROR(X127/F127,0)</f>
        <v/>
      </c>
      <c r="Z127" s="142">
        <f>X127-J127/1.06</f>
        <v/>
      </c>
      <c r="AA127" s="144">
        <f>IFERROR(Z127/F127,0)</f>
        <v/>
      </c>
      <c r="AB127" s="142">
        <f>X127-(P127+W127)/1.06</f>
        <v/>
      </c>
      <c r="AC127" s="144">
        <f>IFERROR(AB127/F127,0)</f>
        <v/>
      </c>
    </row>
    <row r="128" ht="14.25" customHeight="1" s="65">
      <c r="A128" s="146" t="inlineStr">
        <is>
          <t>6.22-6.28</t>
        </is>
      </c>
      <c r="B128" s="147" t="n">
        <v>735014804839</v>
      </c>
      <c r="C128" s="146" t="inlineStr">
        <is>
          <t>24/30包</t>
        </is>
      </c>
      <c r="D128" s="146" t="inlineStr">
        <is>
          <t>进口营多捞面多口味Indomie网红方便面干拌面泡面30包整箱批发面</t>
        </is>
      </c>
      <c r="E128" s="148" t="n">
        <v>1369.45</v>
      </c>
      <c r="F128" s="148">
        <f>IFERROR(E128/1.13,0)</f>
        <v/>
      </c>
      <c r="G128" s="149" t="n">
        <v>20</v>
      </c>
      <c r="H128" s="150">
        <f>IFERROR(G128/SUMIF($A:$A,A128,$G:$G),0)</f>
        <v/>
      </c>
      <c r="I128" s="148">
        <f>IFERROR(E128/G128,0)</f>
        <v/>
      </c>
      <c r="J128" s="148" t="n">
        <v>266.028497056089</v>
      </c>
      <c r="K128" s="148" t="n">
        <v>1146.19498915401</v>
      </c>
      <c r="L128" s="151">
        <f>IFERROR(K128/J128,0)</f>
        <v/>
      </c>
      <c r="M128" s="148" t="n">
        <v>11.7872327238922</v>
      </c>
      <c r="N128" s="148" t="n">
        <v>25.6725751471955</v>
      </c>
      <c r="O128" s="151">
        <f>IFERROR(N128/M128,0)</f>
        <v/>
      </c>
      <c r="P128" s="148">
        <f>J128+M128</f>
        <v/>
      </c>
      <c r="Q128" s="148">
        <f>K128+N128</f>
        <v/>
      </c>
      <c r="R128" s="151">
        <f>IFERROR(Q128/P128,0)</f>
        <v/>
      </c>
      <c r="S128" s="150">
        <f>IFERROR(P128/SUMIF($A:$A,A128,$P:$P),0)</f>
        <v/>
      </c>
      <c r="T128" s="150">
        <f>IFERROR(P128/E128,0)</f>
        <v/>
      </c>
      <c r="U128" s="148">
        <f>E128-Q128</f>
        <v/>
      </c>
      <c r="V128" s="150">
        <f>IFERROR(U128/E128,0)</f>
        <v/>
      </c>
      <c r="W128" s="148">
        <f>IFERROR(VLOOKUP(A128,周报其他费用!$A:$B,2,FALSE)*H128,0)</f>
        <v/>
      </c>
      <c r="X128" s="148" t="n">
        <v>269.461</v>
      </c>
      <c r="Y128" s="150">
        <f>IFERROR(X128/F128,0)</f>
        <v/>
      </c>
      <c r="Z128" s="148">
        <f>X128-J128/1.06</f>
        <v/>
      </c>
      <c r="AA128" s="150">
        <f>IFERROR(Z128/F128,0)</f>
        <v/>
      </c>
      <c r="AB128" s="148">
        <f>X128-(P128+W128)/1.06</f>
        <v/>
      </c>
      <c r="AC128" s="150">
        <f>IFERROR(AB128/F128,0)</f>
        <v/>
      </c>
    </row>
    <row r="129" ht="14.25" customHeight="1" s="65">
      <c r="A129" s="140" t="inlineStr">
        <is>
          <t>6.22-6.28</t>
        </is>
      </c>
      <c r="B129" s="141" t="n">
        <v>1060999732877</v>
      </c>
      <c r="C129" s="140" t="inlineStr">
        <is>
          <t>原味大包</t>
        </is>
      </c>
      <c r="D129" s="140" t="inlineStr">
        <is>
          <t>indomie印尼进口营多原味大大包129g捞面方便面速食食品宵夜小吃</t>
        </is>
      </c>
      <c r="E129" s="142" t="n">
        <v>321.95</v>
      </c>
      <c r="F129" s="142">
        <f>IFERROR(E129/1.13,0)</f>
        <v/>
      </c>
      <c r="G129" s="143" t="n">
        <v>12</v>
      </c>
      <c r="H129" s="144">
        <f>IFERROR(G129/SUMIF($A:$A,A129,$G:$G),0)</f>
        <v/>
      </c>
      <c r="I129" s="142">
        <f>IFERROR(E129/G129,0)</f>
        <v/>
      </c>
      <c r="J129" s="142" t="n">
        <v>19.6490982336535</v>
      </c>
      <c r="K129" s="142" t="n">
        <v>181.992993492408</v>
      </c>
      <c r="L129" s="145">
        <f>IFERROR(K129/J129,0)</f>
        <v/>
      </c>
      <c r="M129" s="142" t="n">
        <v>7.0723396343353</v>
      </c>
      <c r="N129" s="142" t="n">
        <v>15.4035450883173</v>
      </c>
      <c r="O129" s="145">
        <f>IFERROR(N129/M129,0)</f>
        <v/>
      </c>
      <c r="P129" s="142">
        <f>J129+M129</f>
        <v/>
      </c>
      <c r="Q129" s="142">
        <f>K129+N129</f>
        <v/>
      </c>
      <c r="R129" s="145">
        <f>IFERROR(Q129/P129,0)</f>
        <v/>
      </c>
      <c r="S129" s="144">
        <f>IFERROR(P129/SUMIF($A:$A,A129,$P:$P),0)</f>
        <v/>
      </c>
      <c r="T129" s="144">
        <f>IFERROR(P129/E129,0)</f>
        <v/>
      </c>
      <c r="U129" s="142">
        <f>E129-Q129</f>
        <v/>
      </c>
      <c r="V129" s="144">
        <f>IFERROR(U129/E129,0)</f>
        <v/>
      </c>
      <c r="W129" s="142">
        <f>IFERROR(VLOOKUP(A129,周报其他费用!$A:$B,2,FALSE)*H129,0)</f>
        <v/>
      </c>
      <c r="X129" s="142" t="n">
        <v>63.558</v>
      </c>
      <c r="Y129" s="144">
        <f>IFERROR(X129/F129,0)</f>
        <v/>
      </c>
      <c r="Z129" s="142">
        <f>X129-J129/1.06</f>
        <v/>
      </c>
      <c r="AA129" s="144">
        <f>IFERROR(Z129/F129,0)</f>
        <v/>
      </c>
      <c r="AB129" s="142">
        <f>X129-(P129+W129)/1.06</f>
        <v/>
      </c>
      <c r="AC129" s="144">
        <f>IFERROR(AB129/F129,0)</f>
        <v/>
      </c>
    </row>
    <row r="130" ht="14.25" customHeight="1" s="65">
      <c r="A130" s="146" t="inlineStr">
        <is>
          <t>6.22-6.28</t>
        </is>
      </c>
      <c r="B130" s="147" t="n">
        <v>648604228786</v>
      </c>
      <c r="C130" s="146" t="inlineStr">
        <is>
          <t>日韩杯面</t>
        </is>
      </c>
      <c r="D130" s="146" t="inlineStr">
        <is>
          <t>INDOMIE营多日式杯面原味经典泡面整箱批发速食宿舍旅行宵夜宿舍</t>
        </is>
      </c>
      <c r="E130" s="148" t="n">
        <v>308.47</v>
      </c>
      <c r="F130" s="148">
        <f>IFERROR(E130/1.13,0)</f>
        <v/>
      </c>
      <c r="G130" s="149" t="n">
        <v>12</v>
      </c>
      <c r="H130" s="150">
        <f>IFERROR(G130/SUMIF($A:$A,A130,$G:$G),0)</f>
        <v/>
      </c>
      <c r="I130" s="148">
        <f>IFERROR(E130/G130,0)</f>
        <v/>
      </c>
      <c r="J130" s="148" t="n">
        <v>21.7990982336535</v>
      </c>
      <c r="K130" s="148" t="n">
        <v>65.3629934924079</v>
      </c>
      <c r="L130" s="151">
        <f>IFERROR(K130/J130,0)</f>
        <v/>
      </c>
      <c r="M130" s="148" t="n">
        <v>7.0723396343353</v>
      </c>
      <c r="N130" s="148" t="n">
        <v>15.4035450883173</v>
      </c>
      <c r="O130" s="151">
        <f>IFERROR(N130/M130,0)</f>
        <v/>
      </c>
      <c r="P130" s="148">
        <f>J130+M130</f>
        <v/>
      </c>
      <c r="Q130" s="148">
        <f>K130+N130</f>
        <v/>
      </c>
      <c r="R130" s="151">
        <f>IFERROR(Q130/P130,0)</f>
        <v/>
      </c>
      <c r="S130" s="150">
        <f>IFERROR(P130/SUMIF($A:$A,A130,$P:$P),0)</f>
        <v/>
      </c>
      <c r="T130" s="150">
        <f>IFERROR(P130/E130,0)</f>
        <v/>
      </c>
      <c r="U130" s="148">
        <f>E130-Q130</f>
        <v/>
      </c>
      <c r="V130" s="150">
        <f>IFERROR(U130/E130,0)</f>
        <v/>
      </c>
      <c r="W130" s="148">
        <f>IFERROR(VLOOKUP(A130,周报其他费用!$A:$B,2,FALSE)*H130,0)</f>
        <v/>
      </c>
      <c r="X130" s="148" t="n">
        <v>28.588</v>
      </c>
      <c r="Y130" s="150">
        <f>IFERROR(X130/F130,0)</f>
        <v/>
      </c>
      <c r="Z130" s="148">
        <f>X130-J130/1.06</f>
        <v/>
      </c>
      <c r="AA130" s="150">
        <f>IFERROR(Z130/F130,0)</f>
        <v/>
      </c>
      <c r="AB130" s="148">
        <f>X130-(P130+W130)/1.06</f>
        <v/>
      </c>
      <c r="AC130" s="150">
        <f>IFERROR(AB130/F130,0)</f>
        <v/>
      </c>
    </row>
    <row r="131" ht="14.25" customHeight="1" s="65">
      <c r="A131" s="140" t="inlineStr">
        <is>
          <t>6.22-6.28</t>
        </is>
      </c>
      <c r="B131" s="141" t="n">
        <v>971242260371</v>
      </c>
      <c r="C131" s="140" t="inlineStr">
        <is>
          <t>韩式袋面</t>
        </is>
      </c>
      <c r="D131" s="140" t="inlineStr">
        <is>
          <t>新品营多捞面韩式辣蘑菇汤面泡面方便面速食干拌面宿舍宵夜旅行</t>
        </is>
      </c>
      <c r="E131" s="142" t="n">
        <v>260.63</v>
      </c>
      <c r="F131" s="142">
        <f>IFERROR(E131/1.13,0)</f>
        <v/>
      </c>
      <c r="G131" s="143" t="n">
        <v>12</v>
      </c>
      <c r="H131" s="144">
        <f>IFERROR(G131/SUMIF($A:$A,A131,$G:$G),0)</f>
        <v/>
      </c>
      <c r="I131" s="142">
        <f>IFERROR(E131/G131,0)</f>
        <v/>
      </c>
      <c r="J131" s="142" t="n">
        <v>59.6590982336535</v>
      </c>
      <c r="K131" s="142" t="n">
        <v>332.512993492408</v>
      </c>
      <c r="L131" s="145">
        <f>IFERROR(K131/J131,0)</f>
        <v/>
      </c>
      <c r="M131" s="142" t="n">
        <v>7.0723396343353</v>
      </c>
      <c r="N131" s="142" t="n">
        <v>15.4035450883173</v>
      </c>
      <c r="O131" s="145">
        <f>IFERROR(N131/M131,0)</f>
        <v/>
      </c>
      <c r="P131" s="142">
        <f>J131+M131</f>
        <v/>
      </c>
      <c r="Q131" s="142">
        <f>K131+N131</f>
        <v/>
      </c>
      <c r="R131" s="145">
        <f>IFERROR(Q131/P131,0)</f>
        <v/>
      </c>
      <c r="S131" s="144">
        <f>IFERROR(P131/SUMIF($A:$A,A131,$P:$P),0)</f>
        <v/>
      </c>
      <c r="T131" s="144">
        <f>IFERROR(P131/E131,0)</f>
        <v/>
      </c>
      <c r="U131" s="142">
        <f>E131-Q131</f>
        <v/>
      </c>
      <c r="V131" s="144">
        <f>IFERROR(U131/E131,0)</f>
        <v/>
      </c>
      <c r="W131" s="142">
        <f>IFERROR(VLOOKUP(A131,周报其他费用!$A:$B,2,FALSE)*H131,0)</f>
        <v/>
      </c>
      <c r="X131" s="142" t="n">
        <v>32.922</v>
      </c>
      <c r="Y131" s="144">
        <f>IFERROR(X131/F131,0)</f>
        <v/>
      </c>
      <c r="Z131" s="142">
        <f>X131-J131/1.06</f>
        <v/>
      </c>
      <c r="AA131" s="144">
        <f>IFERROR(Z131/F131,0)</f>
        <v/>
      </c>
      <c r="AB131" s="142">
        <f>X131-(P131+W131)/1.06</f>
        <v/>
      </c>
      <c r="AC131" s="144">
        <f>IFERROR(AB131/F131,0)</f>
        <v/>
      </c>
    </row>
    <row r="132" ht="14.25" customHeight="1" s="65">
      <c r="A132" s="146" t="inlineStr">
        <is>
          <t>6.22-6.28</t>
        </is>
      </c>
      <c r="B132" s="147" t="n">
        <v>969423151512</v>
      </c>
      <c r="C132" s="146" t="inlineStr">
        <is>
          <t>日韩混搭</t>
        </is>
      </c>
      <c r="D132" s="146" t="inlineStr">
        <is>
          <t>营多捞面甜辣炸鸡火鸡面辣蘑菇泡面方便面速食干拌面宿舍宵夜旅行</t>
        </is>
      </c>
      <c r="E132" s="148" t="n">
        <v>244.94</v>
      </c>
      <c r="F132" s="148">
        <f>IFERROR(E132/1.13,0)</f>
        <v/>
      </c>
      <c r="G132" s="149" t="n">
        <v>11</v>
      </c>
      <c r="H132" s="150">
        <f>IFERROR(G132/SUMIF($A:$A,A132,$G:$G),0)</f>
        <v/>
      </c>
      <c r="I132" s="148">
        <f>IFERROR(E132/G132,0)</f>
        <v/>
      </c>
      <c r="J132" s="148" t="n">
        <v>61.5716733808491</v>
      </c>
      <c r="K132" s="148" t="n">
        <v>303.757744034707</v>
      </c>
      <c r="L132" s="151">
        <f>IFERROR(K132/J132,0)</f>
        <v/>
      </c>
      <c r="M132" s="148" t="n">
        <v>6.48297799814069</v>
      </c>
      <c r="N132" s="148" t="n">
        <v>14.1199163309575</v>
      </c>
      <c r="O132" s="151">
        <f>IFERROR(N132/M132,0)</f>
        <v/>
      </c>
      <c r="P132" s="148">
        <f>J132+M132</f>
        <v/>
      </c>
      <c r="Q132" s="148">
        <f>K132+N132</f>
        <v/>
      </c>
      <c r="R132" s="151">
        <f>IFERROR(Q132/P132,0)</f>
        <v/>
      </c>
      <c r="S132" s="150">
        <f>IFERROR(P132/SUMIF($A:$A,A132,$P:$P),0)</f>
        <v/>
      </c>
      <c r="T132" s="150">
        <f>IFERROR(P132/E132,0)</f>
        <v/>
      </c>
      <c r="U132" s="148">
        <f>E132-Q132</f>
        <v/>
      </c>
      <c r="V132" s="150">
        <f>IFERROR(U132/E132,0)</f>
        <v/>
      </c>
      <c r="W132" s="148">
        <f>IFERROR(VLOOKUP(A132,周报其他费用!$A:$B,2,FALSE)*H132,0)</f>
        <v/>
      </c>
      <c r="X132" s="148" t="n">
        <v>29.933</v>
      </c>
      <c r="Y132" s="150">
        <f>IFERROR(X132/F132,0)</f>
        <v/>
      </c>
      <c r="Z132" s="148">
        <f>X132-J132/1.06</f>
        <v/>
      </c>
      <c r="AA132" s="150">
        <f>IFERROR(Z132/F132,0)</f>
        <v/>
      </c>
      <c r="AB132" s="148">
        <f>X132-(P132+W132)/1.06</f>
        <v/>
      </c>
      <c r="AC132" s="150">
        <f>IFERROR(AB132/F132,0)</f>
        <v/>
      </c>
    </row>
    <row r="133" ht="14.25" customHeight="1" s="65">
      <c r="A133" s="140" t="inlineStr">
        <is>
          <t>6.22-6.28</t>
        </is>
      </c>
      <c r="B133" s="141" t="n">
        <v>744317232690</v>
      </c>
      <c r="C133" s="140" t="inlineStr">
        <is>
          <t>多规格</t>
        </is>
      </c>
      <c r="D133" s="140" t="inlineStr">
        <is>
          <t>营多捞面汤面清香牛肉味方便面泡面速食食品泡面拉面整箱旅行宿舍</t>
        </is>
      </c>
      <c r="E133" s="142" t="n">
        <v>232.09</v>
      </c>
      <c r="F133" s="142">
        <f>IFERROR(E133/1.13,0)</f>
        <v/>
      </c>
      <c r="G133" s="143" t="n">
        <v>10</v>
      </c>
      <c r="H133" s="144">
        <f>IFERROR(G133/SUMIF($A:$A,A133,$G:$G),0)</f>
        <v/>
      </c>
      <c r="I133" s="142">
        <f>IFERROR(E133/G133,0)</f>
        <v/>
      </c>
      <c r="J133" s="142" t="n">
        <v>20.8142485280446</v>
      </c>
      <c r="K133" s="142" t="n">
        <v>137.282494577007</v>
      </c>
      <c r="L133" s="145">
        <f>IFERROR(K133/J133,0)</f>
        <v/>
      </c>
      <c r="M133" s="142" t="n">
        <v>5.89361636194608</v>
      </c>
      <c r="N133" s="142" t="n">
        <v>12.8362875735978</v>
      </c>
      <c r="O133" s="145">
        <f>IFERROR(N133/M133,0)</f>
        <v/>
      </c>
      <c r="P133" s="142">
        <f>J133+M133</f>
        <v/>
      </c>
      <c r="Q133" s="142">
        <f>K133+N133</f>
        <v/>
      </c>
      <c r="R133" s="145">
        <f>IFERROR(Q133/P133,0)</f>
        <v/>
      </c>
      <c r="S133" s="144">
        <f>IFERROR(P133/SUMIF($A:$A,A133,$P:$P),0)</f>
        <v/>
      </c>
      <c r="T133" s="144">
        <f>IFERROR(P133/E133,0)</f>
        <v/>
      </c>
      <c r="U133" s="142">
        <f>E133-Q133</f>
        <v/>
      </c>
      <c r="V133" s="144">
        <f>IFERROR(U133/E133,0)</f>
        <v/>
      </c>
      <c r="W133" s="142">
        <f>IFERROR(VLOOKUP(A133,周报其他费用!$A:$B,2,FALSE)*H133,0)</f>
        <v/>
      </c>
      <c r="X133" s="142" t="n">
        <v>27.032</v>
      </c>
      <c r="Y133" s="144">
        <f>IFERROR(X133/F133,0)</f>
        <v/>
      </c>
      <c r="Z133" s="142">
        <f>X133-J133/1.06</f>
        <v/>
      </c>
      <c r="AA133" s="144">
        <f>IFERROR(Z133/F133,0)</f>
        <v/>
      </c>
      <c r="AB133" s="142">
        <f>X133-(P133+W133)/1.06</f>
        <v/>
      </c>
      <c r="AC133" s="144">
        <f>IFERROR(AB133/F133,0)</f>
        <v/>
      </c>
    </row>
    <row r="134" ht="14.25" customHeight="1" s="65">
      <c r="A134" s="146" t="inlineStr">
        <is>
          <t>6.22-6.28</t>
        </is>
      </c>
      <c r="B134" s="147" t="n">
        <v>947413291596</v>
      </c>
      <c r="C134" s="146" t="inlineStr">
        <is>
          <t>杯面</t>
        </is>
      </c>
      <c r="D134" s="146" t="inlineStr">
        <is>
          <t>营多捞面杯装方便面泡面速食干拌面原味整箱批发印尼进口桶装拌面</t>
        </is>
      </c>
      <c r="E134" s="148" t="n">
        <v>190.18</v>
      </c>
      <c r="F134" s="148">
        <f>IFERROR(E134/1.13,0)</f>
        <v/>
      </c>
      <c r="G134" s="149" t="n">
        <v>7</v>
      </c>
      <c r="H134" s="150">
        <f>IFERROR(G134/SUMIF($A:$A,A134,$G:$G),0)</f>
        <v/>
      </c>
      <c r="I134" s="148">
        <f>IFERROR(E134/G134,0)</f>
        <v/>
      </c>
      <c r="J134" s="148" t="n">
        <v>15.3119739696312</v>
      </c>
      <c r="K134" s="148" t="n">
        <v>66.3167462039046</v>
      </c>
      <c r="L134" s="151">
        <f>IFERROR(K134/J134,0)</f>
        <v/>
      </c>
      <c r="M134" s="148" t="n">
        <v>4.12553145336226</v>
      </c>
      <c r="N134" s="148" t="n">
        <v>8.98540130151844</v>
      </c>
      <c r="O134" s="151">
        <f>IFERROR(N134/M134,0)</f>
        <v/>
      </c>
      <c r="P134" s="148">
        <f>J134+M134</f>
        <v/>
      </c>
      <c r="Q134" s="148">
        <f>K134+N134</f>
        <v/>
      </c>
      <c r="R134" s="151">
        <f>IFERROR(Q134/P134,0)</f>
        <v/>
      </c>
      <c r="S134" s="150">
        <f>IFERROR(P134/SUMIF($A:$A,A134,$P:$P),0)</f>
        <v/>
      </c>
      <c r="T134" s="150">
        <f>IFERROR(P134/E134,0)</f>
        <v/>
      </c>
      <c r="U134" s="148">
        <f>E134-Q134</f>
        <v/>
      </c>
      <c r="V134" s="150">
        <f>IFERROR(U134/E134,0)</f>
        <v/>
      </c>
      <c r="W134" s="148">
        <f>IFERROR(VLOOKUP(A134,周报其他费用!$A:$B,2,FALSE)*H134,0)</f>
        <v/>
      </c>
      <c r="X134" s="148" t="n">
        <v>21.448</v>
      </c>
      <c r="Y134" s="150">
        <f>IFERROR(X134/F134,0)</f>
        <v/>
      </c>
      <c r="Z134" s="148">
        <f>X134-J134/1.06</f>
        <v/>
      </c>
      <c r="AA134" s="150">
        <f>IFERROR(Z134/F134,0)</f>
        <v/>
      </c>
      <c r="AB134" s="148">
        <f>X134-(P134+W134)/1.06</f>
        <v/>
      </c>
      <c r="AC134" s="150">
        <f>IFERROR(AB134/F134,0)</f>
        <v/>
      </c>
    </row>
    <row r="135" ht="14.25" customHeight="1" s="65">
      <c r="A135" s="140" t="inlineStr">
        <is>
          <t>6.22-6.28</t>
        </is>
      </c>
      <c r="B135" s="141" t="n">
        <v>937005385662</v>
      </c>
      <c r="C135" s="140" t="inlineStr">
        <is>
          <t>日式袋面</t>
        </is>
      </c>
      <c r="D135" s="140" t="inlineStr">
        <is>
          <t>进口营多正品捞面日式鸡肉鸡汤辛辣味袋装泡面辣味速食方便面汤面</t>
        </is>
      </c>
      <c r="E135" s="142" t="n">
        <v>190.45</v>
      </c>
      <c r="F135" s="142">
        <f>IFERROR(E135/1.13,0)</f>
        <v/>
      </c>
      <c r="G135" s="143" t="n">
        <v>7</v>
      </c>
      <c r="H135" s="144">
        <f>IFERROR(G135/SUMIF($A:$A,A135,$G:$G),0)</f>
        <v/>
      </c>
      <c r="I135" s="142">
        <f>IFERROR(E135/G135,0)</f>
        <v/>
      </c>
      <c r="J135" s="142" t="n">
        <v>12.8119739696312</v>
      </c>
      <c r="K135" s="142" t="n">
        <v>43.6967462039046</v>
      </c>
      <c r="L135" s="145">
        <f>IFERROR(K135/J135,0)</f>
        <v/>
      </c>
      <c r="M135" s="142" t="n">
        <v>4.12553145336226</v>
      </c>
      <c r="N135" s="142" t="n">
        <v>8.98540130151844</v>
      </c>
      <c r="O135" s="145">
        <f>IFERROR(N135/M135,0)</f>
        <v/>
      </c>
      <c r="P135" s="142">
        <f>J135+M135</f>
        <v/>
      </c>
      <c r="Q135" s="142">
        <f>K135+N135</f>
        <v/>
      </c>
      <c r="R135" s="145">
        <f>IFERROR(Q135/P135,0)</f>
        <v/>
      </c>
      <c r="S135" s="144">
        <f>IFERROR(P135/SUMIF($A:$A,A135,$P:$P),0)</f>
        <v/>
      </c>
      <c r="T135" s="144">
        <f>IFERROR(P135/E135,0)</f>
        <v/>
      </c>
      <c r="U135" s="142">
        <f>E135-Q135</f>
        <v/>
      </c>
      <c r="V135" s="144">
        <f>IFERROR(U135/E135,0)</f>
        <v/>
      </c>
      <c r="W135" s="142">
        <f>IFERROR(VLOOKUP(A135,周报其他费用!$A:$B,2,FALSE)*H135,0)</f>
        <v/>
      </c>
      <c r="X135" s="142" t="n">
        <v>35.053</v>
      </c>
      <c r="Y135" s="144">
        <f>IFERROR(X135/F135,0)</f>
        <v/>
      </c>
      <c r="Z135" s="142">
        <f>X135-J135/1.06</f>
        <v/>
      </c>
      <c r="AA135" s="144">
        <f>IFERROR(Z135/F135,0)</f>
        <v/>
      </c>
      <c r="AB135" s="142">
        <f>X135-(P135+W135)/1.06</f>
        <v/>
      </c>
      <c r="AC135" s="144">
        <f>IFERROR(AB135/F135,0)</f>
        <v/>
      </c>
    </row>
    <row r="136" ht="14.25" customHeight="1" s="65">
      <c r="A136" s="146" t="inlineStr">
        <is>
          <t>6.22-6.28</t>
        </is>
      </c>
      <c r="B136" s="147" t="n">
        <v>649731447266</v>
      </c>
      <c r="C136" s="146" t="inlineStr">
        <is>
          <t>20包经典/牛系列</t>
        </is>
      </c>
      <c r="D136" s="146" t="inlineStr">
        <is>
          <t>营多印尼进口营多捞面方便面火鸡面干拌面20包宿舍速食泡面夜宵</t>
        </is>
      </c>
      <c r="E136" s="148" t="n">
        <v>291.55</v>
      </c>
      <c r="F136" s="148">
        <f>IFERROR(E136/1.13,0)</f>
        <v/>
      </c>
      <c r="G136" s="149" t="n">
        <v>6</v>
      </c>
      <c r="H136" s="150">
        <f>IFERROR(G136/SUMIF($A:$A,A136,$G:$G),0)</f>
        <v/>
      </c>
      <c r="I136" s="148">
        <f>IFERROR(E136/G136,0)</f>
        <v/>
      </c>
      <c r="J136" s="148" t="n">
        <v>7.50454911682677</v>
      </c>
      <c r="K136" s="148" t="n">
        <v>5.43149674620394</v>
      </c>
      <c r="L136" s="151">
        <f>IFERROR(K136/J136,0)</f>
        <v/>
      </c>
      <c r="M136" s="148" t="n">
        <v>3.53616981716765</v>
      </c>
      <c r="N136" s="148" t="n">
        <v>7.70177254415866</v>
      </c>
      <c r="O136" s="151">
        <f>IFERROR(N136/M136,0)</f>
        <v/>
      </c>
      <c r="P136" s="148">
        <f>J136+M136</f>
        <v/>
      </c>
      <c r="Q136" s="148">
        <f>K136+N136</f>
        <v/>
      </c>
      <c r="R136" s="151">
        <f>IFERROR(Q136/P136,0)</f>
        <v/>
      </c>
      <c r="S136" s="150">
        <f>IFERROR(P136/SUMIF($A:$A,A136,$P:$P),0)</f>
        <v/>
      </c>
      <c r="T136" s="150">
        <f>IFERROR(P136/E136,0)</f>
        <v/>
      </c>
      <c r="U136" s="148">
        <f>E136-Q136</f>
        <v/>
      </c>
      <c r="V136" s="150">
        <f>IFERROR(U136/E136,0)</f>
        <v/>
      </c>
      <c r="W136" s="148">
        <f>IFERROR(VLOOKUP(A136,周报其他费用!$A:$B,2,FALSE)*H136,0)</f>
        <v/>
      </c>
      <c r="X136" s="148" t="n">
        <v>59.903</v>
      </c>
      <c r="Y136" s="150">
        <f>IFERROR(X136/F136,0)</f>
        <v/>
      </c>
      <c r="Z136" s="148">
        <f>X136-J136/1.06</f>
        <v/>
      </c>
      <c r="AA136" s="150">
        <f>IFERROR(Z136/F136,0)</f>
        <v/>
      </c>
      <c r="AB136" s="148">
        <f>X136-(P136+W136)/1.06</f>
        <v/>
      </c>
      <c r="AC136" s="150">
        <f>IFERROR(AB136/F136,0)</f>
        <v/>
      </c>
    </row>
    <row r="137" ht="14.25" customHeight="1" s="65">
      <c r="A137" s="140" t="inlineStr">
        <is>
          <t>6.22-6.28</t>
        </is>
      </c>
      <c r="B137" s="141" t="n">
        <v>773972883430</v>
      </c>
      <c r="C137" s="140" t="inlineStr">
        <is>
          <t>日式袋面</t>
        </is>
      </c>
      <c r="D137" s="140" t="inlineStr">
        <is>
          <t>营多捞面韩式火鸡面辣蘑菇汤面袋装泡面辣味速食方便面宿舍宵夜面</t>
        </is>
      </c>
      <c r="E137" s="142" t="n">
        <v>140.71</v>
      </c>
      <c r="F137" s="142">
        <f>IFERROR(E137/1.13,0)</f>
        <v/>
      </c>
      <c r="G137" s="143" t="n">
        <v>6</v>
      </c>
      <c r="H137" s="144">
        <f>IFERROR(G137/SUMIF($A:$A,A137,$G:$G),0)</f>
        <v/>
      </c>
      <c r="I137" s="142">
        <f>IFERROR(E137/G137,0)</f>
        <v/>
      </c>
      <c r="J137" s="142" t="n">
        <v>7.09454911682677</v>
      </c>
      <c r="K137" s="142" t="n">
        <v>37.6414967462039</v>
      </c>
      <c r="L137" s="145">
        <f>IFERROR(K137/J137,0)</f>
        <v/>
      </c>
      <c r="M137" s="142" t="n">
        <v>3.53616981716765</v>
      </c>
      <c r="N137" s="142" t="n">
        <v>7.70177254415866</v>
      </c>
      <c r="O137" s="145">
        <f>IFERROR(N137/M137,0)</f>
        <v/>
      </c>
      <c r="P137" s="142">
        <f>J137+M137</f>
        <v/>
      </c>
      <c r="Q137" s="142">
        <f>K137+N137</f>
        <v/>
      </c>
      <c r="R137" s="145">
        <f>IFERROR(Q137/P137,0)</f>
        <v/>
      </c>
      <c r="S137" s="144">
        <f>IFERROR(P137/SUMIF($A:$A,A137,$P:$P),0)</f>
        <v/>
      </c>
      <c r="T137" s="144">
        <f>IFERROR(P137/E137,0)</f>
        <v/>
      </c>
      <c r="U137" s="142">
        <f>E137-Q137</f>
        <v/>
      </c>
      <c r="V137" s="144">
        <f>IFERROR(U137/E137,0)</f>
        <v/>
      </c>
      <c r="W137" s="142">
        <f>IFERROR(VLOOKUP(A137,周报其他费用!$A:$B,2,FALSE)*H137,0)</f>
        <v/>
      </c>
      <c r="X137" s="142" t="n">
        <v>19.009</v>
      </c>
      <c r="Y137" s="144">
        <f>IFERROR(X137/F137,0)</f>
        <v/>
      </c>
      <c r="Z137" s="142">
        <f>X137-J137/1.06</f>
        <v/>
      </c>
      <c r="AA137" s="144">
        <f>IFERROR(Z137/F137,0)</f>
        <v/>
      </c>
      <c r="AB137" s="142">
        <f>X137-(P137+W137)/1.06</f>
        <v/>
      </c>
      <c r="AC137" s="144">
        <f>IFERROR(AB137/F137,0)</f>
        <v/>
      </c>
    </row>
    <row r="138" ht="14.25" customHeight="1" s="65">
      <c r="A138" s="146" t="inlineStr">
        <is>
          <t>6.22-6.28</t>
        </is>
      </c>
      <c r="B138" s="147" t="n">
        <v>976466902934</v>
      </c>
      <c r="C138" s="146" t="inlineStr">
        <is>
          <t>【U选】日式原杯1+日式辣杯1</t>
        </is>
      </c>
      <c r="D138" s="146" t="inlineStr">
        <is>
          <t>【天猫U选】indomie营多捞面辣火鸡味日式鸡肉原味杯面</t>
        </is>
      </c>
      <c r="E138" s="148" t="n">
        <v>48.52</v>
      </c>
      <c r="F138" s="148">
        <f>IFERROR(E138/1.13,0)</f>
        <v/>
      </c>
      <c r="G138" s="149" t="n">
        <v>5</v>
      </c>
      <c r="H138" s="150">
        <f>IFERROR(G138/SUMIF($A:$A,A138,$G:$G),0)</f>
        <v/>
      </c>
      <c r="I138" s="148">
        <f>IFERROR(E138/G138,0)</f>
        <v/>
      </c>
      <c r="J138" s="148" t="n">
        <v>1.23712426402231</v>
      </c>
      <c r="K138" s="148" t="n">
        <v>4.52624728850328</v>
      </c>
      <c r="L138" s="151">
        <f>IFERROR(K138/J138,0)</f>
        <v/>
      </c>
      <c r="M138" s="148" t="n">
        <v>2.94680818097304</v>
      </c>
      <c r="N138" s="148" t="n">
        <v>6.41814378679888</v>
      </c>
      <c r="O138" s="151">
        <f>IFERROR(N138/M138,0)</f>
        <v/>
      </c>
      <c r="P138" s="148">
        <f>J138+M138</f>
        <v/>
      </c>
      <c r="Q138" s="148">
        <f>K138+N138</f>
        <v/>
      </c>
      <c r="R138" s="151">
        <f>IFERROR(Q138/P138,0)</f>
        <v/>
      </c>
      <c r="S138" s="150">
        <f>IFERROR(P138/SUMIF($A:$A,A138,$P:$P),0)</f>
        <v/>
      </c>
      <c r="T138" s="150">
        <f>IFERROR(P138/E138,0)</f>
        <v/>
      </c>
      <c r="U138" s="148">
        <f>E138-Q138</f>
        <v/>
      </c>
      <c r="V138" s="150">
        <f>IFERROR(U138/E138,0)</f>
        <v/>
      </c>
      <c r="W138" s="148">
        <f>IFERROR(VLOOKUP(A138,周报其他费用!$A:$B,2,FALSE)*H138,0)</f>
        <v/>
      </c>
      <c r="X138" s="148" t="n">
        <v>-7.599</v>
      </c>
      <c r="Y138" s="150">
        <f>IFERROR(X138/F138,0)</f>
        <v/>
      </c>
      <c r="Z138" s="148">
        <f>X138-J138/1.06</f>
        <v/>
      </c>
      <c r="AA138" s="150">
        <f>IFERROR(Z138/F138,0)</f>
        <v/>
      </c>
      <c r="AB138" s="148">
        <f>X138-(P138+W138)/1.06</f>
        <v/>
      </c>
      <c r="AC138" s="150">
        <f>IFERROR(AB138/F138,0)</f>
        <v/>
      </c>
    </row>
    <row r="139" ht="14.25" customHeight="1" s="65">
      <c r="A139" s="140" t="inlineStr">
        <is>
          <t>6.22-6.28</t>
        </is>
      </c>
      <c r="B139" s="141" t="n">
        <v>898076297965</v>
      </c>
      <c r="C139" s="140" t="inlineStr">
        <is>
          <t>番茄牛肉</t>
        </is>
      </c>
      <c r="D139" s="140" t="inlineStr">
        <is>
          <t>进口正品意面风味奶香番茄牛肉味意式拌面营多捞面早餐儿童宝妈餐</t>
        </is>
      </c>
      <c r="E139" s="142" t="n">
        <v>90.64</v>
      </c>
      <c r="F139" s="142">
        <f>IFERROR(E139/1.13,0)</f>
        <v/>
      </c>
      <c r="G139" s="143" t="n">
        <v>5</v>
      </c>
      <c r="H139" s="144">
        <f>IFERROR(G139/SUMIF($A:$A,A139,$G:$G),0)</f>
        <v/>
      </c>
      <c r="I139" s="142">
        <f>IFERROR(E139/G139,0)</f>
        <v/>
      </c>
      <c r="J139" s="142" t="n">
        <v>18.5571242640223</v>
      </c>
      <c r="K139" s="142" t="n">
        <v>55.7962472885033</v>
      </c>
      <c r="L139" s="145">
        <f>IFERROR(K139/J139,0)</f>
        <v/>
      </c>
      <c r="M139" s="142" t="n">
        <v>2.94680818097304</v>
      </c>
      <c r="N139" s="142" t="n">
        <v>6.41814378679888</v>
      </c>
      <c r="O139" s="145">
        <f>IFERROR(N139/M139,0)</f>
        <v/>
      </c>
      <c r="P139" s="142">
        <f>J139+M139</f>
        <v/>
      </c>
      <c r="Q139" s="142">
        <f>K139+N139</f>
        <v/>
      </c>
      <c r="R139" s="145">
        <f>IFERROR(Q139/P139,0)</f>
        <v/>
      </c>
      <c r="S139" s="144">
        <f>IFERROR(P139/SUMIF($A:$A,A139,$P:$P),0)</f>
        <v/>
      </c>
      <c r="T139" s="144">
        <f>IFERROR(P139/E139,0)</f>
        <v/>
      </c>
      <c r="U139" s="142">
        <f>E139-Q139</f>
        <v/>
      </c>
      <c r="V139" s="144">
        <f>IFERROR(U139/E139,0)</f>
        <v/>
      </c>
      <c r="W139" s="142">
        <f>IFERROR(VLOOKUP(A139,周报其他费用!$A:$B,2,FALSE)*H139,0)</f>
        <v/>
      </c>
      <c r="X139" s="142" t="n">
        <v>7.317</v>
      </c>
      <c r="Y139" s="144">
        <f>IFERROR(X139/F139,0)</f>
        <v/>
      </c>
      <c r="Z139" s="142">
        <f>X139-J139/1.06</f>
        <v/>
      </c>
      <c r="AA139" s="144">
        <f>IFERROR(Z139/F139,0)</f>
        <v/>
      </c>
      <c r="AB139" s="142">
        <f>X139-(P139+W139)/1.06</f>
        <v/>
      </c>
      <c r="AC139" s="144">
        <f>IFERROR(AB139/F139,0)</f>
        <v/>
      </c>
    </row>
    <row r="140" ht="14.25" customHeight="1" s="65">
      <c r="A140" s="146" t="inlineStr">
        <is>
          <t>6.22-6.28</t>
        </is>
      </c>
      <c r="B140" s="147" t="n">
        <v>886856687067</v>
      </c>
      <c r="C140" s="146" t="inlineStr">
        <is>
          <t>大骨</t>
        </is>
      </c>
      <c r="D140" s="146" t="inlineStr">
        <is>
          <t>营多捞面牛系列大骨牛肉味方便面食品泡面拉面汤面宿舍宵夜旅行</t>
        </is>
      </c>
      <c r="E140" s="148" t="n">
        <v>101.97</v>
      </c>
      <c r="F140" s="148">
        <f>IFERROR(E140/1.13,0)</f>
        <v/>
      </c>
      <c r="G140" s="149" t="n">
        <v>5</v>
      </c>
      <c r="H140" s="150">
        <f>IFERROR(G140/SUMIF($A:$A,A140,$G:$G),0)</f>
        <v/>
      </c>
      <c r="I140" s="148">
        <f>IFERROR(E140/G140,0)</f>
        <v/>
      </c>
      <c r="J140" s="148" t="n">
        <v>15.9471242640223</v>
      </c>
      <c r="K140" s="148" t="n">
        <v>18.1062472885033</v>
      </c>
      <c r="L140" s="151">
        <f>IFERROR(K140/J140,0)</f>
        <v/>
      </c>
      <c r="M140" s="148" t="n">
        <v>2.94680818097304</v>
      </c>
      <c r="N140" s="148" t="n">
        <v>6.41814378679888</v>
      </c>
      <c r="O140" s="151">
        <f>IFERROR(N140/M140,0)</f>
        <v/>
      </c>
      <c r="P140" s="148">
        <f>J140+M140</f>
        <v/>
      </c>
      <c r="Q140" s="148">
        <f>K140+N140</f>
        <v/>
      </c>
      <c r="R140" s="151">
        <f>IFERROR(Q140/P140,0)</f>
        <v/>
      </c>
      <c r="S140" s="150">
        <f>IFERROR(P140/SUMIF($A:$A,A140,$P:$P),0)</f>
        <v/>
      </c>
      <c r="T140" s="150">
        <f>IFERROR(P140/E140,0)</f>
        <v/>
      </c>
      <c r="U140" s="148">
        <f>E140-Q140</f>
        <v/>
      </c>
      <c r="V140" s="150">
        <f>IFERROR(U140/E140,0)</f>
        <v/>
      </c>
      <c r="W140" s="148">
        <f>IFERROR(VLOOKUP(A140,周报其他费用!$A:$B,2,FALSE)*H140,0)</f>
        <v/>
      </c>
      <c r="X140" s="148" t="n">
        <v>10.315</v>
      </c>
      <c r="Y140" s="150">
        <f>IFERROR(X140/F140,0)</f>
        <v/>
      </c>
      <c r="Z140" s="148">
        <f>X140-J140/1.06</f>
        <v/>
      </c>
      <c r="AA140" s="150">
        <f>IFERROR(Z140/F140,0)</f>
        <v/>
      </c>
      <c r="AB140" s="148">
        <f>X140-(P140+W140)/1.06</f>
        <v/>
      </c>
      <c r="AC140" s="150">
        <f>IFERROR(AB140/F140,0)</f>
        <v/>
      </c>
    </row>
    <row r="141" ht="14.25" customHeight="1" s="65">
      <c r="A141" s="140" t="inlineStr">
        <is>
          <t>6.22-6.28</t>
        </is>
      </c>
      <c r="B141" s="141" t="n">
        <v>1028450344901</v>
      </c>
      <c r="C141" s="140" t="inlineStr">
        <is>
          <t>韩式火鸡</t>
        </is>
      </c>
      <c r="D141" s="140" t="inlineStr">
        <is>
          <t>营多韩式火鸡面袋装拌面干拌面泡面方便面速食面宿舍宵夜旅行</t>
        </is>
      </c>
      <c r="E141" s="142" t="n">
        <v>65.81999999999999</v>
      </c>
      <c r="F141" s="142">
        <f>IFERROR(E141/1.13,0)</f>
        <v/>
      </c>
      <c r="G141" s="143" t="n">
        <v>4</v>
      </c>
      <c r="H141" s="144">
        <f>IFERROR(G141/SUMIF($A:$A,A141,$G:$G),0)</f>
        <v/>
      </c>
      <c r="I141" s="142">
        <f>IFERROR(E141/G141,0)</f>
        <v/>
      </c>
      <c r="J141" s="142" t="n">
        <v>8.719699411217849</v>
      </c>
      <c r="K141" s="142" t="n">
        <v>40.9809978308026</v>
      </c>
      <c r="L141" s="145">
        <f>IFERROR(K141/J141,0)</f>
        <v/>
      </c>
      <c r="M141" s="142" t="n">
        <v>2.35744654477843</v>
      </c>
      <c r="N141" s="142" t="n">
        <v>5.13451502943911</v>
      </c>
      <c r="O141" s="145">
        <f>IFERROR(N141/M141,0)</f>
        <v/>
      </c>
      <c r="P141" s="142">
        <f>J141+M141</f>
        <v/>
      </c>
      <c r="Q141" s="142">
        <f>K141+N141</f>
        <v/>
      </c>
      <c r="R141" s="145">
        <f>IFERROR(Q141/P141,0)</f>
        <v/>
      </c>
      <c r="S141" s="144">
        <f>IFERROR(P141/SUMIF($A:$A,A141,$P:$P),0)</f>
        <v/>
      </c>
      <c r="T141" s="144">
        <f>IFERROR(P141/E141,0)</f>
        <v/>
      </c>
      <c r="U141" s="142">
        <f>E141-Q141</f>
        <v/>
      </c>
      <c r="V141" s="144">
        <f>IFERROR(U141/E141,0)</f>
        <v/>
      </c>
      <c r="W141" s="142">
        <f>IFERROR(VLOOKUP(A141,周报其他费用!$A:$B,2,FALSE)*H141,0)</f>
        <v/>
      </c>
      <c r="X141" s="142" t="n">
        <v>4.56</v>
      </c>
      <c r="Y141" s="144">
        <f>IFERROR(X141/F141,0)</f>
        <v/>
      </c>
      <c r="Z141" s="142">
        <f>X141-J141/1.06</f>
        <v/>
      </c>
      <c r="AA141" s="144">
        <f>IFERROR(Z141/F141,0)</f>
        <v/>
      </c>
      <c r="AB141" s="142">
        <f>X141-(P141+W141)/1.06</f>
        <v/>
      </c>
      <c r="AC141" s="144">
        <f>IFERROR(AB141/F141,0)</f>
        <v/>
      </c>
    </row>
    <row r="142" ht="14.25" customHeight="1" s="65">
      <c r="A142" s="146" t="inlineStr">
        <is>
          <t>6.22-6.28</t>
        </is>
      </c>
      <c r="B142" s="147" t="n">
        <v>932687928859</v>
      </c>
      <c r="C142" s="146" t="inlineStr">
        <is>
          <t>8包组合</t>
        </is>
      </c>
      <c r="D142" s="146" t="inlineStr">
        <is>
          <t>营多捞面八口味袋装泡面拌面速食面干拌面方便面宿舍宵夜速食家用</t>
        </is>
      </c>
      <c r="E142" s="148" t="n">
        <v>59.08</v>
      </c>
      <c r="F142" s="148">
        <f>IFERROR(E142/1.13,0)</f>
        <v/>
      </c>
      <c r="G142" s="149" t="n">
        <v>2</v>
      </c>
      <c r="H142" s="150">
        <f>IFERROR(G142/SUMIF($A:$A,A142,$G:$G),0)</f>
        <v/>
      </c>
      <c r="I142" s="148">
        <f>IFERROR(E142/G142,0)</f>
        <v/>
      </c>
      <c r="J142" s="148" t="n">
        <v>2.38484970560892</v>
      </c>
      <c r="K142" s="148" t="n">
        <v>30.7104989154013</v>
      </c>
      <c r="L142" s="151">
        <f>IFERROR(K142/J142,0)</f>
        <v/>
      </c>
      <c r="M142" s="148" t="n">
        <v>1.17872327238922</v>
      </c>
      <c r="N142" s="148" t="n">
        <v>2.56725751471955</v>
      </c>
      <c r="O142" s="151">
        <f>IFERROR(N142/M142,0)</f>
        <v/>
      </c>
      <c r="P142" s="148">
        <f>J142+M142</f>
        <v/>
      </c>
      <c r="Q142" s="148">
        <f>K142+N142</f>
        <v/>
      </c>
      <c r="R142" s="151">
        <f>IFERROR(Q142/P142,0)</f>
        <v/>
      </c>
      <c r="S142" s="150">
        <f>IFERROR(P142/SUMIF($A:$A,A142,$P:$P),0)</f>
        <v/>
      </c>
      <c r="T142" s="150">
        <f>IFERROR(P142/E142,0)</f>
        <v/>
      </c>
      <c r="U142" s="148">
        <f>E142-Q142</f>
        <v/>
      </c>
      <c r="V142" s="150">
        <f>IFERROR(U142/E142,0)</f>
        <v/>
      </c>
      <c r="W142" s="148">
        <f>IFERROR(VLOOKUP(A142,周报其他费用!$A:$B,2,FALSE)*H142,0)</f>
        <v/>
      </c>
      <c r="X142" s="148" t="n">
        <v>10.202</v>
      </c>
      <c r="Y142" s="150">
        <f>IFERROR(X142/F142,0)</f>
        <v/>
      </c>
      <c r="Z142" s="148">
        <f>X142-J142/1.06</f>
        <v/>
      </c>
      <c r="AA142" s="150">
        <f>IFERROR(Z142/F142,0)</f>
        <v/>
      </c>
      <c r="AB142" s="148">
        <f>X142-(P142+W142)/1.06</f>
        <v/>
      </c>
      <c r="AC142" s="150">
        <f>IFERROR(AB142/F142,0)</f>
        <v/>
      </c>
    </row>
    <row r="143" ht="14.25" customHeight="1" s="65">
      <c r="A143" s="140" t="inlineStr">
        <is>
          <t>6.22-6.28</t>
        </is>
      </c>
      <c r="B143" s="141" t="n">
        <v>903183018417</v>
      </c>
      <c r="C143" s="140" t="inlineStr">
        <is>
          <t>七口味混搭</t>
        </is>
      </c>
      <c r="D143" s="140" t="inlineStr">
        <is>
          <t>进口营多捞面汤面拌面七口味混合方便面速拉面宿舍拌面泡面食食品</t>
        </is>
      </c>
      <c r="E143" s="142" t="n">
        <v>40.16</v>
      </c>
      <c r="F143" s="142">
        <f>IFERROR(E143/1.13,0)</f>
        <v/>
      </c>
      <c r="G143" s="143" t="n">
        <v>2</v>
      </c>
      <c r="H143" s="144">
        <f>IFERROR(G143/SUMIF($A:$A,A143,$G:$G),0)</f>
        <v/>
      </c>
      <c r="I143" s="142">
        <f>IFERROR(E143/G143,0)</f>
        <v/>
      </c>
      <c r="J143" s="142" t="n">
        <v>2.72484970560892</v>
      </c>
      <c r="K143" s="142" t="n">
        <v>1.81049891540131</v>
      </c>
      <c r="L143" s="145">
        <f>IFERROR(K143/J143,0)</f>
        <v/>
      </c>
      <c r="M143" s="142" t="n">
        <v>1.17872327238922</v>
      </c>
      <c r="N143" s="142" t="n">
        <v>2.56725751471955</v>
      </c>
      <c r="O143" s="145">
        <f>IFERROR(N143/M143,0)</f>
        <v/>
      </c>
      <c r="P143" s="142">
        <f>J143+M143</f>
        <v/>
      </c>
      <c r="Q143" s="142">
        <f>K143+N143</f>
        <v/>
      </c>
      <c r="R143" s="145">
        <f>IFERROR(Q143/P143,0)</f>
        <v/>
      </c>
      <c r="S143" s="144">
        <f>IFERROR(P143/SUMIF($A:$A,A143,$P:$P),0)</f>
        <v/>
      </c>
      <c r="T143" s="144">
        <f>IFERROR(P143/E143,0)</f>
        <v/>
      </c>
      <c r="U143" s="142">
        <f>E143-Q143</f>
        <v/>
      </c>
      <c r="V143" s="144">
        <f>IFERROR(U143/E143,0)</f>
        <v/>
      </c>
      <c r="W143" s="142">
        <f>IFERROR(VLOOKUP(A143,周报其他费用!$A:$B,2,FALSE)*H143,0)</f>
        <v/>
      </c>
      <c r="X143" s="142" t="n">
        <v>4.157</v>
      </c>
      <c r="Y143" s="144">
        <f>IFERROR(X143/F143,0)</f>
        <v/>
      </c>
      <c r="Z143" s="142">
        <f>X143-J143/1.06</f>
        <v/>
      </c>
      <c r="AA143" s="144">
        <f>IFERROR(Z143/F143,0)</f>
        <v/>
      </c>
      <c r="AB143" s="142">
        <f>X143-(P143+W143)/1.06</f>
        <v/>
      </c>
      <c r="AC143" s="144">
        <f>IFERROR(AB143/F143,0)</f>
        <v/>
      </c>
    </row>
    <row r="144" ht="14.25" customHeight="1" s="65">
      <c r="A144" s="146" t="inlineStr">
        <is>
          <t>6.22-6.28</t>
        </is>
      </c>
      <c r="B144" s="147" t="n">
        <v>976479938842</v>
      </c>
      <c r="C144" s="146" t="inlineStr">
        <is>
          <t>【U选】原味5</t>
        </is>
      </c>
      <c r="D144" s="146" t="inlineStr">
        <is>
          <t>【天猫U选】indomie营多大骨牛肉味捞面拌面5包</t>
        </is>
      </c>
      <c r="E144" s="148" t="n">
        <v>19.8</v>
      </c>
      <c r="F144" s="148">
        <f>IFERROR(E144/1.13,0)</f>
        <v/>
      </c>
      <c r="G144" s="149" t="n">
        <v>2</v>
      </c>
      <c r="H144" s="150">
        <f>IFERROR(G144/SUMIF($A:$A,A144,$G:$G),0)</f>
        <v/>
      </c>
      <c r="I144" s="148">
        <f>IFERROR(E144/G144,0)</f>
        <v/>
      </c>
      <c r="J144" s="148" t="n">
        <v>0.494849705608924</v>
      </c>
      <c r="K144" s="148" t="n">
        <v>1.81049891540131</v>
      </c>
      <c r="L144" s="151">
        <f>IFERROR(K144/J144,0)</f>
        <v/>
      </c>
      <c r="M144" s="148" t="n">
        <v>1.17872327238922</v>
      </c>
      <c r="N144" s="148" t="n">
        <v>2.56725751471955</v>
      </c>
      <c r="O144" s="151">
        <f>IFERROR(N144/M144,0)</f>
        <v/>
      </c>
      <c r="P144" s="148">
        <f>J144+M144</f>
        <v/>
      </c>
      <c r="Q144" s="148">
        <f>K144+N144</f>
        <v/>
      </c>
      <c r="R144" s="151">
        <f>IFERROR(Q144/P144,0)</f>
        <v/>
      </c>
      <c r="S144" s="150">
        <f>IFERROR(P144/SUMIF($A:$A,A144,$P:$P),0)</f>
        <v/>
      </c>
      <c r="T144" s="150">
        <f>IFERROR(P144/E144,0)</f>
        <v/>
      </c>
      <c r="U144" s="148">
        <f>E144-Q144</f>
        <v/>
      </c>
      <c r="V144" s="150">
        <f>IFERROR(U144/E144,0)</f>
        <v/>
      </c>
      <c r="W144" s="148">
        <f>IFERROR(VLOOKUP(A144,周报其他费用!$A:$B,2,FALSE)*H144,0)</f>
        <v/>
      </c>
      <c r="X144" s="148" t="n">
        <v>-5.526</v>
      </c>
      <c r="Y144" s="150">
        <f>IFERROR(X144/F144,0)</f>
        <v/>
      </c>
      <c r="Z144" s="148">
        <f>X144-J144/1.06</f>
        <v/>
      </c>
      <c r="AA144" s="150">
        <f>IFERROR(Z144/F144,0)</f>
        <v/>
      </c>
      <c r="AB144" s="148">
        <f>X144-(P144+W144)/1.06</f>
        <v/>
      </c>
      <c r="AC144" s="150">
        <f>IFERROR(AB144/F144,0)</f>
        <v/>
      </c>
    </row>
    <row r="145" ht="14.25" customHeight="1" s="65">
      <c r="A145" s="140" t="inlineStr">
        <is>
          <t>6.22-6.28</t>
        </is>
      </c>
      <c r="B145" s="141" t="n">
        <v>969433743398</v>
      </c>
      <c r="C145" s="140" t="inlineStr">
        <is>
          <t>韩蘑菇</t>
        </is>
      </c>
      <c r="D145" s="140" t="inlineStr">
        <is>
          <t>新品营多捞面韩式辣蘑菇汤面泡面方便面速食干拌面宿舍宵夜旅行</t>
        </is>
      </c>
      <c r="E145" s="142" t="n">
        <v>30.54</v>
      </c>
      <c r="F145" s="142">
        <f>IFERROR(E145/1.13,0)</f>
        <v/>
      </c>
      <c r="G145" s="143" t="n">
        <v>2</v>
      </c>
      <c r="H145" s="144">
        <f>IFERROR(G145/SUMIF($A:$A,A145,$G:$G),0)</f>
        <v/>
      </c>
      <c r="I145" s="142">
        <f>IFERROR(E145/G145,0)</f>
        <v/>
      </c>
      <c r="J145" s="142" t="n">
        <v>7.10484970560892</v>
      </c>
      <c r="K145" s="142" t="n">
        <v>29.6804989154013</v>
      </c>
      <c r="L145" s="145">
        <f>IFERROR(K145/J145,0)</f>
        <v/>
      </c>
      <c r="M145" s="142" t="n">
        <v>1.17872327238922</v>
      </c>
      <c r="N145" s="142" t="n">
        <v>2.56725751471955</v>
      </c>
      <c r="O145" s="145">
        <f>IFERROR(N145/M145,0)</f>
        <v/>
      </c>
      <c r="P145" s="142">
        <f>J145+M145</f>
        <v/>
      </c>
      <c r="Q145" s="142">
        <f>K145+N145</f>
        <v/>
      </c>
      <c r="R145" s="145">
        <f>IFERROR(Q145/P145,0)</f>
        <v/>
      </c>
      <c r="S145" s="144">
        <f>IFERROR(P145/SUMIF($A:$A,A145,$P:$P),0)</f>
        <v/>
      </c>
      <c r="T145" s="144">
        <f>IFERROR(P145/E145,0)</f>
        <v/>
      </c>
      <c r="U145" s="142">
        <f>E145-Q145</f>
        <v/>
      </c>
      <c r="V145" s="144">
        <f>IFERROR(U145/E145,0)</f>
        <v/>
      </c>
      <c r="W145" s="142">
        <f>IFERROR(VLOOKUP(A145,周报其他费用!$A:$B,2,FALSE)*H145,0)</f>
        <v/>
      </c>
      <c r="X145" s="142" t="n">
        <v>1.989</v>
      </c>
      <c r="Y145" s="144">
        <f>IFERROR(X145/F145,0)</f>
        <v/>
      </c>
      <c r="Z145" s="142">
        <f>X145-J145/1.06</f>
        <v/>
      </c>
      <c r="AA145" s="144">
        <f>IFERROR(Z145/F145,0)</f>
        <v/>
      </c>
      <c r="AB145" s="142">
        <f>X145-(P145+W145)/1.06</f>
        <v/>
      </c>
      <c r="AC145" s="144">
        <f>IFERROR(AB145/F145,0)</f>
        <v/>
      </c>
    </row>
    <row r="146" ht="14.25" customHeight="1" s="65">
      <c r="A146" s="146" t="inlineStr">
        <is>
          <t>6.22-6.28</t>
        </is>
      </c>
      <c r="B146" s="147" t="n">
        <v>916072786304</v>
      </c>
      <c r="C146" s="146" t="inlineStr">
        <is>
          <t>小规格</t>
        </is>
      </c>
      <c r="D146" s="146" t="inlineStr">
        <is>
          <t>营多印尼进口营多捞面方便面火鸡面干拌面10包宿舍速食泡面夜宵</t>
        </is>
      </c>
      <c r="E146" s="148" t="n">
        <v>27.16</v>
      </c>
      <c r="F146" s="148">
        <f>IFERROR(E146/1.13,0)</f>
        <v/>
      </c>
      <c r="G146" s="149" t="n">
        <v>2</v>
      </c>
      <c r="H146" s="150">
        <f>IFERROR(G146/SUMIF($A:$A,A146,$G:$G),0)</f>
        <v/>
      </c>
      <c r="I146" s="148">
        <f>IFERROR(E146/G146,0)</f>
        <v/>
      </c>
      <c r="J146" s="148" t="n">
        <v>0.724849705608924</v>
      </c>
      <c r="K146" s="148" t="n">
        <v>1.81049891540131</v>
      </c>
      <c r="L146" s="151">
        <f>IFERROR(K146/J146,0)</f>
        <v/>
      </c>
      <c r="M146" s="148" t="n">
        <v>1.17872327238922</v>
      </c>
      <c r="N146" s="148" t="n">
        <v>2.56725751471955</v>
      </c>
      <c r="O146" s="151">
        <f>IFERROR(N146/M146,0)</f>
        <v/>
      </c>
      <c r="P146" s="148">
        <f>J146+M146</f>
        <v/>
      </c>
      <c r="Q146" s="148">
        <f>K146+N146</f>
        <v/>
      </c>
      <c r="R146" s="151">
        <f>IFERROR(Q146/P146,0)</f>
        <v/>
      </c>
      <c r="S146" s="150">
        <f>IFERROR(P146/SUMIF($A:$A,A146,$P:$P),0)</f>
        <v/>
      </c>
      <c r="T146" s="150">
        <f>IFERROR(P146/E146,0)</f>
        <v/>
      </c>
      <c r="U146" s="148">
        <f>E146-Q146</f>
        <v/>
      </c>
      <c r="V146" s="150">
        <f>IFERROR(U146/E146,0)</f>
        <v/>
      </c>
      <c r="W146" s="148">
        <f>IFERROR(VLOOKUP(A146,周报其他费用!$A:$B,2,FALSE)*H146,0)</f>
        <v/>
      </c>
      <c r="X146" s="148" t="n">
        <v>0.502</v>
      </c>
      <c r="Y146" s="150">
        <f>IFERROR(X146/F146,0)</f>
        <v/>
      </c>
      <c r="Z146" s="148">
        <f>X146-J146/1.06</f>
        <v/>
      </c>
      <c r="AA146" s="150">
        <f>IFERROR(Z146/F146,0)</f>
        <v/>
      </c>
      <c r="AB146" s="148">
        <f>X146-(P146+W146)/1.06</f>
        <v/>
      </c>
      <c r="AC146" s="150">
        <f>IFERROR(AB146/F146,0)</f>
        <v/>
      </c>
    </row>
    <row r="147" ht="14.25" customHeight="1" s="65">
      <c r="A147" s="140" t="inlineStr">
        <is>
          <t>6.22-6.28</t>
        </is>
      </c>
      <c r="B147" s="141" t="n">
        <v>898120785283</v>
      </c>
      <c r="C147" s="140" t="inlineStr">
        <is>
          <t>番茄</t>
        </is>
      </c>
      <c r="D147" s="140" t="inlineStr">
        <is>
          <t>进口意大利面风味奶香番茄牛肉味意式营多早餐儿童宝妈家庭餐拌面</t>
        </is>
      </c>
      <c r="E147" s="142" t="n">
        <v>39.19</v>
      </c>
      <c r="F147" s="142">
        <f>IFERROR(E147/1.13,0)</f>
        <v/>
      </c>
      <c r="G147" s="143" t="n">
        <v>2</v>
      </c>
      <c r="H147" s="144">
        <f>IFERROR(G147/SUMIF($A:$A,A147,$G:$G),0)</f>
        <v/>
      </c>
      <c r="I147" s="142">
        <f>IFERROR(E147/G147,0)</f>
        <v/>
      </c>
      <c r="J147" s="142" t="n">
        <v>0.974849705608924</v>
      </c>
      <c r="K147" s="142" t="n">
        <v>1.81049891540131</v>
      </c>
      <c r="L147" s="145">
        <f>IFERROR(K147/J147,0)</f>
        <v/>
      </c>
      <c r="M147" s="142" t="n">
        <v>1.17872327238922</v>
      </c>
      <c r="N147" s="142" t="n">
        <v>2.56725751471955</v>
      </c>
      <c r="O147" s="145">
        <f>IFERROR(N147/M147,0)</f>
        <v/>
      </c>
      <c r="P147" s="142">
        <f>J147+M147</f>
        <v/>
      </c>
      <c r="Q147" s="142">
        <f>K147+N147</f>
        <v/>
      </c>
      <c r="R147" s="145">
        <f>IFERROR(Q147/P147,0)</f>
        <v/>
      </c>
      <c r="S147" s="144">
        <f>IFERROR(P147/SUMIF($A:$A,A147,$P:$P),0)</f>
        <v/>
      </c>
      <c r="T147" s="144">
        <f>IFERROR(P147/E147,0)</f>
        <v/>
      </c>
      <c r="U147" s="142">
        <f>E147-Q147</f>
        <v/>
      </c>
      <c r="V147" s="144">
        <f>IFERROR(U147/E147,0)</f>
        <v/>
      </c>
      <c r="W147" s="142">
        <f>IFERROR(VLOOKUP(A147,周报其他费用!$A:$B,2,FALSE)*H147,0)</f>
        <v/>
      </c>
      <c r="X147" s="142" t="n">
        <v>4.074</v>
      </c>
      <c r="Y147" s="144">
        <f>IFERROR(X147/F147,0)</f>
        <v/>
      </c>
      <c r="Z147" s="142">
        <f>X147-J147/1.06</f>
        <v/>
      </c>
      <c r="AA147" s="144">
        <f>IFERROR(Z147/F147,0)</f>
        <v/>
      </c>
      <c r="AB147" s="142">
        <f>X147-(P147+W147)/1.06</f>
        <v/>
      </c>
      <c r="AC147" s="144">
        <f>IFERROR(AB147/F147,0)</f>
        <v/>
      </c>
    </row>
    <row r="148" ht="14.25" customHeight="1" s="65">
      <c r="A148" s="146" t="inlineStr">
        <is>
          <t>6.22-6.28</t>
        </is>
      </c>
      <c r="B148" s="147" t="n">
        <v>885645733215</v>
      </c>
      <c r="C148" s="146" t="inlineStr">
        <is>
          <t>大骨牛肉</t>
        </is>
      </c>
      <c r="D148" s="146" t="inlineStr">
        <is>
          <t>进口营多大骨番茄牛肉味营多捞面意式泡面宿舍宿舍宵夜速食方便面</t>
        </is>
      </c>
      <c r="E148" s="148" t="n">
        <v>28.48</v>
      </c>
      <c r="F148" s="148">
        <f>IFERROR(E148/1.13,0)</f>
        <v/>
      </c>
      <c r="G148" s="149" t="n">
        <v>2</v>
      </c>
      <c r="H148" s="150">
        <f>IFERROR(G148/SUMIF($A:$A,A148,$G:$G),0)</f>
        <v/>
      </c>
      <c r="I148" s="148">
        <f>IFERROR(E148/G148,0)</f>
        <v/>
      </c>
      <c r="J148" s="148" t="n">
        <v>9.494849705608919</v>
      </c>
      <c r="K148" s="148" t="n">
        <v>15.7104989154013</v>
      </c>
      <c r="L148" s="151">
        <f>IFERROR(K148/J148,0)</f>
        <v/>
      </c>
      <c r="M148" s="148" t="n">
        <v>1.17872327238922</v>
      </c>
      <c r="N148" s="148" t="n">
        <v>2.56725751471955</v>
      </c>
      <c r="O148" s="151">
        <f>IFERROR(N148/M148,0)</f>
        <v/>
      </c>
      <c r="P148" s="148">
        <f>J148+M148</f>
        <v/>
      </c>
      <c r="Q148" s="148">
        <f>K148+N148</f>
        <v/>
      </c>
      <c r="R148" s="151">
        <f>IFERROR(Q148/P148,0)</f>
        <v/>
      </c>
      <c r="S148" s="150">
        <f>IFERROR(P148/SUMIF($A:$A,A148,$P:$P),0)</f>
        <v/>
      </c>
      <c r="T148" s="150">
        <f>IFERROR(P148/E148,0)</f>
        <v/>
      </c>
      <c r="U148" s="148">
        <f>E148-Q148</f>
        <v/>
      </c>
      <c r="V148" s="150">
        <f>IFERROR(U148/E148,0)</f>
        <v/>
      </c>
      <c r="W148" s="148">
        <f>IFERROR(VLOOKUP(A148,周报其他费用!$A:$B,2,FALSE)*H148,0)</f>
        <v/>
      </c>
      <c r="X148" s="148" t="n">
        <v>1.093</v>
      </c>
      <c r="Y148" s="150">
        <f>IFERROR(X148/F148,0)</f>
        <v/>
      </c>
      <c r="Z148" s="148">
        <f>X148-J148/1.06</f>
        <v/>
      </c>
      <c r="AA148" s="150">
        <f>IFERROR(Z148/F148,0)</f>
        <v/>
      </c>
      <c r="AB148" s="148">
        <f>X148-(P148+W148)/1.06</f>
        <v/>
      </c>
      <c r="AC148" s="150">
        <f>IFERROR(AB148/F148,0)</f>
        <v/>
      </c>
    </row>
    <row r="149" ht="14.25" customHeight="1" s="65">
      <c r="A149" s="140" t="inlineStr">
        <is>
          <t>6.22-6.28</t>
        </is>
      </c>
      <c r="B149" s="141" t="n">
        <v>649729851594</v>
      </c>
      <c r="C149" s="140" t="inlineStr">
        <is>
          <t>小规格</t>
        </is>
      </c>
      <c r="D149" s="140" t="inlineStr">
        <is>
          <t>营多捞面袋装8包装泡面宿舍速食面热干面干拌面方便面火鸡面食品</t>
        </is>
      </c>
      <c r="E149" s="142" t="n">
        <v>44.72</v>
      </c>
      <c r="F149" s="142">
        <f>IFERROR(E149/1.13,0)</f>
        <v/>
      </c>
      <c r="G149" s="143" t="n">
        <v>2</v>
      </c>
      <c r="H149" s="144">
        <f>IFERROR(G149/SUMIF($A:$A,A149,$G:$G),0)</f>
        <v/>
      </c>
      <c r="I149" s="142">
        <f>IFERROR(E149/G149,0)</f>
        <v/>
      </c>
      <c r="J149" s="142" t="n">
        <v>5.68484970560892</v>
      </c>
      <c r="K149" s="142" t="n">
        <v>52.0704989154013</v>
      </c>
      <c r="L149" s="145">
        <f>IFERROR(K149/J149,0)</f>
        <v/>
      </c>
      <c r="M149" s="142" t="n">
        <v>1.17872327238922</v>
      </c>
      <c r="N149" s="142" t="n">
        <v>2.56725751471955</v>
      </c>
      <c r="O149" s="145">
        <f>IFERROR(N149/M149,0)</f>
        <v/>
      </c>
      <c r="P149" s="142">
        <f>J149+M149</f>
        <v/>
      </c>
      <c r="Q149" s="142">
        <f>K149+N149</f>
        <v/>
      </c>
      <c r="R149" s="145">
        <f>IFERROR(Q149/P149,0)</f>
        <v/>
      </c>
      <c r="S149" s="144">
        <f>IFERROR(P149/SUMIF($A:$A,A149,$P:$P),0)</f>
        <v/>
      </c>
      <c r="T149" s="144">
        <f>IFERROR(P149/E149,0)</f>
        <v/>
      </c>
      <c r="U149" s="142">
        <f>E149-Q149</f>
        <v/>
      </c>
      <c r="V149" s="144">
        <f>IFERROR(U149/E149,0)</f>
        <v/>
      </c>
      <c r="W149" s="142">
        <f>IFERROR(VLOOKUP(A149,周报其他费用!$A:$B,2,FALSE)*H149,0)</f>
        <v/>
      </c>
      <c r="X149" s="142" t="n">
        <v>7.122</v>
      </c>
      <c r="Y149" s="144">
        <f>IFERROR(X149/F149,0)</f>
        <v/>
      </c>
      <c r="Z149" s="142">
        <f>X149-J149/1.06</f>
        <v/>
      </c>
      <c r="AA149" s="144">
        <f>IFERROR(Z149/F149,0)</f>
        <v/>
      </c>
      <c r="AB149" s="142">
        <f>X149-(P149+W149)/1.06</f>
        <v/>
      </c>
      <c r="AC149" s="144">
        <f>IFERROR(AB149/F149,0)</f>
        <v/>
      </c>
    </row>
    <row r="150" ht="14.25" customHeight="1" s="65">
      <c r="A150" s="146" t="inlineStr">
        <is>
          <t>6.22-6.28</t>
        </is>
      </c>
      <c r="B150" s="147" t="n">
        <v>869217868453</v>
      </c>
      <c r="C150" s="146" t="inlineStr">
        <is>
          <t>韩式杯面</t>
        </is>
      </c>
      <c r="D150" s="146" t="inlineStr">
        <is>
          <t>营多捞面韩式甜辣炸鸡辣蘑菇杯面方便面拌面泡面宿舍速食面</t>
        </is>
      </c>
      <c r="E150" s="148" t="n">
        <v>49.9</v>
      </c>
      <c r="F150" s="148">
        <f>IFERROR(E150/1.13,0)</f>
        <v/>
      </c>
      <c r="G150" s="149" t="n">
        <v>1</v>
      </c>
      <c r="H150" s="150">
        <f>IFERROR(G150/SUMIF($A:$A,A150,$G:$G),0)</f>
        <v/>
      </c>
      <c r="I150" s="148">
        <f>IFERROR(E150/G150,0)</f>
        <v/>
      </c>
      <c r="J150" s="148" t="n">
        <v>6.44742485280446</v>
      </c>
      <c r="K150" s="148" t="n">
        <v>50.8052494577007</v>
      </c>
      <c r="L150" s="151">
        <f>IFERROR(K150/J150,0)</f>
        <v/>
      </c>
      <c r="M150" s="148" t="n">
        <v>0.589361636194608</v>
      </c>
      <c r="N150" s="148" t="n">
        <v>1.28362875735978</v>
      </c>
      <c r="O150" s="151">
        <f>IFERROR(N150/M150,0)</f>
        <v/>
      </c>
      <c r="P150" s="148">
        <f>J150+M150</f>
        <v/>
      </c>
      <c r="Q150" s="148">
        <f>K150+N150</f>
        <v/>
      </c>
      <c r="R150" s="151">
        <f>IFERROR(Q150/P150,0)</f>
        <v/>
      </c>
      <c r="S150" s="150">
        <f>IFERROR(P150/SUMIF($A:$A,A150,$P:$P),0)</f>
        <v/>
      </c>
      <c r="T150" s="150">
        <f>IFERROR(P150/E150,0)</f>
        <v/>
      </c>
      <c r="U150" s="148">
        <f>E150-Q150</f>
        <v/>
      </c>
      <c r="V150" s="150">
        <f>IFERROR(U150/E150,0)</f>
        <v/>
      </c>
      <c r="W150" s="148">
        <f>IFERROR(VLOOKUP(A150,周报其他费用!$A:$B,2,FALSE)*H150,0)</f>
        <v/>
      </c>
      <c r="X150" s="148" t="n">
        <v>8.817</v>
      </c>
      <c r="Y150" s="150">
        <f>IFERROR(X150/F150,0)</f>
        <v/>
      </c>
      <c r="Z150" s="148">
        <f>X150-J150/1.06</f>
        <v/>
      </c>
      <c r="AA150" s="150">
        <f>IFERROR(Z150/F150,0)</f>
        <v/>
      </c>
      <c r="AB150" s="148">
        <f>X150-(P150+W150)/1.06</f>
        <v/>
      </c>
      <c r="AC150" s="150">
        <f>IFERROR(AB150/F150,0)</f>
        <v/>
      </c>
    </row>
    <row r="151" ht="14.25" customHeight="1" s="65">
      <c r="A151" s="140" t="inlineStr">
        <is>
          <t>6.22-6.28</t>
        </is>
      </c>
      <c r="B151" s="141" t="n">
        <v>976467954327</v>
      </c>
      <c r="C151" s="140" t="inlineStr">
        <is>
          <t>【U选】韩式蘑菇1+日式辣杯1</t>
        </is>
      </c>
      <c r="D151" s="140" t="inlineStr">
        <is>
          <t>【天猫U选】indomie营多捞面辣蘑菇味日式辣味杯面</t>
        </is>
      </c>
      <c r="E151" s="142" t="n">
        <v>9.41</v>
      </c>
      <c r="F151" s="142">
        <f>IFERROR(E151/1.13,0)</f>
        <v/>
      </c>
      <c r="G151" s="143" t="n">
        <v>1</v>
      </c>
      <c r="H151" s="144">
        <f>IFERROR(G151/SUMIF($A:$A,A151,$G:$G),0)</f>
        <v/>
      </c>
      <c r="I151" s="142">
        <f>IFERROR(E151/G151,0)</f>
        <v/>
      </c>
      <c r="J151" s="142" t="n">
        <v>0.247424852804462</v>
      </c>
      <c r="K151" s="142" t="n">
        <v>0.905249457700657</v>
      </c>
      <c r="L151" s="145">
        <f>IFERROR(K151/J151,0)</f>
        <v/>
      </c>
      <c r="M151" s="142" t="n">
        <v>0.589361636194608</v>
      </c>
      <c r="N151" s="142" t="n">
        <v>1.28362875735978</v>
      </c>
      <c r="O151" s="145">
        <f>IFERROR(N151/M151,0)</f>
        <v/>
      </c>
      <c r="P151" s="142">
        <f>J151+M151</f>
        <v/>
      </c>
      <c r="Q151" s="142">
        <f>K151+N151</f>
        <v/>
      </c>
      <c r="R151" s="145">
        <f>IFERROR(Q151/P151,0)</f>
        <v/>
      </c>
      <c r="S151" s="144">
        <f>IFERROR(P151/SUMIF($A:$A,A151,$P:$P),0)</f>
        <v/>
      </c>
      <c r="T151" s="144">
        <f>IFERROR(P151/E151,0)</f>
        <v/>
      </c>
      <c r="U151" s="142">
        <f>E151-Q151</f>
        <v/>
      </c>
      <c r="V151" s="144">
        <f>IFERROR(U151/E151,0)</f>
        <v/>
      </c>
      <c r="W151" s="142">
        <f>IFERROR(VLOOKUP(A151,周报其他费用!$A:$B,2,FALSE)*H151,0)</f>
        <v/>
      </c>
      <c r="X151" s="142" t="n">
        <v>-1.761</v>
      </c>
      <c r="Y151" s="144">
        <f>IFERROR(X151/F151,0)</f>
        <v/>
      </c>
      <c r="Z151" s="142">
        <f>X151-J151/1.06</f>
        <v/>
      </c>
      <c r="AA151" s="144">
        <f>IFERROR(Z151/F151,0)</f>
        <v/>
      </c>
      <c r="AB151" s="142">
        <f>X151-(P151+W151)/1.06</f>
        <v/>
      </c>
      <c r="AC151" s="144">
        <f>IFERROR(AB151/F151,0)</f>
        <v/>
      </c>
    </row>
    <row r="152" ht="14.25" customHeight="1" s="65">
      <c r="A152" s="146" t="inlineStr">
        <is>
          <t>6.22-6.28</t>
        </is>
      </c>
      <c r="B152" s="147" t="n">
        <v>975092562679</v>
      </c>
      <c r="C152" s="146" t="inlineStr">
        <is>
          <t>韩式杯面</t>
        </is>
      </c>
      <c r="D152" s="146" t="inlineStr">
        <is>
          <t>营多韩式甜辣炸鸡火鸡面辣蘑菇杯面拌面泡面方便面速食宵夜旅行</t>
        </is>
      </c>
      <c r="E152" s="148" t="n">
        <v>23.28</v>
      </c>
      <c r="F152" s="148">
        <f>IFERROR(E152/1.13,0)</f>
        <v/>
      </c>
      <c r="G152" s="149" t="n">
        <v>1</v>
      </c>
      <c r="H152" s="150">
        <f>IFERROR(G152/SUMIF($A:$A,A152,$G:$G),0)</f>
        <v/>
      </c>
      <c r="I152" s="148">
        <f>IFERROR(E152/G152,0)</f>
        <v/>
      </c>
      <c r="J152" s="148" t="n">
        <v>2.98742485280446</v>
      </c>
      <c r="K152" s="148" t="n">
        <v>0.905249457700657</v>
      </c>
      <c r="L152" s="151">
        <f>IFERROR(K152/J152,0)</f>
        <v/>
      </c>
      <c r="M152" s="148" t="n">
        <v>0.589361636194608</v>
      </c>
      <c r="N152" s="148" t="n">
        <v>1.28362875735978</v>
      </c>
      <c r="O152" s="151">
        <f>IFERROR(N152/M152,0)</f>
        <v/>
      </c>
      <c r="P152" s="148">
        <f>J152+M152</f>
        <v/>
      </c>
      <c r="Q152" s="148">
        <f>K152+N152</f>
        <v/>
      </c>
      <c r="R152" s="151">
        <f>IFERROR(Q152/P152,0)</f>
        <v/>
      </c>
      <c r="S152" s="150">
        <f>IFERROR(P152/SUMIF($A:$A,A152,$P:$P),0)</f>
        <v/>
      </c>
      <c r="T152" s="150">
        <f>IFERROR(P152/E152,0)</f>
        <v/>
      </c>
      <c r="U152" s="148">
        <f>E152-Q152</f>
        <v/>
      </c>
      <c r="V152" s="150">
        <f>IFERROR(U152/E152,0)</f>
        <v/>
      </c>
      <c r="W152" s="148">
        <f>IFERROR(VLOOKUP(A152,周报其他费用!$A:$B,2,FALSE)*H152,0)</f>
        <v/>
      </c>
      <c r="X152" s="148" t="n">
        <v>3.875</v>
      </c>
      <c r="Y152" s="150">
        <f>IFERROR(X152/F152,0)</f>
        <v/>
      </c>
      <c r="Z152" s="148">
        <f>X152-J152/1.06</f>
        <v/>
      </c>
      <c r="AA152" s="150">
        <f>IFERROR(Z152/F152,0)</f>
        <v/>
      </c>
      <c r="AB152" s="148">
        <f>X152-(P152+W152)/1.06</f>
        <v/>
      </c>
      <c r="AC152" s="150">
        <f>IFERROR(AB152/F152,0)</f>
        <v/>
      </c>
    </row>
    <row r="153" ht="14.25" customHeight="1" s="65">
      <c r="A153" s="140" t="inlineStr">
        <is>
          <t>6.29-7.5</t>
        </is>
      </c>
      <c r="B153" s="141" t="n">
        <v>668566625747</v>
      </c>
      <c r="C153" s="140" t="inlineStr">
        <is>
          <t>袋面主链接</t>
        </is>
      </c>
      <c r="D153" s="140" t="inlineStr">
        <is>
          <t>印尼营多捞面进口网红泡面袋装方便面速食食品拉面火鸡面拌面整箱</t>
        </is>
      </c>
      <c r="E153" s="142" t="n">
        <v>26236.2500000003</v>
      </c>
      <c r="F153" s="142">
        <f>IFERROR(E153/1.13,0)</f>
        <v/>
      </c>
      <c r="G153" s="143" t="n">
        <v>1063</v>
      </c>
      <c r="H153" s="144">
        <f>IFERROR(G153/SUMIF($A:$A,A153,$G:$G),0)</f>
        <v/>
      </c>
      <c r="I153" s="142">
        <f>IFERROR(E153/G153,0)</f>
        <v/>
      </c>
      <c r="J153" s="142" t="n">
        <v>3795.08428409413</v>
      </c>
      <c r="K153" s="142" t="n">
        <v>23988.9654890842</v>
      </c>
      <c r="L153" s="145">
        <f>IFERROR(K153/J153,0)</f>
        <v/>
      </c>
      <c r="M153" s="142" t="n">
        <v>576.349739155089</v>
      </c>
      <c r="N153" s="142" t="n">
        <v>1594.09613836121</v>
      </c>
      <c r="O153" s="145">
        <f>IFERROR(N153/M153,0)</f>
        <v/>
      </c>
      <c r="P153" s="142">
        <f>J153+M153</f>
        <v/>
      </c>
      <c r="Q153" s="142">
        <f>K153+N153</f>
        <v/>
      </c>
      <c r="R153" s="145">
        <f>IFERROR(Q153/P153,0)</f>
        <v/>
      </c>
      <c r="S153" s="144">
        <f>IFERROR(P153/SUMIF($A:$A,A153,$P:$P),0)</f>
        <v/>
      </c>
      <c r="T153" s="144">
        <f>IFERROR(P153/E153,0)</f>
        <v/>
      </c>
      <c r="U153" s="142">
        <f>E153-Q153</f>
        <v/>
      </c>
      <c r="V153" s="144">
        <f>IFERROR(U153/E153,0)</f>
        <v/>
      </c>
      <c r="W153" s="142">
        <f>IFERROR(VLOOKUP(A153,周报其他费用!$A:$B,2,FALSE)*H153,0)</f>
        <v/>
      </c>
      <c r="X153" s="142" t="n">
        <v>3646.94600000003</v>
      </c>
      <c r="Y153" s="144">
        <f>IFERROR(X153/F153,0)</f>
        <v/>
      </c>
      <c r="Z153" s="142">
        <f>X153-J153/1.06</f>
        <v/>
      </c>
      <c r="AA153" s="144">
        <f>IFERROR(Z153/F153,0)</f>
        <v/>
      </c>
      <c r="AB153" s="142">
        <f>X153-(P153+W153)/1.06</f>
        <v/>
      </c>
      <c r="AC153" s="144">
        <f>IFERROR(AB153/F153,0)</f>
        <v/>
      </c>
    </row>
    <row r="154" ht="14.25" customHeight="1" s="65">
      <c r="A154" s="146" t="inlineStr">
        <is>
          <t>6.29-7.5</t>
        </is>
      </c>
      <c r="B154" s="147" t="n">
        <v>649361890551</v>
      </c>
      <c r="C154" s="146" t="inlineStr">
        <is>
          <t>袋面次链接</t>
        </is>
      </c>
      <c r="D154" s="146" t="inlineStr">
        <is>
          <t>营多捞面印尼进口Indomie网红夜宵早餐方便面火鸡面泡面拌面</t>
        </is>
      </c>
      <c r="E154" s="148" t="n">
        <v>18111.13</v>
      </c>
      <c r="F154" s="148">
        <f>IFERROR(E154/1.13,0)</f>
        <v/>
      </c>
      <c r="G154" s="149" t="n">
        <v>958</v>
      </c>
      <c r="H154" s="150">
        <f>IFERROR(G154/SUMIF($A:$A,A154,$G:$G),0)</f>
        <v/>
      </c>
      <c r="I154" s="148">
        <f>IFERROR(E154/G154,0)</f>
        <v/>
      </c>
      <c r="J154" s="148" t="n">
        <v>2631.04676779132</v>
      </c>
      <c r="K154" s="148" t="n">
        <v>17787.050722994</v>
      </c>
      <c r="L154" s="151">
        <f>IFERROR(K154/J154,0)</f>
        <v/>
      </c>
      <c r="M154" s="148" t="n">
        <v>519.419614403176</v>
      </c>
      <c r="N154" s="148" t="n">
        <v>1436.63603062092</v>
      </c>
      <c r="O154" s="151">
        <f>IFERROR(N154/M154,0)</f>
        <v/>
      </c>
      <c r="P154" s="148">
        <f>J154+M154</f>
        <v/>
      </c>
      <c r="Q154" s="148">
        <f>K154+N154</f>
        <v/>
      </c>
      <c r="R154" s="151">
        <f>IFERROR(Q154/P154,0)</f>
        <v/>
      </c>
      <c r="S154" s="150">
        <f>IFERROR(P154/SUMIF($A:$A,A154,$P:$P),0)</f>
        <v/>
      </c>
      <c r="T154" s="150">
        <f>IFERROR(P154/E154,0)</f>
        <v/>
      </c>
      <c r="U154" s="148">
        <f>E154-Q154</f>
        <v/>
      </c>
      <c r="V154" s="150">
        <f>IFERROR(U154/E154,0)</f>
        <v/>
      </c>
      <c r="W154" s="148">
        <f>IFERROR(VLOOKUP(A154,周报其他费用!$A:$B,2,FALSE)*H154,0)</f>
        <v/>
      </c>
      <c r="X154" s="148" t="n">
        <v>1782.44999999999</v>
      </c>
      <c r="Y154" s="150">
        <f>IFERROR(X154/F154,0)</f>
        <v/>
      </c>
      <c r="Z154" s="148">
        <f>X154-J154/1.06</f>
        <v/>
      </c>
      <c r="AA154" s="150">
        <f>IFERROR(Z154/F154,0)</f>
        <v/>
      </c>
      <c r="AB154" s="148">
        <f>X154-(P154+W154)/1.06</f>
        <v/>
      </c>
      <c r="AC154" s="150">
        <f>IFERROR(AB154/F154,0)</f>
        <v/>
      </c>
    </row>
    <row r="155" ht="14.25" customHeight="1" s="65">
      <c r="A155" s="140" t="inlineStr">
        <is>
          <t>6.29-7.5</t>
        </is>
      </c>
      <c r="B155" s="141" t="n">
        <v>649735171438</v>
      </c>
      <c r="C155" s="140" t="inlineStr">
        <is>
          <t>杯面主链接</t>
        </is>
      </c>
      <c r="D155" s="140" t="inlineStr">
        <is>
          <t>印尼进口indomie营多捞面杯面速食泡面干拌面盒桶装方便面火鸡面</t>
        </is>
      </c>
      <c r="E155" s="142" t="n">
        <v>14323.79</v>
      </c>
      <c r="F155" s="142">
        <f>IFERROR(E155/1.13,0)</f>
        <v/>
      </c>
      <c r="G155" s="143" t="n">
        <v>554</v>
      </c>
      <c r="H155" s="144">
        <f>IFERROR(G155/SUMIF($A:$A,A155,$G:$G),0)</f>
        <v/>
      </c>
      <c r="I155" s="142">
        <f>IFERROR(E155/G155,0)</f>
        <v/>
      </c>
      <c r="J155" s="142" t="n">
        <v>2347.8694669691</v>
      </c>
      <c r="K155" s="142" t="n">
        <v>12797.1259087043</v>
      </c>
      <c r="L155" s="145">
        <f>IFERROR(K155/J155,0)</f>
        <v/>
      </c>
      <c r="M155" s="142" t="n">
        <v>300.374182024383</v>
      </c>
      <c r="N155" s="142" t="n">
        <v>830.78952083924</v>
      </c>
      <c r="O155" s="145">
        <f>IFERROR(N155/M155,0)</f>
        <v/>
      </c>
      <c r="P155" s="142">
        <f>J155+M155</f>
        <v/>
      </c>
      <c r="Q155" s="142">
        <f>K155+N155</f>
        <v/>
      </c>
      <c r="R155" s="145">
        <f>IFERROR(Q155/P155,0)</f>
        <v/>
      </c>
      <c r="S155" s="144">
        <f>IFERROR(P155/SUMIF($A:$A,A155,$P:$P),0)</f>
        <v/>
      </c>
      <c r="T155" s="144">
        <f>IFERROR(P155/E155,0)</f>
        <v/>
      </c>
      <c r="U155" s="142">
        <f>E155-Q155</f>
        <v/>
      </c>
      <c r="V155" s="144">
        <f>IFERROR(U155/E155,0)</f>
        <v/>
      </c>
      <c r="W155" s="142">
        <f>IFERROR(VLOOKUP(A155,周报其他费用!$A:$B,2,FALSE)*H155,0)</f>
        <v/>
      </c>
      <c r="X155" s="142" t="n">
        <v>1644.71000000001</v>
      </c>
      <c r="Y155" s="144">
        <f>IFERROR(X155/F155,0)</f>
        <v/>
      </c>
      <c r="Z155" s="142">
        <f>X155-J155/1.06</f>
        <v/>
      </c>
      <c r="AA155" s="144">
        <f>IFERROR(Z155/F155,0)</f>
        <v/>
      </c>
      <c r="AB155" s="142">
        <f>X155-(P155+W155)/1.06</f>
        <v/>
      </c>
      <c r="AC155" s="144">
        <f>IFERROR(AB155/F155,0)</f>
        <v/>
      </c>
    </row>
    <row r="156" ht="14.25" customHeight="1" s="65">
      <c r="A156" s="146" t="inlineStr">
        <is>
          <t>6.29-7.5</t>
        </is>
      </c>
      <c r="B156" s="147" t="n">
        <v>649369494424</v>
      </c>
      <c r="C156" s="146" t="inlineStr">
        <is>
          <t>24包经典/牛系列</t>
        </is>
      </c>
      <c r="D156" s="146" t="inlineStr">
        <is>
          <t>营多捞面干拌面一整箱24袋装批发泡面混搭宿舍速食方便面火鸡面</t>
        </is>
      </c>
      <c r="E156" s="148" t="n">
        <v>6460.95</v>
      </c>
      <c r="F156" s="148">
        <f>IFERROR(E156/1.13,0)</f>
        <v/>
      </c>
      <c r="G156" s="149" t="n">
        <v>116</v>
      </c>
      <c r="H156" s="150">
        <f>IFERROR(G156/SUMIF($A:$A,A156,$G:$G),0)</f>
        <v/>
      </c>
      <c r="I156" s="148">
        <f>IFERROR(E156/G156,0)</f>
        <v/>
      </c>
      <c r="J156" s="148" t="n">
        <v>1033.50754182024</v>
      </c>
      <c r="K156" s="148" t="n">
        <v>5723.73831301389</v>
      </c>
      <c r="L156" s="151">
        <f>IFERROR(K156/J156,0)</f>
        <v/>
      </c>
      <c r="M156" s="148" t="n">
        <v>62.8942330592572</v>
      </c>
      <c r="N156" s="148" t="n">
        <v>173.955928551177</v>
      </c>
      <c r="O156" s="151">
        <f>IFERROR(N156/M156,0)</f>
        <v/>
      </c>
      <c r="P156" s="148">
        <f>J156+M156</f>
        <v/>
      </c>
      <c r="Q156" s="148">
        <f>K156+N156</f>
        <v/>
      </c>
      <c r="R156" s="151">
        <f>IFERROR(Q156/P156,0)</f>
        <v/>
      </c>
      <c r="S156" s="150">
        <f>IFERROR(P156/SUMIF($A:$A,A156,$P:$P),0)</f>
        <v/>
      </c>
      <c r="T156" s="150">
        <f>IFERROR(P156/E156,0)</f>
        <v/>
      </c>
      <c r="U156" s="148">
        <f>E156-Q156</f>
        <v/>
      </c>
      <c r="V156" s="150">
        <f>IFERROR(U156/E156,0)</f>
        <v/>
      </c>
      <c r="W156" s="148">
        <f>IFERROR(VLOOKUP(A156,周报其他费用!$A:$B,2,FALSE)*H156,0)</f>
        <v/>
      </c>
      <c r="X156" s="148" t="n">
        <v>1241.897</v>
      </c>
      <c r="Y156" s="150">
        <f>IFERROR(X156/F156,0)</f>
        <v/>
      </c>
      <c r="Z156" s="148">
        <f>X156-J156/1.06</f>
        <v/>
      </c>
      <c r="AA156" s="150">
        <f>IFERROR(Z156/F156,0)</f>
        <v/>
      </c>
      <c r="AB156" s="148">
        <f>X156-(P156+W156)/1.06</f>
        <v/>
      </c>
      <c r="AC156" s="150">
        <f>IFERROR(AB156/F156,0)</f>
        <v/>
      </c>
    </row>
    <row r="157" ht="14.25" customHeight="1" s="65">
      <c r="A157" s="140" t="inlineStr">
        <is>
          <t>6.29-7.5</t>
        </is>
      </c>
      <c r="B157" s="141" t="n">
        <v>1057479227624</v>
      </c>
      <c r="C157" s="140" t="inlineStr">
        <is>
          <t>巴东牛肉</t>
        </is>
      </c>
      <c r="D157" s="140" t="inlineStr">
        <is>
          <t>【新口味】印尼进口营多捞面巴东炖牛肉味泡面方便面宿舍速食宵夜</t>
        </is>
      </c>
      <c r="E157" s="142" t="n">
        <v>1950.93</v>
      </c>
      <c r="F157" s="142">
        <f>IFERROR(E157/1.13,0)</f>
        <v/>
      </c>
      <c r="G157" s="143" t="n">
        <v>108</v>
      </c>
      <c r="H157" s="144">
        <f>IFERROR(G157/SUMIF($A:$A,A157,$G:$G),0)</f>
        <v/>
      </c>
      <c r="I157" s="142">
        <f>IFERROR(E157/G157,0)</f>
        <v/>
      </c>
      <c r="J157" s="142" t="n">
        <v>610.951159625744</v>
      </c>
      <c r="K157" s="142" t="n">
        <v>3453.43118797845</v>
      </c>
      <c r="L157" s="145">
        <f>IFERROR(K157/J157,0)</f>
        <v/>
      </c>
      <c r="M157" s="142" t="n">
        <v>58.5566997448256</v>
      </c>
      <c r="N157" s="142" t="n">
        <v>161.95896796144</v>
      </c>
      <c r="O157" s="145">
        <f>IFERROR(N157/M157,0)</f>
        <v/>
      </c>
      <c r="P157" s="142">
        <f>J157+M157</f>
        <v/>
      </c>
      <c r="Q157" s="142">
        <f>K157+N157</f>
        <v/>
      </c>
      <c r="R157" s="145">
        <f>IFERROR(Q157/P157,0)</f>
        <v/>
      </c>
      <c r="S157" s="144">
        <f>IFERROR(P157/SUMIF($A:$A,A157,$P:$P),0)</f>
        <v/>
      </c>
      <c r="T157" s="144">
        <f>IFERROR(P157/E157,0)</f>
        <v/>
      </c>
      <c r="U157" s="142">
        <f>E157-Q157</f>
        <v/>
      </c>
      <c r="V157" s="144">
        <f>IFERROR(U157/E157,0)</f>
        <v/>
      </c>
      <c r="W157" s="142">
        <f>IFERROR(VLOOKUP(A157,周报其他费用!$A:$B,2,FALSE)*H157,0)</f>
        <v/>
      </c>
      <c r="X157" s="142" t="n">
        <v>218.561</v>
      </c>
      <c r="Y157" s="144">
        <f>IFERROR(X157/F157,0)</f>
        <v/>
      </c>
      <c r="Z157" s="142">
        <f>X157-J157/1.06</f>
        <v/>
      </c>
      <c r="AA157" s="144">
        <f>IFERROR(Z157/F157,0)</f>
        <v/>
      </c>
      <c r="AB157" s="142">
        <f>X157-(P157+W157)/1.06</f>
        <v/>
      </c>
      <c r="AC157" s="144">
        <f>IFERROR(AB157/F157,0)</f>
        <v/>
      </c>
    </row>
    <row r="158" ht="14.25" customHeight="1" s="65">
      <c r="A158" s="146" t="inlineStr">
        <is>
          <t>6.29-7.5</t>
        </is>
      </c>
      <c r="B158" s="147" t="n">
        <v>648600900806</v>
      </c>
      <c r="C158" s="146" t="inlineStr">
        <is>
          <t>30包</t>
        </is>
      </c>
      <c r="D158" s="146" t="inlineStr">
        <is>
          <t>进口营多捞面一整箱30包网红速食方便面宿舍速食泡面干拌面拉面</t>
        </is>
      </c>
      <c r="E158" s="148" t="n">
        <v>6510.9</v>
      </c>
      <c r="F158" s="148">
        <f>IFERROR(E158/1.13,0)</f>
        <v/>
      </c>
      <c r="G158" s="149" t="n">
        <v>96</v>
      </c>
      <c r="H158" s="150">
        <f>IFERROR(G158/SUMIF($A:$A,A158,$G:$G),0)</f>
        <v/>
      </c>
      <c r="I158" s="148">
        <f>IFERROR(E158/G158,0)</f>
        <v/>
      </c>
      <c r="J158" s="148" t="n">
        <v>1375.20658633399</v>
      </c>
      <c r="K158" s="148" t="n">
        <v>6790.08550042529</v>
      </c>
      <c r="L158" s="151">
        <f>IFERROR(K158/J158,0)</f>
        <v/>
      </c>
      <c r="M158" s="148" t="n">
        <v>52.0503997731783</v>
      </c>
      <c r="N158" s="148" t="n">
        <v>143.963527076836</v>
      </c>
      <c r="O158" s="151">
        <f>IFERROR(N158/M158,0)</f>
        <v/>
      </c>
      <c r="P158" s="148">
        <f>J158+M158</f>
        <v/>
      </c>
      <c r="Q158" s="148">
        <f>K158+N158</f>
        <v/>
      </c>
      <c r="R158" s="151">
        <f>IFERROR(Q158/P158,0)</f>
        <v/>
      </c>
      <c r="S158" s="150">
        <f>IFERROR(P158/SUMIF($A:$A,A158,$P:$P),0)</f>
        <v/>
      </c>
      <c r="T158" s="150">
        <f>IFERROR(P158/E158,0)</f>
        <v/>
      </c>
      <c r="U158" s="148">
        <f>E158-Q158</f>
        <v/>
      </c>
      <c r="V158" s="150">
        <f>IFERROR(U158/E158,0)</f>
        <v/>
      </c>
      <c r="W158" s="148">
        <f>IFERROR(VLOOKUP(A158,周报其他费用!$A:$B,2,FALSE)*H158,0)</f>
        <v/>
      </c>
      <c r="X158" s="148" t="n">
        <v>1248.594</v>
      </c>
      <c r="Y158" s="150">
        <f>IFERROR(X158/F158,0)</f>
        <v/>
      </c>
      <c r="Z158" s="148">
        <f>X158-J158/1.06</f>
        <v/>
      </c>
      <c r="AA158" s="150">
        <f>IFERROR(Z158/F158,0)</f>
        <v/>
      </c>
      <c r="AB158" s="148">
        <f>X158-(P158+W158)/1.06</f>
        <v/>
      </c>
      <c r="AC158" s="150">
        <f>IFERROR(AB158/F158,0)</f>
        <v/>
      </c>
    </row>
    <row r="159" ht="14.25" customHeight="1" s="65">
      <c r="A159" s="140" t="inlineStr">
        <is>
          <t>6.29-7.5</t>
        </is>
      </c>
      <c r="B159" s="141" t="n">
        <v>648598580775</v>
      </c>
      <c r="C159" s="140" t="inlineStr">
        <is>
          <t>15包</t>
        </is>
      </c>
      <c r="D159" s="140" t="inlineStr">
        <is>
          <t>进口营多捞面15包Indomie方便面干拌面夜宵方便速食五连包85g*5</t>
        </is>
      </c>
      <c r="E159" s="142" t="n">
        <v>2542.28</v>
      </c>
      <c r="F159" s="142">
        <f>IFERROR(E159/1.13,0)</f>
        <v/>
      </c>
      <c r="G159" s="143" t="n">
        <v>70</v>
      </c>
      <c r="H159" s="144">
        <f>IFERROR(G159/SUMIF($A:$A,A159,$G:$G),0)</f>
        <v/>
      </c>
      <c r="I159" s="142">
        <f>IFERROR(E159/G159,0)</f>
        <v/>
      </c>
      <c r="J159" s="142" t="n">
        <v>499.778344201871</v>
      </c>
      <c r="K159" s="142" t="n">
        <v>2259.24984406011</v>
      </c>
      <c r="L159" s="145">
        <f>IFERROR(K159/J159,0)</f>
        <v/>
      </c>
      <c r="M159" s="142" t="n">
        <v>37.9534165012759</v>
      </c>
      <c r="N159" s="142" t="n">
        <v>104.973405160193</v>
      </c>
      <c r="O159" s="145">
        <f>IFERROR(N159/M159,0)</f>
        <v/>
      </c>
      <c r="P159" s="142">
        <f>J159+M159</f>
        <v/>
      </c>
      <c r="Q159" s="142">
        <f>K159+N159</f>
        <v/>
      </c>
      <c r="R159" s="145">
        <f>IFERROR(Q159/P159,0)</f>
        <v/>
      </c>
      <c r="S159" s="144">
        <f>IFERROR(P159/SUMIF($A:$A,A159,$P:$P),0)</f>
        <v/>
      </c>
      <c r="T159" s="144">
        <f>IFERROR(P159/E159,0)</f>
        <v/>
      </c>
      <c r="U159" s="142">
        <f>E159-Q159</f>
        <v/>
      </c>
      <c r="V159" s="144">
        <f>IFERROR(U159/E159,0)</f>
        <v/>
      </c>
      <c r="W159" s="142">
        <f>IFERROR(VLOOKUP(A159,周报其他费用!$A:$B,2,FALSE)*H159,0)</f>
        <v/>
      </c>
      <c r="X159" s="142" t="n">
        <v>426.402</v>
      </c>
      <c r="Y159" s="144">
        <f>IFERROR(X159/F159,0)</f>
        <v/>
      </c>
      <c r="Z159" s="142">
        <f>X159-J159/1.06</f>
        <v/>
      </c>
      <c r="AA159" s="144">
        <f>IFERROR(Z159/F159,0)</f>
        <v/>
      </c>
      <c r="AB159" s="142">
        <f>X159-(P159+W159)/1.06</f>
        <v/>
      </c>
      <c r="AC159" s="144">
        <f>IFERROR(AB159/F159,0)</f>
        <v/>
      </c>
    </row>
    <row r="160" ht="14.25" customHeight="1" s="65">
      <c r="A160" s="146" t="inlineStr">
        <is>
          <t>6.29-7.5</t>
        </is>
      </c>
      <c r="B160" s="147" t="n">
        <v>649014937782</v>
      </c>
      <c r="C160" s="146" t="inlineStr">
        <is>
          <t>24包</t>
        </is>
      </c>
      <c r="D160" s="146" t="inlineStr">
        <is>
          <t>印尼营多捞面干拌面一整箱24袋装批发泡面宿舍速食方便面火鸡面</t>
        </is>
      </c>
      <c r="E160" s="148" t="n">
        <v>3441.28</v>
      </c>
      <c r="F160" s="148">
        <f>IFERROR(E160/1.13,0)</f>
        <v/>
      </c>
      <c r="G160" s="149" t="n">
        <v>62</v>
      </c>
      <c r="H160" s="150">
        <f>IFERROR(G160/SUMIF($A:$A,A160,$G:$G),0)</f>
        <v/>
      </c>
      <c r="I160" s="148">
        <f>IFERROR(E160/G160,0)</f>
        <v/>
      </c>
      <c r="J160" s="148" t="n">
        <v>785.661962007372</v>
      </c>
      <c r="K160" s="148" t="n">
        <v>2960.84271902467</v>
      </c>
      <c r="L160" s="151">
        <f>IFERROR(K160/J160,0)</f>
        <v/>
      </c>
      <c r="M160" s="148" t="n">
        <v>33.6158831868443</v>
      </c>
      <c r="N160" s="148" t="n">
        <v>92.97644457045649</v>
      </c>
      <c r="O160" s="151">
        <f>IFERROR(N160/M160,0)</f>
        <v/>
      </c>
      <c r="P160" s="148">
        <f>J160+M160</f>
        <v/>
      </c>
      <c r="Q160" s="148">
        <f>K160+N160</f>
        <v/>
      </c>
      <c r="R160" s="151">
        <f>IFERROR(Q160/P160,0)</f>
        <v/>
      </c>
      <c r="S160" s="150">
        <f>IFERROR(P160/SUMIF($A:$A,A160,$P:$P),0)</f>
        <v/>
      </c>
      <c r="T160" s="150">
        <f>IFERROR(P160/E160,0)</f>
        <v/>
      </c>
      <c r="U160" s="148">
        <f>E160-Q160</f>
        <v/>
      </c>
      <c r="V160" s="150">
        <f>IFERROR(U160/E160,0)</f>
        <v/>
      </c>
      <c r="W160" s="148">
        <f>IFERROR(VLOOKUP(A160,周报其他费用!$A:$B,2,FALSE)*H160,0)</f>
        <v/>
      </c>
      <c r="X160" s="148" t="n">
        <v>641.439</v>
      </c>
      <c r="Y160" s="150">
        <f>IFERROR(X160/F160,0)</f>
        <v/>
      </c>
      <c r="Z160" s="148">
        <f>X160-J160/1.06</f>
        <v/>
      </c>
      <c r="AA160" s="150">
        <f>IFERROR(Z160/F160,0)</f>
        <v/>
      </c>
      <c r="AB160" s="148">
        <f>X160-(P160+W160)/1.06</f>
        <v/>
      </c>
      <c r="AC160" s="150">
        <f>IFERROR(AB160/F160,0)</f>
        <v/>
      </c>
    </row>
    <row r="161" ht="14.25" customHeight="1" s="65">
      <c r="A161" s="140" t="inlineStr">
        <is>
          <t>6.29-7.5</t>
        </is>
      </c>
      <c r="B161" s="141" t="n">
        <v>1013887677295</v>
      </c>
      <c r="C161" s="140" t="inlineStr">
        <is>
          <t>混搭5杯</t>
        </is>
      </c>
      <c r="D161" s="140" t="inlineStr">
        <is>
          <t>进口营多原味杯面日式杯面韩式杯面泡面方便面汤面宿舍速食夜宵</t>
        </is>
      </c>
      <c r="E161" s="142" t="n">
        <v>1690.96</v>
      </c>
      <c r="F161" s="142">
        <f>IFERROR(E161/1.13,0)</f>
        <v/>
      </c>
      <c r="G161" s="143" t="n">
        <v>62</v>
      </c>
      <c r="H161" s="144">
        <f>IFERROR(G161/SUMIF($A:$A,A161,$G:$G),0)</f>
        <v/>
      </c>
      <c r="I161" s="142">
        <f>IFERROR(E161/G161,0)</f>
        <v/>
      </c>
      <c r="J161" s="142" t="n">
        <v>273.021962007372</v>
      </c>
      <c r="K161" s="142" t="n">
        <v>1797.59271902467</v>
      </c>
      <c r="L161" s="145">
        <f>IFERROR(K161/J161,0)</f>
        <v/>
      </c>
      <c r="M161" s="142" t="n">
        <v>33.6158831868443</v>
      </c>
      <c r="N161" s="142" t="n">
        <v>92.97644457045649</v>
      </c>
      <c r="O161" s="145">
        <f>IFERROR(N161/M161,0)</f>
        <v/>
      </c>
      <c r="P161" s="142">
        <f>J161+M161</f>
        <v/>
      </c>
      <c r="Q161" s="142">
        <f>K161+N161</f>
        <v/>
      </c>
      <c r="R161" s="145">
        <f>IFERROR(Q161/P161,0)</f>
        <v/>
      </c>
      <c r="S161" s="144">
        <f>IFERROR(P161/SUMIF($A:$A,A161,$P:$P),0)</f>
        <v/>
      </c>
      <c r="T161" s="144">
        <f>IFERROR(P161/E161,0)</f>
        <v/>
      </c>
      <c r="U161" s="142">
        <f>E161-Q161</f>
        <v/>
      </c>
      <c r="V161" s="144">
        <f>IFERROR(U161/E161,0)</f>
        <v/>
      </c>
      <c r="W161" s="142">
        <f>IFERROR(VLOOKUP(A161,周报其他费用!$A:$B,2,FALSE)*H161,0)</f>
        <v/>
      </c>
      <c r="X161" s="142" t="n">
        <v>214.279</v>
      </c>
      <c r="Y161" s="144">
        <f>IFERROR(X161/F161,0)</f>
        <v/>
      </c>
      <c r="Z161" s="142">
        <f>X161-J161/1.06</f>
        <v/>
      </c>
      <c r="AA161" s="144">
        <f>IFERROR(Z161/F161,0)</f>
        <v/>
      </c>
      <c r="AB161" s="142">
        <f>X161-(P161+W161)/1.06</f>
        <v/>
      </c>
      <c r="AC161" s="144">
        <f>IFERROR(AB161/F161,0)</f>
        <v/>
      </c>
    </row>
    <row r="162" ht="14.25" customHeight="1" s="65">
      <c r="A162" s="146" t="inlineStr">
        <is>
          <t>6.29-7.5</t>
        </is>
      </c>
      <c r="B162" s="147" t="n">
        <v>1058280415678</v>
      </c>
      <c r="C162" s="146" t="inlineStr">
        <is>
          <t>原味大包</t>
        </is>
      </c>
      <c r="D162" s="146" t="inlineStr">
        <is>
          <t>印尼进口大大包营多原味捞面5包干拌面速食超大包方便面速食宵夜</t>
        </is>
      </c>
      <c r="E162" s="148" t="n">
        <v>1586.68</v>
      </c>
      <c r="F162" s="148">
        <f>IFERROR(E162/1.13,0)</f>
        <v/>
      </c>
      <c r="G162" s="149" t="n">
        <v>60</v>
      </c>
      <c r="H162" s="150">
        <f>IFERROR(G162/SUMIF($A:$A,A162,$G:$G),0)</f>
        <v/>
      </c>
      <c r="I162" s="148">
        <f>IFERROR(E162/G162,0)</f>
        <v/>
      </c>
      <c r="J162" s="148" t="n">
        <v>273.362866458747</v>
      </c>
      <c r="K162" s="148" t="n">
        <v>1695.50843776581</v>
      </c>
      <c r="L162" s="151">
        <f>IFERROR(K162/J162,0)</f>
        <v/>
      </c>
      <c r="M162" s="148" t="n">
        <v>32.5314998582365</v>
      </c>
      <c r="N162" s="148" t="n">
        <v>89.9772044230224</v>
      </c>
      <c r="O162" s="151">
        <f>IFERROR(N162/M162,0)</f>
        <v/>
      </c>
      <c r="P162" s="148">
        <f>J162+M162</f>
        <v/>
      </c>
      <c r="Q162" s="148">
        <f>K162+N162</f>
        <v/>
      </c>
      <c r="R162" s="151">
        <f>IFERROR(Q162/P162,0)</f>
        <v/>
      </c>
      <c r="S162" s="150">
        <f>IFERROR(P162/SUMIF($A:$A,A162,$P:$P),0)</f>
        <v/>
      </c>
      <c r="T162" s="150">
        <f>IFERROR(P162/E162,0)</f>
        <v/>
      </c>
      <c r="U162" s="148">
        <f>E162-Q162</f>
        <v/>
      </c>
      <c r="V162" s="150">
        <f>IFERROR(U162/E162,0)</f>
        <v/>
      </c>
      <c r="W162" s="148">
        <f>IFERROR(VLOOKUP(A162,周报其他费用!$A:$B,2,FALSE)*H162,0)</f>
        <v/>
      </c>
      <c r="X162" s="148" t="n">
        <v>338.05</v>
      </c>
      <c r="Y162" s="150">
        <f>IFERROR(X162/F162,0)</f>
        <v/>
      </c>
      <c r="Z162" s="148">
        <f>X162-J162/1.06</f>
        <v/>
      </c>
      <c r="AA162" s="150">
        <f>IFERROR(Z162/F162,0)</f>
        <v/>
      </c>
      <c r="AB162" s="148">
        <f>X162-(P162+W162)/1.06</f>
        <v/>
      </c>
      <c r="AC162" s="150">
        <f>IFERROR(AB162/F162,0)</f>
        <v/>
      </c>
    </row>
    <row r="163" ht="14.25" customHeight="1" s="65">
      <c r="A163" s="140" t="inlineStr">
        <is>
          <t>6.29-7.5</t>
        </is>
      </c>
      <c r="B163" s="141" t="n">
        <v>648681860568</v>
      </c>
      <c r="C163" s="140" t="inlineStr">
        <is>
          <t>杯面次链接</t>
        </is>
      </c>
      <c r="D163" s="140" t="inlineStr">
        <is>
          <t>营多捞面杯装方便面泡面速食干拌面原味整箱批发印尼进口桶装拌面</t>
        </is>
      </c>
      <c r="E163" s="142" t="n">
        <v>1932.54</v>
      </c>
      <c r="F163" s="142">
        <f>IFERROR(E163/1.13,0)</f>
        <v/>
      </c>
      <c r="G163" s="143" t="n">
        <v>60</v>
      </c>
      <c r="H163" s="144">
        <f>IFERROR(G163/SUMIF($A:$A,A163,$G:$G),0)</f>
        <v/>
      </c>
      <c r="I163" s="142">
        <f>IFERROR(E163/G163,0)</f>
        <v/>
      </c>
      <c r="J163" s="142" t="n">
        <v>156.332866458747</v>
      </c>
      <c r="K163" s="142" t="n">
        <v>1033.30843776581</v>
      </c>
      <c r="L163" s="145">
        <f>IFERROR(K163/J163,0)</f>
        <v/>
      </c>
      <c r="M163" s="142" t="n">
        <v>32.5314998582365</v>
      </c>
      <c r="N163" s="142" t="n">
        <v>89.9772044230224</v>
      </c>
      <c r="O163" s="145">
        <f>IFERROR(N163/M163,0)</f>
        <v/>
      </c>
      <c r="P163" s="142">
        <f>J163+M163</f>
        <v/>
      </c>
      <c r="Q163" s="142">
        <f>K163+N163</f>
        <v/>
      </c>
      <c r="R163" s="145">
        <f>IFERROR(Q163/P163,0)</f>
        <v/>
      </c>
      <c r="S163" s="144">
        <f>IFERROR(P163/SUMIF($A:$A,A163,$P:$P),0)</f>
        <v/>
      </c>
      <c r="T163" s="144">
        <f>IFERROR(P163/E163,0)</f>
        <v/>
      </c>
      <c r="U163" s="142">
        <f>E163-Q163</f>
        <v/>
      </c>
      <c r="V163" s="144">
        <f>IFERROR(U163/E163,0)</f>
        <v/>
      </c>
      <c r="W163" s="142">
        <f>IFERROR(VLOOKUP(A163,周报其他费用!$A:$B,2,FALSE)*H163,0)</f>
        <v/>
      </c>
      <c r="X163" s="142" t="n">
        <v>256.248</v>
      </c>
      <c r="Y163" s="144">
        <f>IFERROR(X163/F163,0)</f>
        <v/>
      </c>
      <c r="Z163" s="142">
        <f>X163-J163/1.06</f>
        <v/>
      </c>
      <c r="AA163" s="144">
        <f>IFERROR(Z163/F163,0)</f>
        <v/>
      </c>
      <c r="AB163" s="142">
        <f>X163-(P163+W163)/1.06</f>
        <v/>
      </c>
      <c r="AC163" s="144">
        <f>IFERROR(AB163/F163,0)</f>
        <v/>
      </c>
    </row>
    <row r="164" ht="14.25" customHeight="1" s="65">
      <c r="A164" s="146" t="inlineStr">
        <is>
          <t>6.29-7.5</t>
        </is>
      </c>
      <c r="B164" s="147" t="n">
        <v>1060999732877</v>
      </c>
      <c r="C164" s="146" t="inlineStr">
        <is>
          <t>原味大包</t>
        </is>
      </c>
      <c r="D164" s="146" t="inlineStr">
        <is>
          <t>indomie印尼进口营多原味大大包129g捞面方便面速食食品宵夜小吃</t>
        </is>
      </c>
      <c r="E164" s="148" t="n">
        <v>1326.4</v>
      </c>
      <c r="F164" s="148">
        <f>IFERROR(E164/1.13,0)</f>
        <v/>
      </c>
      <c r="G164" s="149" t="n">
        <v>46</v>
      </c>
      <c r="H164" s="150">
        <f>IFERROR(G164/SUMIF($A:$A,A164,$G:$G),0)</f>
        <v/>
      </c>
      <c r="I164" s="148">
        <f>IFERROR(E164/G164,0)</f>
        <v/>
      </c>
      <c r="J164" s="148" t="n">
        <v>282.679197618373</v>
      </c>
      <c r="K164" s="148" t="n">
        <v>1585.39846895378</v>
      </c>
      <c r="L164" s="151">
        <f>IFERROR(K164/J164,0)</f>
        <v/>
      </c>
      <c r="M164" s="148" t="n">
        <v>24.9408165579813</v>
      </c>
      <c r="N164" s="148" t="n">
        <v>68.9825233909838</v>
      </c>
      <c r="O164" s="151">
        <f>IFERROR(N164/M164,0)</f>
        <v/>
      </c>
      <c r="P164" s="148">
        <f>J164+M164</f>
        <v/>
      </c>
      <c r="Q164" s="148">
        <f>K164+N164</f>
        <v/>
      </c>
      <c r="R164" s="151">
        <f>IFERROR(Q164/P164,0)</f>
        <v/>
      </c>
      <c r="S164" s="150">
        <f>IFERROR(P164/SUMIF($A:$A,A164,$P:$P),0)</f>
        <v/>
      </c>
      <c r="T164" s="150">
        <f>IFERROR(P164/E164,0)</f>
        <v/>
      </c>
      <c r="U164" s="148">
        <f>E164-Q164</f>
        <v/>
      </c>
      <c r="V164" s="150">
        <f>IFERROR(U164/E164,0)</f>
        <v/>
      </c>
      <c r="W164" s="148">
        <f>IFERROR(VLOOKUP(A164,周报其他费用!$A:$B,2,FALSE)*H164,0)</f>
        <v/>
      </c>
      <c r="X164" s="148" t="n">
        <v>286.498</v>
      </c>
      <c r="Y164" s="150">
        <f>IFERROR(X164/F164,0)</f>
        <v/>
      </c>
      <c r="Z164" s="148">
        <f>X164-J164/1.06</f>
        <v/>
      </c>
      <c r="AA164" s="150">
        <f>IFERROR(Z164/F164,0)</f>
        <v/>
      </c>
      <c r="AB164" s="148">
        <f>X164-(P164+W164)/1.06</f>
        <v/>
      </c>
      <c r="AC164" s="150">
        <f>IFERROR(AB164/F164,0)</f>
        <v/>
      </c>
    </row>
    <row r="165" ht="14.25" customHeight="1" s="65">
      <c r="A165" s="140" t="inlineStr">
        <is>
          <t>6.29-7.5</t>
        </is>
      </c>
      <c r="B165" s="141" t="n">
        <v>1059563993918</v>
      </c>
      <c r="C165" s="140" t="inlineStr">
        <is>
          <t>巴东牛肉</t>
        </is>
      </c>
      <c r="D165" s="140" t="inlineStr">
        <is>
          <t>营多进口新口味巴东炖牛肉味捞面印尼料理方便面泡面捞面夜宵速食</t>
        </is>
      </c>
      <c r="E165" s="142" t="n">
        <v>620.6799999999999</v>
      </c>
      <c r="F165" s="142">
        <f>IFERROR(E165/1.13,0)</f>
        <v/>
      </c>
      <c r="G165" s="143" t="n">
        <v>40</v>
      </c>
      <c r="H165" s="144">
        <f>IFERROR(G165/SUMIF($A:$A,A165,$G:$G),0)</f>
        <v/>
      </c>
      <c r="I165" s="142">
        <f>IFERROR(E165/G165,0)</f>
        <v/>
      </c>
      <c r="J165" s="142" t="n">
        <v>232.981910972498</v>
      </c>
      <c r="K165" s="142" t="n">
        <v>924.205625177204</v>
      </c>
      <c r="L165" s="145">
        <f>IFERROR(K165/J165,0)</f>
        <v/>
      </c>
      <c r="M165" s="142" t="n">
        <v>21.6876665721576</v>
      </c>
      <c r="N165" s="142" t="n">
        <v>59.9848029486816</v>
      </c>
      <c r="O165" s="145">
        <f>IFERROR(N165/M165,0)</f>
        <v/>
      </c>
      <c r="P165" s="142">
        <f>J165+M165</f>
        <v/>
      </c>
      <c r="Q165" s="142">
        <f>K165+N165</f>
        <v/>
      </c>
      <c r="R165" s="145">
        <f>IFERROR(Q165/P165,0)</f>
        <v/>
      </c>
      <c r="S165" s="144">
        <f>IFERROR(P165/SUMIF($A:$A,A165,$P:$P),0)</f>
        <v/>
      </c>
      <c r="T165" s="144">
        <f>IFERROR(P165/E165,0)</f>
        <v/>
      </c>
      <c r="U165" s="142">
        <f>E165-Q165</f>
        <v/>
      </c>
      <c r="V165" s="144">
        <f>IFERROR(U165/E165,0)</f>
        <v/>
      </c>
      <c r="W165" s="142">
        <f>IFERROR(VLOOKUP(A165,周报其他费用!$A:$B,2,FALSE)*H165,0)</f>
        <v/>
      </c>
      <c r="X165" s="142" t="n">
        <v>54.642</v>
      </c>
      <c r="Y165" s="144">
        <f>IFERROR(X165/F165,0)</f>
        <v/>
      </c>
      <c r="Z165" s="142">
        <f>X165-J165/1.06</f>
        <v/>
      </c>
      <c r="AA165" s="144">
        <f>IFERROR(Z165/F165,0)</f>
        <v/>
      </c>
      <c r="AB165" s="142">
        <f>X165-(P165+W165)/1.06</f>
        <v/>
      </c>
      <c r="AC165" s="144">
        <f>IFERROR(AB165/F165,0)</f>
        <v/>
      </c>
    </row>
    <row r="166" ht="14.25" customHeight="1" s="65">
      <c r="A166" s="146" t="inlineStr">
        <is>
          <t>6.29-7.5</t>
        </is>
      </c>
      <c r="B166" s="147" t="n">
        <v>929504658691</v>
      </c>
      <c r="C166" s="146" t="inlineStr">
        <is>
          <t>日式袋面</t>
        </is>
      </c>
      <c r="D166" s="146" t="inlineStr">
        <is>
          <t>营多捞面日式鸡肉汤面原味辛辣味袋装泡面方便面速食宿舍夜宵食品</t>
        </is>
      </c>
      <c r="E166" s="148" t="n">
        <v>895.63</v>
      </c>
      <c r="F166" s="148">
        <f>IFERROR(E166/1.13,0)</f>
        <v/>
      </c>
      <c r="G166" s="149" t="n">
        <v>37</v>
      </c>
      <c r="H166" s="150">
        <f>IFERROR(G166/SUMIF($A:$A,A166,$G:$G),0)</f>
        <v/>
      </c>
      <c r="I166" s="148">
        <f>IFERROR(E166/G166,0)</f>
        <v/>
      </c>
      <c r="J166" s="148" t="n">
        <v>327.318267649561</v>
      </c>
      <c r="K166" s="148" t="n">
        <v>1017.00920328891</v>
      </c>
      <c r="L166" s="151">
        <f>IFERROR(K166/J166,0)</f>
        <v/>
      </c>
      <c r="M166" s="148" t="n">
        <v>20.0610915792458</v>
      </c>
      <c r="N166" s="148" t="n">
        <v>55.4859427275305</v>
      </c>
      <c r="O166" s="151">
        <f>IFERROR(N166/M166,0)</f>
        <v/>
      </c>
      <c r="P166" s="148">
        <f>J166+M166</f>
        <v/>
      </c>
      <c r="Q166" s="148">
        <f>K166+N166</f>
        <v/>
      </c>
      <c r="R166" s="151">
        <f>IFERROR(Q166/P166,0)</f>
        <v/>
      </c>
      <c r="S166" s="150">
        <f>IFERROR(P166/SUMIF($A:$A,A166,$P:$P),0)</f>
        <v/>
      </c>
      <c r="T166" s="150">
        <f>IFERROR(P166/E166,0)</f>
        <v/>
      </c>
      <c r="U166" s="148">
        <f>E166-Q166</f>
        <v/>
      </c>
      <c r="V166" s="150">
        <f>IFERROR(U166/E166,0)</f>
        <v/>
      </c>
      <c r="W166" s="148">
        <f>IFERROR(VLOOKUP(A166,周报其他费用!$A:$B,2,FALSE)*H166,0)</f>
        <v/>
      </c>
      <c r="X166" s="148" t="n">
        <v>153.236</v>
      </c>
      <c r="Y166" s="150">
        <f>IFERROR(X166/F166,0)</f>
        <v/>
      </c>
      <c r="Z166" s="148">
        <f>X166-J166/1.06</f>
        <v/>
      </c>
      <c r="AA166" s="150">
        <f>IFERROR(Z166/F166,0)</f>
        <v/>
      </c>
      <c r="AB166" s="148">
        <f>X166-(P166+W166)/1.06</f>
        <v/>
      </c>
      <c r="AC166" s="150">
        <f>IFERROR(AB166/F166,0)</f>
        <v/>
      </c>
    </row>
    <row r="167" ht="14.25" customHeight="1" s="65">
      <c r="A167" s="140" t="inlineStr">
        <is>
          <t>6.29-7.5</t>
        </is>
      </c>
      <c r="B167" s="141" t="n">
        <v>766165464414</v>
      </c>
      <c r="C167" s="140" t="inlineStr">
        <is>
          <t>12包</t>
        </is>
      </c>
      <c r="D167" s="140" t="inlineStr">
        <is>
          <t>营多印尼进口营多捞面方便面火鸡面干拌面12包宿舍速食泡面夜宵</t>
        </is>
      </c>
      <c r="E167" s="142" t="n">
        <v>950.75</v>
      </c>
      <c r="F167" s="142">
        <f>IFERROR(E167/1.13,0)</f>
        <v/>
      </c>
      <c r="G167" s="143" t="n">
        <v>32</v>
      </c>
      <c r="H167" s="144">
        <f>IFERROR(G167/SUMIF($A:$A,A167,$G:$G),0)</f>
        <v/>
      </c>
      <c r="I167" s="142">
        <f>IFERROR(E167/G167,0)</f>
        <v/>
      </c>
      <c r="J167" s="142" t="n">
        <v>37.4555287779983</v>
      </c>
      <c r="K167" s="142" t="n">
        <v>305.068500141763</v>
      </c>
      <c r="L167" s="145">
        <f>IFERROR(K167/J167,0)</f>
        <v/>
      </c>
      <c r="M167" s="142" t="n">
        <v>17.3501332577261</v>
      </c>
      <c r="N167" s="142" t="n">
        <v>47.9878423589453</v>
      </c>
      <c r="O167" s="145">
        <f>IFERROR(N167/M167,0)</f>
        <v/>
      </c>
      <c r="P167" s="142">
        <f>J167+M167</f>
        <v/>
      </c>
      <c r="Q167" s="142">
        <f>K167+N167</f>
        <v/>
      </c>
      <c r="R167" s="145">
        <f>IFERROR(Q167/P167,0)</f>
        <v/>
      </c>
      <c r="S167" s="144">
        <f>IFERROR(P167/SUMIF($A:$A,A167,$P:$P),0)</f>
        <v/>
      </c>
      <c r="T167" s="144">
        <f>IFERROR(P167/E167,0)</f>
        <v/>
      </c>
      <c r="U167" s="142">
        <f>E167-Q167</f>
        <v/>
      </c>
      <c r="V167" s="144">
        <f>IFERROR(U167/E167,0)</f>
        <v/>
      </c>
      <c r="W167" s="142">
        <f>IFERROR(VLOOKUP(A167,周报其他费用!$A:$B,2,FALSE)*H167,0)</f>
        <v/>
      </c>
      <c r="X167" s="142" t="n">
        <v>133.384</v>
      </c>
      <c r="Y167" s="144">
        <f>IFERROR(X167/F167,0)</f>
        <v/>
      </c>
      <c r="Z167" s="142">
        <f>X167-J167/1.06</f>
        <v/>
      </c>
      <c r="AA167" s="144">
        <f>IFERROR(Z167/F167,0)</f>
        <v/>
      </c>
      <c r="AB167" s="142">
        <f>X167-(P167+W167)/1.06</f>
        <v/>
      </c>
      <c r="AC167" s="144">
        <f>IFERROR(AB167/F167,0)</f>
        <v/>
      </c>
    </row>
    <row r="168" ht="14.25" customHeight="1" s="65">
      <c r="A168" s="146" t="inlineStr">
        <is>
          <t>6.29-7.5</t>
        </is>
      </c>
      <c r="B168" s="147" t="n">
        <v>735014804839</v>
      </c>
      <c r="C168" s="146" t="inlineStr">
        <is>
          <t>24/30包</t>
        </is>
      </c>
      <c r="D168" s="146" t="inlineStr">
        <is>
          <t>进口营多捞面多口味Indomie网红方便面干拌面泡面30包整箱批发面</t>
        </is>
      </c>
      <c r="E168" s="148" t="n">
        <v>1825.52</v>
      </c>
      <c r="F168" s="148">
        <f>IFERROR(E168/1.13,0)</f>
        <v/>
      </c>
      <c r="G168" s="149" t="n">
        <v>27</v>
      </c>
      <c r="H168" s="150">
        <f>IFERROR(G168/SUMIF($A:$A,A168,$G:$G),0)</f>
        <v/>
      </c>
      <c r="I168" s="148">
        <f>IFERROR(E168/G168,0)</f>
        <v/>
      </c>
      <c r="J168" s="148" t="n">
        <v>309.442789906436</v>
      </c>
      <c r="K168" s="148" t="n">
        <v>1586.51779699461</v>
      </c>
      <c r="L168" s="151">
        <f>IFERROR(K168/J168,0)</f>
        <v/>
      </c>
      <c r="M168" s="148" t="n">
        <v>14.6391749362064</v>
      </c>
      <c r="N168" s="148" t="n">
        <v>40.4897419903601</v>
      </c>
      <c r="O168" s="151">
        <f>IFERROR(N168/M168,0)</f>
        <v/>
      </c>
      <c r="P168" s="148">
        <f>J168+M168</f>
        <v/>
      </c>
      <c r="Q168" s="148">
        <f>K168+N168</f>
        <v/>
      </c>
      <c r="R168" s="151">
        <f>IFERROR(Q168/P168,0)</f>
        <v/>
      </c>
      <c r="S168" s="150">
        <f>IFERROR(P168/SUMIF($A:$A,A168,$P:$P),0)</f>
        <v/>
      </c>
      <c r="T168" s="150">
        <f>IFERROR(P168/E168,0)</f>
        <v/>
      </c>
      <c r="U168" s="148">
        <f>E168-Q168</f>
        <v/>
      </c>
      <c r="V168" s="150">
        <f>IFERROR(U168/E168,0)</f>
        <v/>
      </c>
      <c r="W168" s="148">
        <f>IFERROR(VLOOKUP(A168,周报其他费用!$A:$B,2,FALSE)*H168,0)</f>
        <v/>
      </c>
      <c r="X168" s="148" t="n">
        <v>344.746</v>
      </c>
      <c r="Y168" s="150">
        <f>IFERROR(X168/F168,0)</f>
        <v/>
      </c>
      <c r="Z168" s="148">
        <f>X168-J168/1.06</f>
        <v/>
      </c>
      <c r="AA168" s="150">
        <f>IFERROR(Z168/F168,0)</f>
        <v/>
      </c>
      <c r="AB168" s="148">
        <f>X168-(P168+W168)/1.06</f>
        <v/>
      </c>
      <c r="AC168" s="150">
        <f>IFERROR(AB168/F168,0)</f>
        <v/>
      </c>
    </row>
    <row r="169" ht="14.25" customHeight="1" s="65">
      <c r="A169" s="140" t="inlineStr">
        <is>
          <t>6.29-7.5</t>
        </is>
      </c>
      <c r="B169" s="141" t="n">
        <v>744317232690</v>
      </c>
      <c r="C169" s="140" t="inlineStr">
        <is>
          <t>多规格</t>
        </is>
      </c>
      <c r="D169" s="140" t="inlineStr">
        <is>
          <t>营多捞面汤面清香牛肉味方便面泡面速食食品泡面拉面整箱旅行宿舍</t>
        </is>
      </c>
      <c r="E169" s="142" t="n">
        <v>466.72</v>
      </c>
      <c r="F169" s="142">
        <f>IFERROR(E169/1.13,0)</f>
        <v/>
      </c>
      <c r="G169" s="143" t="n">
        <v>24</v>
      </c>
      <c r="H169" s="144">
        <f>IFERROR(G169/SUMIF($A:$A,A169,$G:$G),0)</f>
        <v/>
      </c>
      <c r="I169" s="142">
        <f>IFERROR(E169/G169,0)</f>
        <v/>
      </c>
      <c r="J169" s="142" t="n">
        <v>85.0791465834987</v>
      </c>
      <c r="K169" s="142" t="n">
        <v>483.441375106322</v>
      </c>
      <c r="L169" s="145">
        <f>IFERROR(K169/J169,0)</f>
        <v/>
      </c>
      <c r="M169" s="142" t="n">
        <v>13.0125999432946</v>
      </c>
      <c r="N169" s="142" t="n">
        <v>35.990881769209</v>
      </c>
      <c r="O169" s="145">
        <f>IFERROR(N169/M169,0)</f>
        <v/>
      </c>
      <c r="P169" s="142">
        <f>J169+M169</f>
        <v/>
      </c>
      <c r="Q169" s="142">
        <f>K169+N169</f>
        <v/>
      </c>
      <c r="R169" s="145">
        <f>IFERROR(Q169/P169,0)</f>
        <v/>
      </c>
      <c r="S169" s="144">
        <f>IFERROR(P169/SUMIF($A:$A,A169,$P:$P),0)</f>
        <v/>
      </c>
      <c r="T169" s="144">
        <f>IFERROR(P169/E169,0)</f>
        <v/>
      </c>
      <c r="U169" s="142">
        <f>E169-Q169</f>
        <v/>
      </c>
      <c r="V169" s="144">
        <f>IFERROR(U169/E169,0)</f>
        <v/>
      </c>
      <c r="W169" s="142">
        <f>IFERROR(VLOOKUP(A169,周报其他费用!$A:$B,2,FALSE)*H169,0)</f>
        <v/>
      </c>
      <c r="X169" s="142" t="n">
        <v>44.055</v>
      </c>
      <c r="Y169" s="144">
        <f>IFERROR(X169/F169,0)</f>
        <v/>
      </c>
      <c r="Z169" s="142">
        <f>X169-J169/1.06</f>
        <v/>
      </c>
      <c r="AA169" s="144">
        <f>IFERROR(Z169/F169,0)</f>
        <v/>
      </c>
      <c r="AB169" s="142">
        <f>X169-(P169+W169)/1.06</f>
        <v/>
      </c>
      <c r="AC169" s="144">
        <f>IFERROR(AB169/F169,0)</f>
        <v/>
      </c>
    </row>
    <row r="170" ht="14.25" customHeight="1" s="65">
      <c r="A170" s="146" t="inlineStr">
        <is>
          <t>6.29-7.5</t>
        </is>
      </c>
      <c r="B170" s="147" t="n">
        <v>971242260371</v>
      </c>
      <c r="C170" s="146" t="inlineStr">
        <is>
          <t>韩式袋面</t>
        </is>
      </c>
      <c r="D170" s="146" t="inlineStr">
        <is>
          <t>新品营多捞面韩式辣蘑菇汤面泡面方便面速食干拌面宿舍宵夜旅行</t>
        </is>
      </c>
      <c r="E170" s="148" t="n">
        <v>487.46</v>
      </c>
      <c r="F170" s="148">
        <f>IFERROR(E170/1.13,0)</f>
        <v/>
      </c>
      <c r="G170" s="149" t="n">
        <v>23</v>
      </c>
      <c r="H170" s="150">
        <f>IFERROR(G170/SUMIF($A:$A,A170,$G:$G),0)</f>
        <v/>
      </c>
      <c r="I170" s="148">
        <f>IFERROR(E170/G170,0)</f>
        <v/>
      </c>
      <c r="J170" s="148" t="n">
        <v>126.084598809186</v>
      </c>
      <c r="K170" s="148" t="n">
        <v>661.5192344768921</v>
      </c>
      <c r="L170" s="151">
        <f>IFERROR(K170/J170,0)</f>
        <v/>
      </c>
      <c r="M170" s="148" t="n">
        <v>12.4704082789906</v>
      </c>
      <c r="N170" s="148" t="n">
        <v>34.4912616954919</v>
      </c>
      <c r="O170" s="151">
        <f>IFERROR(N170/M170,0)</f>
        <v/>
      </c>
      <c r="P170" s="148">
        <f>J170+M170</f>
        <v/>
      </c>
      <c r="Q170" s="148">
        <f>K170+N170</f>
        <v/>
      </c>
      <c r="R170" s="151">
        <f>IFERROR(Q170/P170,0)</f>
        <v/>
      </c>
      <c r="S170" s="150">
        <f>IFERROR(P170/SUMIF($A:$A,A170,$P:$P),0)</f>
        <v/>
      </c>
      <c r="T170" s="150">
        <f>IFERROR(P170/E170,0)</f>
        <v/>
      </c>
      <c r="U170" s="148">
        <f>E170-Q170</f>
        <v/>
      </c>
      <c r="V170" s="150">
        <f>IFERROR(U170/E170,0)</f>
        <v/>
      </c>
      <c r="W170" s="148">
        <f>IFERROR(VLOOKUP(A170,周报其他费用!$A:$B,2,FALSE)*H170,0)</f>
        <v/>
      </c>
      <c r="X170" s="148" t="n">
        <v>94.297</v>
      </c>
      <c r="Y170" s="150">
        <f>IFERROR(X170/F170,0)</f>
        <v/>
      </c>
      <c r="Z170" s="148">
        <f>X170-J170/1.06</f>
        <v/>
      </c>
      <c r="AA170" s="150">
        <f>IFERROR(Z170/F170,0)</f>
        <v/>
      </c>
      <c r="AB170" s="148">
        <f>X170-(P170+W170)/1.06</f>
        <v/>
      </c>
      <c r="AC170" s="150">
        <f>IFERROR(AB170/F170,0)</f>
        <v/>
      </c>
    </row>
    <row r="171" ht="14.25" customHeight="1" s="65">
      <c r="A171" s="140" t="inlineStr">
        <is>
          <t>6.29-7.5</t>
        </is>
      </c>
      <c r="B171" s="141" t="n">
        <v>886856687067</v>
      </c>
      <c r="C171" s="140" t="inlineStr">
        <is>
          <t>大骨</t>
        </is>
      </c>
      <c r="D171" s="140" t="inlineStr">
        <is>
          <t>营多捞面牛系列大骨牛肉味方便面食品泡面拉面汤面宿舍宵夜旅行</t>
        </is>
      </c>
      <c r="E171" s="142" t="n">
        <v>292.06</v>
      </c>
      <c r="F171" s="142">
        <f>IFERROR(E171/1.13,0)</f>
        <v/>
      </c>
      <c r="G171" s="143" t="n">
        <v>13</v>
      </c>
      <c r="H171" s="144">
        <f>IFERROR(G171/SUMIF($A:$A,A171,$G:$G),0)</f>
        <v/>
      </c>
      <c r="I171" s="142">
        <f>IFERROR(E171/G171,0)</f>
        <v/>
      </c>
      <c r="J171" s="142" t="n">
        <v>12.9891210660618</v>
      </c>
      <c r="K171" s="142" t="n">
        <v>171.967828182591</v>
      </c>
      <c r="L171" s="145">
        <f>IFERROR(K171/J171,0)</f>
        <v/>
      </c>
      <c r="M171" s="142" t="n">
        <v>7.04849163595123</v>
      </c>
      <c r="N171" s="142" t="n">
        <v>19.4950609583215</v>
      </c>
      <c r="O171" s="145">
        <f>IFERROR(N171/M171,0)</f>
        <v/>
      </c>
      <c r="P171" s="142">
        <f>J171+M171</f>
        <v/>
      </c>
      <c r="Q171" s="142">
        <f>K171+N171</f>
        <v/>
      </c>
      <c r="R171" s="145">
        <f>IFERROR(Q171/P171,0)</f>
        <v/>
      </c>
      <c r="S171" s="144">
        <f>IFERROR(P171/SUMIF($A:$A,A171,$P:$P),0)</f>
        <v/>
      </c>
      <c r="T171" s="144">
        <f>IFERROR(P171/E171,0)</f>
        <v/>
      </c>
      <c r="U171" s="142">
        <f>E171-Q171</f>
        <v/>
      </c>
      <c r="V171" s="144">
        <f>IFERROR(U171/E171,0)</f>
        <v/>
      </c>
      <c r="W171" s="142">
        <f>IFERROR(VLOOKUP(A171,周报其他费用!$A:$B,2,FALSE)*H171,0)</f>
        <v/>
      </c>
      <c r="X171" s="142" t="n">
        <v>29.662</v>
      </c>
      <c r="Y171" s="144">
        <f>IFERROR(X171/F171,0)</f>
        <v/>
      </c>
      <c r="Z171" s="142">
        <f>X171-J171/1.06</f>
        <v/>
      </c>
      <c r="AA171" s="144">
        <f>IFERROR(Z171/F171,0)</f>
        <v/>
      </c>
      <c r="AB171" s="142">
        <f>X171-(P171+W171)/1.06</f>
        <v/>
      </c>
      <c r="AC171" s="144">
        <f>IFERROR(AB171/F171,0)</f>
        <v/>
      </c>
    </row>
    <row r="172" ht="14.25" customHeight="1" s="65">
      <c r="A172" s="146" t="inlineStr">
        <is>
          <t>6.29-7.5</t>
        </is>
      </c>
      <c r="B172" s="147" t="n">
        <v>969423151512</v>
      </c>
      <c r="C172" s="146" t="inlineStr">
        <is>
          <t>日韩混搭</t>
        </is>
      </c>
      <c r="D172" s="146" t="inlineStr">
        <is>
          <t>营多捞面甜辣炸鸡火鸡面辣蘑菇泡面方便面速食干拌面宿舍宵夜旅行</t>
        </is>
      </c>
      <c r="E172" s="148" t="n">
        <v>225.51</v>
      </c>
      <c r="F172" s="148">
        <f>IFERROR(E172/1.13,0)</f>
        <v/>
      </c>
      <c r="G172" s="149" t="n">
        <v>12</v>
      </c>
      <c r="H172" s="150">
        <f>IFERROR(G172/SUMIF($A:$A,A172,$G:$G),0)</f>
        <v/>
      </c>
      <c r="I172" s="148">
        <f>IFERROR(E172/G172,0)</f>
        <v/>
      </c>
      <c r="J172" s="148" t="n">
        <v>115.384573291749</v>
      </c>
      <c r="K172" s="148" t="n">
        <v>646.385687553161</v>
      </c>
      <c r="L172" s="151">
        <f>IFERROR(K172/J172,0)</f>
        <v/>
      </c>
      <c r="M172" s="148" t="n">
        <v>6.50629997164729</v>
      </c>
      <c r="N172" s="148" t="n">
        <v>17.9954408846045</v>
      </c>
      <c r="O172" s="151">
        <f>IFERROR(N172/M172,0)</f>
        <v/>
      </c>
      <c r="P172" s="148">
        <f>J172+M172</f>
        <v/>
      </c>
      <c r="Q172" s="148">
        <f>K172+N172</f>
        <v/>
      </c>
      <c r="R172" s="151">
        <f>IFERROR(Q172/P172,0)</f>
        <v/>
      </c>
      <c r="S172" s="150">
        <f>IFERROR(P172/SUMIF($A:$A,A172,$P:$P),0)</f>
        <v/>
      </c>
      <c r="T172" s="150">
        <f>IFERROR(P172/E172,0)</f>
        <v/>
      </c>
      <c r="U172" s="148">
        <f>E172-Q172</f>
        <v/>
      </c>
      <c r="V172" s="150">
        <f>IFERROR(U172/E172,0)</f>
        <v/>
      </c>
      <c r="W172" s="148">
        <f>IFERROR(VLOOKUP(A172,周报其他费用!$A:$B,2,FALSE)*H172,0)</f>
        <v/>
      </c>
      <c r="X172" s="148" t="n">
        <v>38.073</v>
      </c>
      <c r="Y172" s="150">
        <f>IFERROR(X172/F172,0)</f>
        <v/>
      </c>
      <c r="Z172" s="148">
        <f>X172-J172/1.06</f>
        <v/>
      </c>
      <c r="AA172" s="150">
        <f>IFERROR(Z172/F172,0)</f>
        <v/>
      </c>
      <c r="AB172" s="148">
        <f>X172-(P172+W172)/1.06</f>
        <v/>
      </c>
      <c r="AC172" s="150">
        <f>IFERROR(AB172/F172,0)</f>
        <v/>
      </c>
    </row>
    <row r="173" ht="14.25" customHeight="1" s="65">
      <c r="A173" s="140" t="inlineStr">
        <is>
          <t>6.29-7.5</t>
        </is>
      </c>
      <c r="B173" s="141" t="n">
        <v>903183018417</v>
      </c>
      <c r="C173" s="140" t="inlineStr">
        <is>
          <t>七口味混搭</t>
        </is>
      </c>
      <c r="D173" s="140" t="inlineStr">
        <is>
          <t>进口营多捞面汤面拌面七口味混合方便面速拉面宿舍拌面泡面食食品</t>
        </is>
      </c>
      <c r="E173" s="142" t="n">
        <v>152.88</v>
      </c>
      <c r="F173" s="142">
        <f>IFERROR(E173/1.13,0)</f>
        <v/>
      </c>
      <c r="G173" s="143" t="n">
        <v>8</v>
      </c>
      <c r="H173" s="144">
        <f>IFERROR(G173/SUMIF($A:$A,A173,$G:$G),0)</f>
        <v/>
      </c>
      <c r="I173" s="142">
        <f>IFERROR(E173/G173,0)</f>
        <v/>
      </c>
      <c r="J173" s="142" t="n">
        <v>13.6563821944996</v>
      </c>
      <c r="K173" s="142" t="n">
        <v>43.4571250354408</v>
      </c>
      <c r="L173" s="145">
        <f>IFERROR(K173/J173,0)</f>
        <v/>
      </c>
      <c r="M173" s="142" t="n">
        <v>4.33753331443153</v>
      </c>
      <c r="N173" s="142" t="n">
        <v>11.9969605897363</v>
      </c>
      <c r="O173" s="145">
        <f>IFERROR(N173/M173,0)</f>
        <v/>
      </c>
      <c r="P173" s="142">
        <f>J173+M173</f>
        <v/>
      </c>
      <c r="Q173" s="142">
        <f>K173+N173</f>
        <v/>
      </c>
      <c r="R173" s="145">
        <f>IFERROR(Q173/P173,0)</f>
        <v/>
      </c>
      <c r="S173" s="144">
        <f>IFERROR(P173/SUMIF($A:$A,A173,$P:$P),0)</f>
        <v/>
      </c>
      <c r="T173" s="144">
        <f>IFERROR(P173/E173,0)</f>
        <v/>
      </c>
      <c r="U173" s="142">
        <f>E173-Q173</f>
        <v/>
      </c>
      <c r="V173" s="144">
        <f>IFERROR(U173/E173,0)</f>
        <v/>
      </c>
      <c r="W173" s="142">
        <f>IFERROR(VLOOKUP(A173,周报其他费用!$A:$B,2,FALSE)*H173,0)</f>
        <v/>
      </c>
      <c r="X173" s="142" t="n">
        <v>16.926</v>
      </c>
      <c r="Y173" s="144">
        <f>IFERROR(X173/F173,0)</f>
        <v/>
      </c>
      <c r="Z173" s="142">
        <f>X173-J173/1.06</f>
        <v/>
      </c>
      <c r="AA173" s="144">
        <f>IFERROR(Z173/F173,0)</f>
        <v/>
      </c>
      <c r="AB173" s="142">
        <f>X173-(P173+W173)/1.06</f>
        <v/>
      </c>
      <c r="AC173" s="144">
        <f>IFERROR(AB173/F173,0)</f>
        <v/>
      </c>
    </row>
    <row r="174" ht="14.25" customHeight="1" s="65">
      <c r="A174" s="146" t="inlineStr">
        <is>
          <t>6.29-7.5</t>
        </is>
      </c>
      <c r="B174" s="147" t="n">
        <v>648604228786</v>
      </c>
      <c r="C174" s="146" t="inlineStr">
        <is>
          <t>杯面混搭</t>
        </is>
      </c>
      <c r="D174" s="146" t="inlineStr">
        <is>
          <t>INDOMIE营多日式杯面原味经典泡面整箱批发速食宿舍旅行宵夜宿舍</t>
        </is>
      </c>
      <c r="E174" s="148" t="n">
        <v>220.6</v>
      </c>
      <c r="F174" s="148">
        <f>IFERROR(E174/1.13,0)</f>
        <v/>
      </c>
      <c r="G174" s="149" t="n">
        <v>8</v>
      </c>
      <c r="H174" s="150">
        <f>IFERROR(G174/SUMIF($A:$A,A174,$G:$G),0)</f>
        <v/>
      </c>
      <c r="I174" s="148">
        <f>IFERROR(E174/G174,0)</f>
        <v/>
      </c>
      <c r="J174" s="148" t="n">
        <v>13.1463821944996</v>
      </c>
      <c r="K174" s="148" t="n">
        <v>97.9571250354408</v>
      </c>
      <c r="L174" s="151">
        <f>IFERROR(K174/J174,0)</f>
        <v/>
      </c>
      <c r="M174" s="148" t="n">
        <v>4.33753331443153</v>
      </c>
      <c r="N174" s="148" t="n">
        <v>11.9969605897363</v>
      </c>
      <c r="O174" s="151">
        <f>IFERROR(N174/M174,0)</f>
        <v/>
      </c>
      <c r="P174" s="148">
        <f>J174+M174</f>
        <v/>
      </c>
      <c r="Q174" s="148">
        <f>K174+N174</f>
        <v/>
      </c>
      <c r="R174" s="151">
        <f>IFERROR(Q174/P174,0)</f>
        <v/>
      </c>
      <c r="S174" s="150">
        <f>IFERROR(P174/SUMIF($A:$A,A174,$P:$P),0)</f>
        <v/>
      </c>
      <c r="T174" s="150">
        <f>IFERROR(P174/E174,0)</f>
        <v/>
      </c>
      <c r="U174" s="148">
        <f>E174-Q174</f>
        <v/>
      </c>
      <c r="V174" s="150">
        <f>IFERROR(U174/E174,0)</f>
        <v/>
      </c>
      <c r="W174" s="148">
        <f>IFERROR(VLOOKUP(A174,周报其他费用!$A:$B,2,FALSE)*H174,0)</f>
        <v/>
      </c>
      <c r="X174" s="148" t="n">
        <v>27.072</v>
      </c>
      <c r="Y174" s="150">
        <f>IFERROR(X174/F174,0)</f>
        <v/>
      </c>
      <c r="Z174" s="148">
        <f>X174-J174/1.06</f>
        <v/>
      </c>
      <c r="AA174" s="150">
        <f>IFERROR(Z174/F174,0)</f>
        <v/>
      </c>
      <c r="AB174" s="148">
        <f>X174-(P174+W174)/1.06</f>
        <v/>
      </c>
      <c r="AC174" s="150">
        <f>IFERROR(AB174/F174,0)</f>
        <v/>
      </c>
    </row>
    <row r="175" ht="14.25" customHeight="1" s="65">
      <c r="A175" s="140" t="inlineStr">
        <is>
          <t>6.29-7.5</t>
        </is>
      </c>
      <c r="B175" s="141" t="n">
        <v>937005385662</v>
      </c>
      <c r="C175" s="140" t="inlineStr">
        <is>
          <t>日式袋面</t>
        </is>
      </c>
      <c r="D175" s="140" t="inlineStr">
        <is>
          <t>进口营多正品捞面日式鸡肉鸡汤辛辣味袋装泡面辣味速食方便面汤面</t>
        </is>
      </c>
      <c r="E175" s="142" t="n">
        <v>155.96</v>
      </c>
      <c r="F175" s="142">
        <f>IFERROR(E175/1.13,0)</f>
        <v/>
      </c>
      <c r="G175" s="143" t="n">
        <v>7</v>
      </c>
      <c r="H175" s="144">
        <f>IFERROR(G175/SUMIF($A:$A,A175,$G:$G),0)</f>
        <v/>
      </c>
      <c r="I175" s="142">
        <f>IFERROR(E175/G175,0)</f>
        <v/>
      </c>
      <c r="J175" s="142" t="n">
        <v>21.2118344201871</v>
      </c>
      <c r="K175" s="142" t="n">
        <v>141.124984406011</v>
      </c>
      <c r="L175" s="145">
        <f>IFERROR(K175/J175,0)</f>
        <v/>
      </c>
      <c r="M175" s="142" t="n">
        <v>3.79534165012759</v>
      </c>
      <c r="N175" s="142" t="n">
        <v>10.4973405160193</v>
      </c>
      <c r="O175" s="145">
        <f>IFERROR(N175/M175,0)</f>
        <v/>
      </c>
      <c r="P175" s="142">
        <f>J175+M175</f>
        <v/>
      </c>
      <c r="Q175" s="142">
        <f>K175+N175</f>
        <v/>
      </c>
      <c r="R175" s="145">
        <f>IFERROR(Q175/P175,0)</f>
        <v/>
      </c>
      <c r="S175" s="144">
        <f>IFERROR(P175/SUMIF($A:$A,A175,$P:$P),0)</f>
        <v/>
      </c>
      <c r="T175" s="144">
        <f>IFERROR(P175/E175,0)</f>
        <v/>
      </c>
      <c r="U175" s="142">
        <f>E175-Q175</f>
        <v/>
      </c>
      <c r="V175" s="144">
        <f>IFERROR(U175/E175,0)</f>
        <v/>
      </c>
      <c r="W175" s="142">
        <f>IFERROR(VLOOKUP(A175,周报其他费用!$A:$B,2,FALSE)*H175,0)</f>
        <v/>
      </c>
      <c r="X175" s="142" t="n">
        <v>28.689</v>
      </c>
      <c r="Y175" s="144">
        <f>IFERROR(X175/F175,0)</f>
        <v/>
      </c>
      <c r="Z175" s="142">
        <f>X175-J175/1.06</f>
        <v/>
      </c>
      <c r="AA175" s="144">
        <f>IFERROR(Z175/F175,0)</f>
        <v/>
      </c>
      <c r="AB175" s="142">
        <f>X175-(P175+W175)/1.06</f>
        <v/>
      </c>
      <c r="AC175" s="144">
        <f>IFERROR(AB175/F175,0)</f>
        <v/>
      </c>
    </row>
    <row r="176" ht="14.25" customHeight="1" s="65">
      <c r="A176" s="146" t="inlineStr">
        <is>
          <t>6.29-7.5</t>
        </is>
      </c>
      <c r="B176" s="147" t="n">
        <v>898076297965</v>
      </c>
      <c r="C176" s="146" t="inlineStr">
        <is>
          <t>番茄牛肉</t>
        </is>
      </c>
      <c r="D176" s="146" t="inlineStr">
        <is>
          <t>进口正品意面风味奶香番茄牛肉味意式拌面营多捞面早餐儿童宝妈餐</t>
        </is>
      </c>
      <c r="E176" s="148" t="n">
        <v>128.33</v>
      </c>
      <c r="F176" s="148">
        <f>IFERROR(E176/1.13,0)</f>
        <v/>
      </c>
      <c r="G176" s="149" t="n">
        <v>7</v>
      </c>
      <c r="H176" s="150">
        <f>IFERROR(G176/SUMIF($A:$A,A176,$G:$G),0)</f>
        <v/>
      </c>
      <c r="I176" s="148">
        <f>IFERROR(E176/G176,0)</f>
        <v/>
      </c>
      <c r="J176" s="148" t="n">
        <v>16.2418344201871</v>
      </c>
      <c r="K176" s="148" t="n">
        <v>98.6849844060107</v>
      </c>
      <c r="L176" s="151">
        <f>IFERROR(K176/J176,0)</f>
        <v/>
      </c>
      <c r="M176" s="148" t="n">
        <v>3.79534165012759</v>
      </c>
      <c r="N176" s="148" t="n">
        <v>10.4973405160193</v>
      </c>
      <c r="O176" s="151">
        <f>IFERROR(N176/M176,0)</f>
        <v/>
      </c>
      <c r="P176" s="148">
        <f>J176+M176</f>
        <v/>
      </c>
      <c r="Q176" s="148">
        <f>K176+N176</f>
        <v/>
      </c>
      <c r="R176" s="151">
        <f>IFERROR(Q176/P176,0)</f>
        <v/>
      </c>
      <c r="S176" s="150">
        <f>IFERROR(P176/SUMIF($A:$A,A176,$P:$P),0)</f>
        <v/>
      </c>
      <c r="T176" s="150">
        <f>IFERROR(P176/E176,0)</f>
        <v/>
      </c>
      <c r="U176" s="148">
        <f>E176-Q176</f>
        <v/>
      </c>
      <c r="V176" s="150">
        <f>IFERROR(U176/E176,0)</f>
        <v/>
      </c>
      <c r="W176" s="148">
        <f>IFERROR(VLOOKUP(A176,周报其他费用!$A:$B,2,FALSE)*H176,0)</f>
        <v/>
      </c>
      <c r="X176" s="148" t="n">
        <v>10.049</v>
      </c>
      <c r="Y176" s="150">
        <f>IFERROR(X176/F176,0)</f>
        <v/>
      </c>
      <c r="Z176" s="148">
        <f>X176-J176/1.06</f>
        <v/>
      </c>
      <c r="AA176" s="150">
        <f>IFERROR(Z176/F176,0)</f>
        <v/>
      </c>
      <c r="AB176" s="148">
        <f>X176-(P176+W176)/1.06</f>
        <v/>
      </c>
      <c r="AC176" s="150">
        <f>IFERROR(AB176/F176,0)</f>
        <v/>
      </c>
    </row>
    <row r="177" ht="14.25" customHeight="1" s="65">
      <c r="A177" s="140" t="inlineStr">
        <is>
          <t>6.29-7.5</t>
        </is>
      </c>
      <c r="B177" s="141" t="n">
        <v>932687928859</v>
      </c>
      <c r="C177" s="140" t="inlineStr">
        <is>
          <t>8包组合</t>
        </is>
      </c>
      <c r="D177" s="140" t="inlineStr">
        <is>
          <t>营多捞面八口味袋装泡面拌面速食面干拌面方便面宿舍宵夜速食家用</t>
        </is>
      </c>
      <c r="E177" s="142" t="n">
        <v>99.31</v>
      </c>
      <c r="F177" s="142">
        <f>IFERROR(E177/1.13,0)</f>
        <v/>
      </c>
      <c r="G177" s="143" t="n">
        <v>4</v>
      </c>
      <c r="H177" s="144">
        <f>IFERROR(G177/SUMIF($A:$A,A177,$G:$G),0)</f>
        <v/>
      </c>
      <c r="I177" s="142">
        <f>IFERROR(E177/G177,0)</f>
        <v/>
      </c>
      <c r="J177" s="142" t="n">
        <v>4.15819109724979</v>
      </c>
      <c r="K177" s="142" t="n">
        <v>45.5785625177204</v>
      </c>
      <c r="L177" s="145">
        <f>IFERROR(K177/J177,0)</f>
        <v/>
      </c>
      <c r="M177" s="142" t="n">
        <v>2.16876665721576</v>
      </c>
      <c r="N177" s="142" t="n">
        <v>5.99848029486816</v>
      </c>
      <c r="O177" s="145">
        <f>IFERROR(N177/M177,0)</f>
        <v/>
      </c>
      <c r="P177" s="142">
        <f>J177+M177</f>
        <v/>
      </c>
      <c r="Q177" s="142">
        <f>K177+N177</f>
        <v/>
      </c>
      <c r="R177" s="145">
        <f>IFERROR(Q177/P177,0)</f>
        <v/>
      </c>
      <c r="S177" s="144">
        <f>IFERROR(P177/SUMIF($A:$A,A177,$P:$P),0)</f>
        <v/>
      </c>
      <c r="T177" s="144">
        <f>IFERROR(P177/E177,0)</f>
        <v/>
      </c>
      <c r="U177" s="142">
        <f>E177-Q177</f>
        <v/>
      </c>
      <c r="V177" s="144">
        <f>IFERROR(U177/E177,0)</f>
        <v/>
      </c>
      <c r="W177" s="142">
        <f>IFERROR(VLOOKUP(A177,周报其他费用!$A:$B,2,FALSE)*H177,0)</f>
        <v/>
      </c>
      <c r="X177" s="142" t="n">
        <v>11.567</v>
      </c>
      <c r="Y177" s="144">
        <f>IFERROR(X177/F177,0)</f>
        <v/>
      </c>
      <c r="Z177" s="142">
        <f>X177-J177/1.06</f>
        <v/>
      </c>
      <c r="AA177" s="144">
        <f>IFERROR(Z177/F177,0)</f>
        <v/>
      </c>
      <c r="AB177" s="142">
        <f>X177-(P177+W177)/1.06</f>
        <v/>
      </c>
      <c r="AC177" s="144">
        <f>IFERROR(AB177/F177,0)</f>
        <v/>
      </c>
    </row>
    <row r="178" ht="14.25" customHeight="1" s="65">
      <c r="A178" s="146" t="inlineStr">
        <is>
          <t>6.29-7.5</t>
        </is>
      </c>
      <c r="B178" s="147" t="n">
        <v>969433743398</v>
      </c>
      <c r="C178" s="146" t="inlineStr">
        <is>
          <t>韩蘑菇</t>
        </is>
      </c>
      <c r="D178" s="146" t="inlineStr">
        <is>
          <t>新品营多捞面韩式辣蘑菇汤面泡面方便面速食干拌面宿舍宵夜旅行</t>
        </is>
      </c>
      <c r="E178" s="148" t="n">
        <v>65.76000000000001</v>
      </c>
      <c r="F178" s="148">
        <f>IFERROR(E178/1.13,0)</f>
        <v/>
      </c>
      <c r="G178" s="149" t="n">
        <v>4</v>
      </c>
      <c r="H178" s="150">
        <f>IFERROR(G178/SUMIF($A:$A,A178,$G:$G),0)</f>
        <v/>
      </c>
      <c r="I178" s="148">
        <f>IFERROR(E178/G178,0)</f>
        <v/>
      </c>
      <c r="J178" s="148" t="n">
        <v>10.0881910972498</v>
      </c>
      <c r="K178" s="148" t="n">
        <v>69.9985625177204</v>
      </c>
      <c r="L178" s="151">
        <f>IFERROR(K178/J178,0)</f>
        <v/>
      </c>
      <c r="M178" s="148" t="n">
        <v>2.16876665721576</v>
      </c>
      <c r="N178" s="148" t="n">
        <v>5.99848029486816</v>
      </c>
      <c r="O178" s="151">
        <f>IFERROR(N178/M178,0)</f>
        <v/>
      </c>
      <c r="P178" s="148">
        <f>J178+M178</f>
        <v/>
      </c>
      <c r="Q178" s="148">
        <f>K178+N178</f>
        <v/>
      </c>
      <c r="R178" s="151">
        <f>IFERROR(Q178/P178,0)</f>
        <v/>
      </c>
      <c r="S178" s="150">
        <f>IFERROR(P178/SUMIF($A:$A,A178,$P:$P),0)</f>
        <v/>
      </c>
      <c r="T178" s="150">
        <f>IFERROR(P178/E178,0)</f>
        <v/>
      </c>
      <c r="U178" s="148">
        <f>E178-Q178</f>
        <v/>
      </c>
      <c r="V178" s="150">
        <f>IFERROR(U178/E178,0)</f>
        <v/>
      </c>
      <c r="W178" s="148">
        <f>IFERROR(VLOOKUP(A178,周报其他费用!$A:$B,2,FALSE)*H178,0)</f>
        <v/>
      </c>
      <c r="X178" s="148" t="n">
        <v>4.512</v>
      </c>
      <c r="Y178" s="150">
        <f>IFERROR(X178/F178,0)</f>
        <v/>
      </c>
      <c r="Z178" s="148">
        <f>X178-J178/1.06</f>
        <v/>
      </c>
      <c r="AA178" s="150">
        <f>IFERROR(Z178/F178,0)</f>
        <v/>
      </c>
      <c r="AB178" s="148">
        <f>X178-(P178+W178)/1.06</f>
        <v/>
      </c>
      <c r="AC178" s="150">
        <f>IFERROR(AB178/F178,0)</f>
        <v/>
      </c>
    </row>
    <row r="179" ht="14.25" customHeight="1" s="65">
      <c r="A179" s="140" t="inlineStr">
        <is>
          <t>6.29-7.5</t>
        </is>
      </c>
      <c r="B179" s="141" t="n">
        <v>885645733215</v>
      </c>
      <c r="C179" s="140" t="inlineStr">
        <is>
          <t>大骨牛肉</t>
        </is>
      </c>
      <c r="D179" s="140" t="inlineStr">
        <is>
          <t>进口营多大骨番茄牛肉味营多捞面意式泡面宿舍宿舍宵夜速食方便面</t>
        </is>
      </c>
      <c r="E179" s="142" t="n">
        <v>39.06</v>
      </c>
      <c r="F179" s="142">
        <f>IFERROR(E179/1.13,0)</f>
        <v/>
      </c>
      <c r="G179" s="143" t="n">
        <v>3</v>
      </c>
      <c r="H179" s="144">
        <f>IFERROR(G179/SUMIF($A:$A,A179,$G:$G),0)</f>
        <v/>
      </c>
      <c r="I179" s="142">
        <f>IFERROR(E179/G179,0)</f>
        <v/>
      </c>
      <c r="J179" s="142" t="n">
        <v>2.15364332293734</v>
      </c>
      <c r="K179" s="142" t="n">
        <v>16.2964218882903</v>
      </c>
      <c r="L179" s="145">
        <f>IFERROR(K179/J179,0)</f>
        <v/>
      </c>
      <c r="M179" s="142" t="n">
        <v>1.62657499291182</v>
      </c>
      <c r="N179" s="142" t="n">
        <v>4.49886022115112</v>
      </c>
      <c r="O179" s="145">
        <f>IFERROR(N179/M179,0)</f>
        <v/>
      </c>
      <c r="P179" s="142">
        <f>J179+M179</f>
        <v/>
      </c>
      <c r="Q179" s="142">
        <f>K179+N179</f>
        <v/>
      </c>
      <c r="R179" s="145">
        <f>IFERROR(Q179/P179,0)</f>
        <v/>
      </c>
      <c r="S179" s="144">
        <f>IFERROR(P179/SUMIF($A:$A,A179,$P:$P),0)</f>
        <v/>
      </c>
      <c r="T179" s="144">
        <f>IFERROR(P179/E179,0)</f>
        <v/>
      </c>
      <c r="U179" s="142">
        <f>E179-Q179</f>
        <v/>
      </c>
      <c r="V179" s="144">
        <f>IFERROR(U179/E179,0)</f>
        <v/>
      </c>
      <c r="W179" s="142">
        <f>IFERROR(VLOOKUP(A179,周报其他费用!$A:$B,2,FALSE)*H179,0)</f>
        <v/>
      </c>
      <c r="X179" s="142" t="n">
        <v>0.577</v>
      </c>
      <c r="Y179" s="144">
        <f>IFERROR(X179/F179,0)</f>
        <v/>
      </c>
      <c r="Z179" s="142">
        <f>X179-J179/1.06</f>
        <v/>
      </c>
      <c r="AA179" s="144">
        <f>IFERROR(Z179/F179,0)</f>
        <v/>
      </c>
      <c r="AB179" s="142">
        <f>X179-(P179+W179)/1.06</f>
        <v/>
      </c>
      <c r="AC179" s="144">
        <f>IFERROR(AB179/F179,0)</f>
        <v/>
      </c>
    </row>
    <row r="180" ht="14.25" customHeight="1" s="65">
      <c r="A180" s="146" t="inlineStr">
        <is>
          <t>6.29-7.5</t>
        </is>
      </c>
      <c r="B180" s="147" t="n">
        <v>649731447266</v>
      </c>
      <c r="C180" s="146" t="inlineStr">
        <is>
          <t>20包经典/牛系列</t>
        </is>
      </c>
      <c r="D180" s="146" t="inlineStr">
        <is>
          <t>营多印尼进口营多捞面方便面火鸡面干拌面20包宿舍速食泡面夜宵</t>
        </is>
      </c>
      <c r="E180" s="148" t="n">
        <v>139.52</v>
      </c>
      <c r="F180" s="148">
        <f>IFERROR(E180/1.13,0)</f>
        <v/>
      </c>
      <c r="G180" s="149" t="n">
        <v>3</v>
      </c>
      <c r="H180" s="150">
        <f>IFERROR(G180/SUMIF($A:$A,A180,$G:$G),0)</f>
        <v/>
      </c>
      <c r="I180" s="148">
        <f>IFERROR(E180/G180,0)</f>
        <v/>
      </c>
      <c r="J180" s="148" t="n">
        <v>5.59364332293734</v>
      </c>
      <c r="K180" s="148" t="n">
        <v>16.2964218882903</v>
      </c>
      <c r="L180" s="151">
        <f>IFERROR(K180/J180,0)</f>
        <v/>
      </c>
      <c r="M180" s="148" t="n">
        <v>1.62657499291182</v>
      </c>
      <c r="N180" s="148" t="n">
        <v>4.49886022115112</v>
      </c>
      <c r="O180" s="151">
        <f>IFERROR(N180/M180,0)</f>
        <v/>
      </c>
      <c r="P180" s="148">
        <f>J180+M180</f>
        <v/>
      </c>
      <c r="Q180" s="148">
        <f>K180+N180</f>
        <v/>
      </c>
      <c r="R180" s="151">
        <f>IFERROR(Q180/P180,0)</f>
        <v/>
      </c>
      <c r="S180" s="150">
        <f>IFERROR(P180/SUMIF($A:$A,A180,$P:$P),0)</f>
        <v/>
      </c>
      <c r="T180" s="150">
        <f>IFERROR(P180/E180,0)</f>
        <v/>
      </c>
      <c r="U180" s="148">
        <f>E180-Q180</f>
        <v/>
      </c>
      <c r="V180" s="150">
        <f>IFERROR(U180/E180,0)</f>
        <v/>
      </c>
      <c r="W180" s="148">
        <f>IFERROR(VLOOKUP(A180,周报其他费用!$A:$B,2,FALSE)*H180,0)</f>
        <v/>
      </c>
      <c r="X180" s="148" t="n">
        <v>24.797</v>
      </c>
      <c r="Y180" s="150">
        <f>IFERROR(X180/F180,0)</f>
        <v/>
      </c>
      <c r="Z180" s="148">
        <f>X180-J180/1.06</f>
        <v/>
      </c>
      <c r="AA180" s="150">
        <f>IFERROR(Z180/F180,0)</f>
        <v/>
      </c>
      <c r="AB180" s="148">
        <f>X180-(P180+W180)/1.06</f>
        <v/>
      </c>
      <c r="AC180" s="150">
        <f>IFERROR(AB180/F180,0)</f>
        <v/>
      </c>
    </row>
    <row r="181" ht="14.25" customHeight="1" s="65">
      <c r="A181" s="140" t="inlineStr">
        <is>
          <t>6.29-7.5</t>
        </is>
      </c>
      <c r="B181" s="141" t="n">
        <v>1019572719528</v>
      </c>
      <c r="C181" s="140" t="inlineStr">
        <is>
          <t>日韩袋面</t>
        </is>
      </c>
      <c r="D181" s="140" t="inlineStr">
        <is>
          <t>新品营多捞面韩式辣蘑菇汤面泡面方便面速食干拌面宿舍宵夜旅行</t>
        </is>
      </c>
      <c r="E181" s="142" t="n">
        <v>52.55</v>
      </c>
      <c r="F181" s="142">
        <f>IFERROR(E181/1.13,0)</f>
        <v/>
      </c>
      <c r="G181" s="143" t="n">
        <v>2</v>
      </c>
      <c r="H181" s="144">
        <f>IFERROR(G181/SUMIF($A:$A,A181,$G:$G),0)</f>
        <v/>
      </c>
      <c r="I181" s="142">
        <f>IFERROR(E181/G181,0)</f>
        <v/>
      </c>
      <c r="J181" s="142" t="n">
        <v>1.37909554862489</v>
      </c>
      <c r="K181" s="142" t="n">
        <v>10.8642812588602</v>
      </c>
      <c r="L181" s="145">
        <f>IFERROR(K181/J181,0)</f>
        <v/>
      </c>
      <c r="M181" s="142" t="n">
        <v>1.08438332860788</v>
      </c>
      <c r="N181" s="142" t="n">
        <v>2.99924014743408</v>
      </c>
      <c r="O181" s="145">
        <f>IFERROR(N181/M181,0)</f>
        <v/>
      </c>
      <c r="P181" s="142">
        <f>J181+M181</f>
        <v/>
      </c>
      <c r="Q181" s="142">
        <f>K181+N181</f>
        <v/>
      </c>
      <c r="R181" s="145">
        <f>IFERROR(Q181/P181,0)</f>
        <v/>
      </c>
      <c r="S181" s="144">
        <f>IFERROR(P181/SUMIF($A:$A,A181,$P:$P),0)</f>
        <v/>
      </c>
      <c r="T181" s="144">
        <f>IFERROR(P181/E181,0)</f>
        <v/>
      </c>
      <c r="U181" s="142">
        <f>E181-Q181</f>
        <v/>
      </c>
      <c r="V181" s="144">
        <f>IFERROR(U181/E181,0)</f>
        <v/>
      </c>
      <c r="W181" s="142">
        <f>IFERROR(VLOOKUP(A181,周报其他费用!$A:$B,2,FALSE)*H181,0)</f>
        <v/>
      </c>
      <c r="X181" s="142" t="n">
        <v>6.055</v>
      </c>
      <c r="Y181" s="144">
        <f>IFERROR(X181/F181,0)</f>
        <v/>
      </c>
      <c r="Z181" s="142">
        <f>X181-J181/1.06</f>
        <v/>
      </c>
      <c r="AA181" s="144">
        <f>IFERROR(Z181/F181,0)</f>
        <v/>
      </c>
      <c r="AB181" s="142">
        <f>X181-(P181+W181)/1.06</f>
        <v/>
      </c>
      <c r="AC181" s="144">
        <f>IFERROR(AB181/F181,0)</f>
        <v/>
      </c>
    </row>
    <row r="182" ht="14.25" customHeight="1" s="65">
      <c r="A182" s="146" t="inlineStr">
        <is>
          <t>6.29-7.5</t>
        </is>
      </c>
      <c r="B182" s="147" t="n">
        <v>976467954327</v>
      </c>
      <c r="C182" s="146" t="inlineStr">
        <is>
          <t>日韩杯面</t>
        </is>
      </c>
      <c r="D182" s="146" t="inlineStr">
        <is>
          <t>【天猫U选】indomie营多捞面辣蘑菇味日式辣味杯面</t>
        </is>
      </c>
      <c r="E182" s="148" t="n">
        <v>18.64</v>
      </c>
      <c r="F182" s="148">
        <f>IFERROR(E182/1.13,0)</f>
        <v/>
      </c>
      <c r="G182" s="149" t="n">
        <v>2</v>
      </c>
      <c r="H182" s="150">
        <f>IFERROR(G182/SUMIF($A:$A,A182,$G:$G),0)</f>
        <v/>
      </c>
      <c r="I182" s="148">
        <f>IFERROR(E182/G182,0)</f>
        <v/>
      </c>
      <c r="J182" s="148" t="n">
        <v>0.429095548624894</v>
      </c>
      <c r="K182" s="148" t="n">
        <v>10.8642812588602</v>
      </c>
      <c r="L182" s="151">
        <f>IFERROR(K182/J182,0)</f>
        <v/>
      </c>
      <c r="M182" s="148" t="n">
        <v>1.08438332860788</v>
      </c>
      <c r="N182" s="148" t="n">
        <v>2.99924014743408</v>
      </c>
      <c r="O182" s="151">
        <f>IFERROR(N182/M182,0)</f>
        <v/>
      </c>
      <c r="P182" s="148">
        <f>J182+M182</f>
        <v/>
      </c>
      <c r="Q182" s="148">
        <f>K182+N182</f>
        <v/>
      </c>
      <c r="R182" s="151">
        <f>IFERROR(Q182/P182,0)</f>
        <v/>
      </c>
      <c r="S182" s="150">
        <f>IFERROR(P182/SUMIF($A:$A,A182,$P:$P),0)</f>
        <v/>
      </c>
      <c r="T182" s="150">
        <f>IFERROR(P182/E182,0)</f>
        <v/>
      </c>
      <c r="U182" s="148">
        <f>E182-Q182</f>
        <v/>
      </c>
      <c r="V182" s="150">
        <f>IFERROR(U182/E182,0)</f>
        <v/>
      </c>
      <c r="W182" s="148">
        <f>IFERROR(VLOOKUP(A182,周报其他费用!$A:$B,2,FALSE)*H182,0)</f>
        <v/>
      </c>
      <c r="X182" s="148" t="n">
        <v>-3.668</v>
      </c>
      <c r="Y182" s="150">
        <f>IFERROR(X182/F182,0)</f>
        <v/>
      </c>
      <c r="Z182" s="148">
        <f>X182-J182/1.06</f>
        <v/>
      </c>
      <c r="AA182" s="150">
        <f>IFERROR(Z182/F182,0)</f>
        <v/>
      </c>
      <c r="AB182" s="148">
        <f>X182-(P182+W182)/1.06</f>
        <v/>
      </c>
      <c r="AC182" s="150">
        <f>IFERROR(AB182/F182,0)</f>
        <v/>
      </c>
    </row>
    <row r="183" ht="14.25" customHeight="1" s="65">
      <c r="A183" s="140" t="inlineStr">
        <is>
          <t>6.29-7.5</t>
        </is>
      </c>
      <c r="B183" s="141" t="n">
        <v>976479938842</v>
      </c>
      <c r="C183" s="140" t="inlineStr">
        <is>
          <t>【U选】原味5</t>
        </is>
      </c>
      <c r="D183" s="140" t="inlineStr">
        <is>
          <t>【天猫U选】indomie营多大骨牛肉味捞面拌面5包</t>
        </is>
      </c>
      <c r="E183" s="142" t="n">
        <v>18.82</v>
      </c>
      <c r="F183" s="142">
        <f>IFERROR(E183/1.13,0)</f>
        <v/>
      </c>
      <c r="G183" s="143" t="n">
        <v>2</v>
      </c>
      <c r="H183" s="144">
        <f>IFERROR(G183/SUMIF($A:$A,A183,$G:$G),0)</f>
        <v/>
      </c>
      <c r="I183" s="142">
        <f>IFERROR(E183/G183,0)</f>
        <v/>
      </c>
      <c r="J183" s="142" t="n">
        <v>0.429095548624894</v>
      </c>
      <c r="K183" s="142" t="n">
        <v>10.8642812588602</v>
      </c>
      <c r="L183" s="145">
        <f>IFERROR(K183/J183,0)</f>
        <v/>
      </c>
      <c r="M183" s="142" t="n">
        <v>1.08438332860788</v>
      </c>
      <c r="N183" s="142" t="n">
        <v>2.99924014743408</v>
      </c>
      <c r="O183" s="145">
        <f>IFERROR(N183/M183,0)</f>
        <v/>
      </c>
      <c r="P183" s="142">
        <f>J183+M183</f>
        <v/>
      </c>
      <c r="Q183" s="142">
        <f>K183+N183</f>
        <v/>
      </c>
      <c r="R183" s="145">
        <f>IFERROR(Q183/P183,0)</f>
        <v/>
      </c>
      <c r="S183" s="144">
        <f>IFERROR(P183/SUMIF($A:$A,A183,$P:$P),0)</f>
        <v/>
      </c>
      <c r="T183" s="144">
        <f>IFERROR(P183/E183,0)</f>
        <v/>
      </c>
      <c r="U183" s="142">
        <f>E183-Q183</f>
        <v/>
      </c>
      <c r="V183" s="144">
        <f>IFERROR(U183/E183,0)</f>
        <v/>
      </c>
      <c r="W183" s="142">
        <f>IFERROR(VLOOKUP(A183,周报其他费用!$A:$B,2,FALSE)*H183,0)</f>
        <v/>
      </c>
      <c r="X183" s="142" t="n">
        <v>-6.33</v>
      </c>
      <c r="Y183" s="144">
        <f>IFERROR(X183/F183,0)</f>
        <v/>
      </c>
      <c r="Z183" s="142">
        <f>X183-J183/1.06</f>
        <v/>
      </c>
      <c r="AA183" s="144">
        <f>IFERROR(Z183/F183,0)</f>
        <v/>
      </c>
      <c r="AB183" s="142">
        <f>X183-(P183+W183)/1.06</f>
        <v/>
      </c>
      <c r="AC183" s="144">
        <f>IFERROR(AB183/F183,0)</f>
        <v/>
      </c>
    </row>
    <row r="184" ht="14.25" customHeight="1" s="65">
      <c r="A184" s="146" t="inlineStr">
        <is>
          <t>6.29-7.5</t>
        </is>
      </c>
      <c r="B184" s="147" t="n">
        <v>949962665617</v>
      </c>
      <c r="C184" s="146" t="inlineStr">
        <is>
          <t>组合</t>
        </is>
      </c>
      <c r="D184" s="146" t="inlineStr">
        <is>
          <t>营多捞面多口味袋装泡面拌面速食面干拌面方便面宿舍宵夜速食旅行</t>
        </is>
      </c>
      <c r="E184" s="148" t="n">
        <v>38.93</v>
      </c>
      <c r="F184" s="148">
        <f>IFERROR(E184/1.13,0)</f>
        <v/>
      </c>
      <c r="G184" s="149" t="n">
        <v>2</v>
      </c>
      <c r="H184" s="150">
        <f>IFERROR(G184/SUMIF($A:$A,A184,$G:$G),0)</f>
        <v/>
      </c>
      <c r="I184" s="148">
        <f>IFERROR(E184/G184,0)</f>
        <v/>
      </c>
      <c r="J184" s="148" t="n">
        <v>15.8190955486249</v>
      </c>
      <c r="K184" s="148" t="n">
        <v>34.8942812588602</v>
      </c>
      <c r="L184" s="151">
        <f>IFERROR(K184/J184,0)</f>
        <v/>
      </c>
      <c r="M184" s="148" t="n">
        <v>1.08438332860788</v>
      </c>
      <c r="N184" s="148" t="n">
        <v>2.99924014743408</v>
      </c>
      <c r="O184" s="151">
        <f>IFERROR(N184/M184,0)</f>
        <v/>
      </c>
      <c r="P184" s="148">
        <f>J184+M184</f>
        <v/>
      </c>
      <c r="Q184" s="148">
        <f>K184+N184</f>
        <v/>
      </c>
      <c r="R184" s="151">
        <f>IFERROR(Q184/P184,0)</f>
        <v/>
      </c>
      <c r="S184" s="150">
        <f>IFERROR(P184/SUMIF($A:$A,A184,$P:$P),0)</f>
        <v/>
      </c>
      <c r="T184" s="150">
        <f>IFERROR(P184/E184,0)</f>
        <v/>
      </c>
      <c r="U184" s="148">
        <f>E184-Q184</f>
        <v/>
      </c>
      <c r="V184" s="150">
        <f>IFERROR(U184/E184,0)</f>
        <v/>
      </c>
      <c r="W184" s="148">
        <f>IFERROR(VLOOKUP(A184,周报其他费用!$A:$B,2,FALSE)*H184,0)</f>
        <v/>
      </c>
      <c r="X184" s="148" t="n">
        <v>2.091</v>
      </c>
      <c r="Y184" s="150">
        <f>IFERROR(X184/F184,0)</f>
        <v/>
      </c>
      <c r="Z184" s="148">
        <f>X184-J184/1.06</f>
        <v/>
      </c>
      <c r="AA184" s="150">
        <f>IFERROR(Z184/F184,0)</f>
        <v/>
      </c>
      <c r="AB184" s="148">
        <f>X184-(P184+W184)/1.06</f>
        <v/>
      </c>
      <c r="AC184" s="150">
        <f>IFERROR(AB184/F184,0)</f>
        <v/>
      </c>
    </row>
    <row r="185" ht="14.25" customHeight="1" s="65">
      <c r="A185" s="140" t="inlineStr">
        <is>
          <t>6.29-7.5</t>
        </is>
      </c>
      <c r="B185" s="141" t="n">
        <v>947413291596</v>
      </c>
      <c r="C185" s="140" t="inlineStr">
        <is>
          <t>杯面</t>
        </is>
      </c>
      <c r="D185" s="140" t="inlineStr">
        <is>
          <t>营多捞面杯装方便面泡面速食干拌面原味整箱批发印尼进口桶装拌面</t>
        </is>
      </c>
      <c r="E185" s="142" t="n">
        <v>47.8</v>
      </c>
      <c r="F185" s="142">
        <f>IFERROR(E185/1.13,0)</f>
        <v/>
      </c>
      <c r="G185" s="143" t="n">
        <v>2</v>
      </c>
      <c r="H185" s="144">
        <f>IFERROR(G185/SUMIF($A:$A,A185,$G:$G),0)</f>
        <v/>
      </c>
      <c r="I185" s="142">
        <f>IFERROR(E185/G185,0)</f>
        <v/>
      </c>
      <c r="J185" s="142" t="n">
        <v>8.0090955486249</v>
      </c>
      <c r="K185" s="142" t="n">
        <v>44.5342812588602</v>
      </c>
      <c r="L185" s="145">
        <f>IFERROR(K185/J185,0)</f>
        <v/>
      </c>
      <c r="M185" s="142" t="n">
        <v>1.08438332860788</v>
      </c>
      <c r="N185" s="142" t="n">
        <v>2.99924014743408</v>
      </c>
      <c r="O185" s="145">
        <f>IFERROR(N185/M185,0)</f>
        <v/>
      </c>
      <c r="P185" s="142">
        <f>J185+M185</f>
        <v/>
      </c>
      <c r="Q185" s="142">
        <f>K185+N185</f>
        <v/>
      </c>
      <c r="R185" s="145">
        <f>IFERROR(Q185/P185,0)</f>
        <v/>
      </c>
      <c r="S185" s="144">
        <f>IFERROR(P185/SUMIF($A:$A,A185,$P:$P),0)</f>
        <v/>
      </c>
      <c r="T185" s="144">
        <f>IFERROR(P185/E185,0)</f>
        <v/>
      </c>
      <c r="U185" s="142">
        <f>E185-Q185</f>
        <v/>
      </c>
      <c r="V185" s="144">
        <f>IFERROR(U185/E185,0)</f>
        <v/>
      </c>
      <c r="W185" s="142">
        <f>IFERROR(VLOOKUP(A185,周报其他费用!$A:$B,2,FALSE)*H185,0)</f>
        <v/>
      </c>
      <c r="X185" s="142" t="n">
        <v>5.685</v>
      </c>
      <c r="Y185" s="144">
        <f>IFERROR(X185/F185,0)</f>
        <v/>
      </c>
      <c r="Z185" s="142">
        <f>X185-J185/1.06</f>
        <v/>
      </c>
      <c r="AA185" s="144">
        <f>IFERROR(Z185/F185,0)</f>
        <v/>
      </c>
      <c r="AB185" s="142">
        <f>X185-(P185+W185)/1.06</f>
        <v/>
      </c>
      <c r="AC185" s="144">
        <f>IFERROR(AB185/F185,0)</f>
        <v/>
      </c>
    </row>
    <row r="186" ht="14.25" customHeight="1" s="65">
      <c r="A186" s="146" t="inlineStr">
        <is>
          <t>6.29-7.5</t>
        </is>
      </c>
      <c r="B186" s="147" t="n">
        <v>898120785283</v>
      </c>
      <c r="C186" s="146" t="inlineStr">
        <is>
          <t>番茄</t>
        </is>
      </c>
      <c r="D186" s="146" t="inlineStr">
        <is>
          <t>进口意大利面风味奶香番茄牛肉味意式营多早餐儿童宝妈家庭餐拌面</t>
        </is>
      </c>
      <c r="E186" s="148" t="n">
        <v>27.16</v>
      </c>
      <c r="F186" s="148">
        <f>IFERROR(E186/1.13,0)</f>
        <v/>
      </c>
      <c r="G186" s="149" t="n">
        <v>2</v>
      </c>
      <c r="H186" s="150">
        <f>IFERROR(G186/SUMIF($A:$A,A186,$G:$G),0)</f>
        <v/>
      </c>
      <c r="I186" s="148">
        <f>IFERROR(E186/G186,0)</f>
        <v/>
      </c>
      <c r="J186" s="148" t="n">
        <v>0.929095548624894</v>
      </c>
      <c r="K186" s="148" t="n">
        <v>10.8642812588602</v>
      </c>
      <c r="L186" s="151">
        <f>IFERROR(K186/J186,0)</f>
        <v/>
      </c>
      <c r="M186" s="148" t="n">
        <v>1.08438332860788</v>
      </c>
      <c r="N186" s="148" t="n">
        <v>2.99924014743408</v>
      </c>
      <c r="O186" s="151">
        <f>IFERROR(N186/M186,0)</f>
        <v/>
      </c>
      <c r="P186" s="148">
        <f>J186+M186</f>
        <v/>
      </c>
      <c r="Q186" s="148">
        <f>K186+N186</f>
        <v/>
      </c>
      <c r="R186" s="151">
        <f>IFERROR(Q186/P186,0)</f>
        <v/>
      </c>
      <c r="S186" s="150">
        <f>IFERROR(P186/SUMIF($A:$A,A186,$P:$P),0)</f>
        <v/>
      </c>
      <c r="T186" s="150">
        <f>IFERROR(P186/E186,0)</f>
        <v/>
      </c>
      <c r="U186" s="148">
        <f>E186-Q186</f>
        <v/>
      </c>
      <c r="V186" s="150">
        <f>IFERROR(U186/E186,0)</f>
        <v/>
      </c>
      <c r="W186" s="148">
        <f>IFERROR(VLOOKUP(A186,周报其他费用!$A:$B,2,FALSE)*H186,0)</f>
        <v/>
      </c>
      <c r="X186" s="148" t="n">
        <v>0.502</v>
      </c>
      <c r="Y186" s="150">
        <f>IFERROR(X186/F186,0)</f>
        <v/>
      </c>
      <c r="Z186" s="148">
        <f>X186-J186/1.06</f>
        <v/>
      </c>
      <c r="AA186" s="150">
        <f>IFERROR(Z186/F186,0)</f>
        <v/>
      </c>
      <c r="AB186" s="148">
        <f>X186-(P186+W186)/1.06</f>
        <v/>
      </c>
      <c r="AC186" s="150">
        <f>IFERROR(AB186/F186,0)</f>
        <v/>
      </c>
    </row>
    <row r="187" ht="14.25" customHeight="1" s="65">
      <c r="A187" s="140" t="inlineStr">
        <is>
          <t>6.29-7.5</t>
        </is>
      </c>
      <c r="B187" s="141" t="n">
        <v>775016827115</v>
      </c>
      <c r="C187" s="140" t="inlineStr">
        <is>
          <t>杯面混搭</t>
        </is>
      </c>
      <c r="D187" s="140" t="inlineStr">
        <is>
          <t>进口营多原味杯面日式杯面韩式杯面泡面方便面汤面宿舍速食夜宵</t>
        </is>
      </c>
      <c r="E187" s="142" t="n">
        <v>55.15</v>
      </c>
      <c r="F187" s="142">
        <f>IFERROR(E187/1.13,0)</f>
        <v/>
      </c>
      <c r="G187" s="143" t="n">
        <v>2</v>
      </c>
      <c r="H187" s="144">
        <f>IFERROR(G187/SUMIF($A:$A,A187,$G:$G),0)</f>
        <v/>
      </c>
      <c r="I187" s="142">
        <f>IFERROR(E187/G187,0)</f>
        <v/>
      </c>
      <c r="J187" s="142" t="n">
        <v>0.849095548624894</v>
      </c>
      <c r="K187" s="142" t="n">
        <v>10.8642812588602</v>
      </c>
      <c r="L187" s="145">
        <f>IFERROR(K187/J187,0)</f>
        <v/>
      </c>
      <c r="M187" s="142" t="n">
        <v>1.08438332860788</v>
      </c>
      <c r="N187" s="142" t="n">
        <v>2.99924014743408</v>
      </c>
      <c r="O187" s="145">
        <f>IFERROR(N187/M187,0)</f>
        <v/>
      </c>
      <c r="P187" s="142">
        <f>J187+M187</f>
        <v/>
      </c>
      <c r="Q187" s="142">
        <f>K187+N187</f>
        <v/>
      </c>
      <c r="R187" s="145">
        <f>IFERROR(Q187/P187,0)</f>
        <v/>
      </c>
      <c r="S187" s="144">
        <f>IFERROR(P187/SUMIF($A:$A,A187,$P:$P),0)</f>
        <v/>
      </c>
      <c r="T187" s="144">
        <f>IFERROR(P187/E187,0)</f>
        <v/>
      </c>
      <c r="U187" s="142">
        <f>E187-Q187</f>
        <v/>
      </c>
      <c r="V187" s="144">
        <f>IFERROR(U187/E187,0)</f>
        <v/>
      </c>
      <c r="W187" s="142">
        <f>IFERROR(VLOOKUP(A187,周报其他费用!$A:$B,2,FALSE)*H187,0)</f>
        <v/>
      </c>
      <c r="X187" s="142" t="n">
        <v>6.768</v>
      </c>
      <c r="Y187" s="144">
        <f>IFERROR(X187/F187,0)</f>
        <v/>
      </c>
      <c r="Z187" s="142">
        <f>X187-J187/1.06</f>
        <v/>
      </c>
      <c r="AA187" s="144">
        <f>IFERROR(Z187/F187,0)</f>
        <v/>
      </c>
      <c r="AB187" s="142">
        <f>X187-(P187+W187)/1.06</f>
        <v/>
      </c>
      <c r="AC187" s="144">
        <f>IFERROR(AB187/F187,0)</f>
        <v/>
      </c>
    </row>
    <row r="188" ht="14.25" customHeight="1" s="65">
      <c r="A188" s="146" t="inlineStr">
        <is>
          <t>6.29-7.5</t>
        </is>
      </c>
      <c r="B188" s="147" t="n">
        <v>869217868453</v>
      </c>
      <c r="C188" s="146" t="inlineStr">
        <is>
          <t>杯面混搭</t>
        </is>
      </c>
      <c r="D188" s="146" t="inlineStr">
        <is>
          <t>营多捞面韩式甜辣炸鸡辣蘑菇杯面方便面拌面泡面宿舍速食面</t>
        </is>
      </c>
      <c r="E188" s="148" t="n">
        <v>27.25</v>
      </c>
      <c r="F188" s="148">
        <f>IFERROR(E188/1.13,0)</f>
        <v/>
      </c>
      <c r="G188" s="149" t="n">
        <v>1</v>
      </c>
      <c r="H188" s="150">
        <f>IFERROR(G188/SUMIF($A:$A,A188,$G:$G),0)</f>
        <v/>
      </c>
      <c r="I188" s="148">
        <f>IFERROR(E188/G188,0)</f>
        <v/>
      </c>
      <c r="J188" s="148" t="n">
        <v>10.1945477743124</v>
      </c>
      <c r="K188" s="148" t="n">
        <v>32.6821406294301</v>
      </c>
      <c r="L188" s="151">
        <f>IFERROR(K188/J188,0)</f>
        <v/>
      </c>
      <c r="M188" s="148" t="n">
        <v>0.5421916643039409</v>
      </c>
      <c r="N188" s="148" t="n">
        <v>1.49962007371704</v>
      </c>
      <c r="O188" s="151">
        <f>IFERROR(N188/M188,0)</f>
        <v/>
      </c>
      <c r="P188" s="148">
        <f>J188+M188</f>
        <v/>
      </c>
      <c r="Q188" s="148">
        <f>K188+N188</f>
        <v/>
      </c>
      <c r="R188" s="151">
        <f>IFERROR(Q188/P188,0)</f>
        <v/>
      </c>
      <c r="S188" s="150">
        <f>IFERROR(P188/SUMIF($A:$A,A188,$P:$P),0)</f>
        <v/>
      </c>
      <c r="T188" s="150">
        <f>IFERROR(P188/E188,0)</f>
        <v/>
      </c>
      <c r="U188" s="148">
        <f>E188-Q188</f>
        <v/>
      </c>
      <c r="V188" s="150">
        <f>IFERROR(U188/E188,0)</f>
        <v/>
      </c>
      <c r="W188" s="148">
        <f>IFERROR(VLOOKUP(A188,周报其他费用!$A:$B,2,FALSE)*H188,0)</f>
        <v/>
      </c>
      <c r="X188" s="148" t="n">
        <v>3.118</v>
      </c>
      <c r="Y188" s="150">
        <f>IFERROR(X188/F188,0)</f>
        <v/>
      </c>
      <c r="Z188" s="148">
        <f>X188-J188/1.06</f>
        <v/>
      </c>
      <c r="AA188" s="150">
        <f>IFERROR(Z188/F188,0)</f>
        <v/>
      </c>
      <c r="AB188" s="148">
        <f>X188-(P188+W188)/1.06</f>
        <v/>
      </c>
      <c r="AC188" s="150">
        <f>IFERROR(AB188/F188,0)</f>
        <v/>
      </c>
    </row>
    <row r="189" ht="14.25" customHeight="1" s="65">
      <c r="A189" s="140" t="inlineStr">
        <is>
          <t>6.29-7.5</t>
        </is>
      </c>
      <c r="B189" s="141" t="n">
        <v>1040679932754</v>
      </c>
      <c r="C189" s="140" t="inlineStr">
        <is>
          <t>杯面混搭</t>
        </is>
      </c>
      <c r="D189" s="140" t="inlineStr">
        <is>
          <t>印尼进口营多捞面杯面原味甜辣蘑菇味整箱速食拌面拉面泡面方便面</t>
        </is>
      </c>
      <c r="E189" s="142" t="n">
        <v>17.03</v>
      </c>
      <c r="F189" s="142">
        <f>IFERROR(E189/1.13,0)</f>
        <v/>
      </c>
      <c r="G189" s="143" t="n">
        <v>1</v>
      </c>
      <c r="H189" s="144">
        <f>IFERROR(G189/SUMIF($A:$A,A189,$G:$G),0)</f>
        <v/>
      </c>
      <c r="I189" s="142">
        <f>IFERROR(E189/G189,0)</f>
        <v/>
      </c>
      <c r="J189" s="142" t="n">
        <v>0.734547774312447</v>
      </c>
      <c r="K189" s="142" t="n">
        <v>5.4321406294301</v>
      </c>
      <c r="L189" s="145">
        <f>IFERROR(K189/J189,0)</f>
        <v/>
      </c>
      <c r="M189" s="142" t="n">
        <v>0.5421916643039409</v>
      </c>
      <c r="N189" s="142" t="n">
        <v>1.49962007371704</v>
      </c>
      <c r="O189" s="145">
        <f>IFERROR(N189/M189,0)</f>
        <v/>
      </c>
      <c r="P189" s="142">
        <f>J189+M189</f>
        <v/>
      </c>
      <c r="Q189" s="142">
        <f>K189+N189</f>
        <v/>
      </c>
      <c r="R189" s="145">
        <f>IFERROR(Q189/P189,0)</f>
        <v/>
      </c>
      <c r="S189" s="144">
        <f>IFERROR(P189/SUMIF($A:$A,A189,$P:$P),0)</f>
        <v/>
      </c>
      <c r="T189" s="144">
        <f>IFERROR(P189/E189,0)</f>
        <v/>
      </c>
      <c r="U189" s="142">
        <f>E189-Q189</f>
        <v/>
      </c>
      <c r="V189" s="144">
        <f>IFERROR(U189/E189,0)</f>
        <v/>
      </c>
      <c r="W189" s="142">
        <f>IFERROR(VLOOKUP(A189,周报其他费用!$A:$B,2,FALSE)*H189,0)</f>
        <v/>
      </c>
      <c r="X189" s="142" t="n">
        <v>-0.315</v>
      </c>
      <c r="Y189" s="144">
        <f>IFERROR(X189/F189,0)</f>
        <v/>
      </c>
      <c r="Z189" s="142">
        <f>X189-J189/1.06</f>
        <v/>
      </c>
      <c r="AA189" s="144">
        <f>IFERROR(Z189/F189,0)</f>
        <v/>
      </c>
      <c r="AB189" s="142">
        <f>X189-(P189+W189)/1.06</f>
        <v/>
      </c>
      <c r="AC189" s="144">
        <f>IFERROR(AB189/F189,0)</f>
        <v/>
      </c>
    </row>
    <row r="190" ht="14.25" customHeight="1" s="65">
      <c r="A190" s="146" t="inlineStr">
        <is>
          <t>6.29-7.5</t>
        </is>
      </c>
      <c r="B190" s="147" t="n">
        <v>965545088099</v>
      </c>
      <c r="C190" s="146" t="inlineStr">
        <is>
          <t>十全十美</t>
        </is>
      </c>
      <c r="D190" s="146" t="inlineStr">
        <is>
          <t>营多捞面多口味袋装泡面拌面速食面干拌面方便面速食宵夜宿舍旅行</t>
        </is>
      </c>
      <c r="E190" s="148" t="n">
        <v>33.9</v>
      </c>
      <c r="F190" s="148">
        <f>IFERROR(E190/1.13,0)</f>
        <v/>
      </c>
      <c r="G190" s="149" t="n">
        <v>1</v>
      </c>
      <c r="H190" s="150">
        <f>IFERROR(G190/SUMIF($A:$A,A190,$G:$G),0)</f>
        <v/>
      </c>
      <c r="I190" s="148">
        <f>IFERROR(E190/G190,0)</f>
        <v/>
      </c>
      <c r="J190" s="148" t="n">
        <v>0.414547774312447</v>
      </c>
      <c r="K190" s="148" t="n">
        <v>5.4321406294301</v>
      </c>
      <c r="L190" s="151">
        <f>IFERROR(K190/J190,0)</f>
        <v/>
      </c>
      <c r="M190" s="148" t="n">
        <v>0.5421916643039409</v>
      </c>
      <c r="N190" s="148" t="n">
        <v>1.49962007371704</v>
      </c>
      <c r="O190" s="151">
        <f>IFERROR(N190/M190,0)</f>
        <v/>
      </c>
      <c r="P190" s="148">
        <f>J190+M190</f>
        <v/>
      </c>
      <c r="Q190" s="148">
        <f>K190+N190</f>
        <v/>
      </c>
      <c r="R190" s="151">
        <f>IFERROR(Q190/P190,0)</f>
        <v/>
      </c>
      <c r="S190" s="150">
        <f>IFERROR(P190/SUMIF($A:$A,A190,$P:$P),0)</f>
        <v/>
      </c>
      <c r="T190" s="150">
        <f>IFERROR(P190/E190,0)</f>
        <v/>
      </c>
      <c r="U190" s="148">
        <f>E190-Q190</f>
        <v/>
      </c>
      <c r="V190" s="150">
        <f>IFERROR(U190/E190,0)</f>
        <v/>
      </c>
      <c r="W190" s="148">
        <f>IFERROR(VLOOKUP(A190,周报其他费用!$A:$B,2,FALSE)*H190,0)</f>
        <v/>
      </c>
      <c r="X190" s="148" t="n">
        <v>8.670999999999999</v>
      </c>
      <c r="Y190" s="150">
        <f>IFERROR(X190/F190,0)</f>
        <v/>
      </c>
      <c r="Z190" s="148">
        <f>X190-J190/1.06</f>
        <v/>
      </c>
      <c r="AA190" s="150">
        <f>IFERROR(Z190/F190,0)</f>
        <v/>
      </c>
      <c r="AB190" s="148">
        <f>X190-(P190+W190)/1.06</f>
        <v/>
      </c>
      <c r="AC190" s="150">
        <f>IFERROR(AB190/F190,0)</f>
        <v/>
      </c>
    </row>
    <row r="191" ht="14.25" customHeight="1" s="65">
      <c r="A191" s="140" t="inlineStr">
        <is>
          <t>6.29-7.5</t>
        </is>
      </c>
      <c r="B191" s="141" t="n">
        <v>976466902934</v>
      </c>
      <c r="C191" s="140" t="inlineStr">
        <is>
          <t>日韩杯面</t>
        </is>
      </c>
      <c r="D191" s="140" t="inlineStr">
        <is>
          <t>【天猫U选】indomie营多捞面辣火鸡味日式鸡肉原味杯面</t>
        </is>
      </c>
      <c r="E191" s="142" t="n">
        <v>9.23</v>
      </c>
      <c r="F191" s="142">
        <f>IFERROR(E191/1.13,0)</f>
        <v/>
      </c>
      <c r="G191" s="143" t="n">
        <v>1</v>
      </c>
      <c r="H191" s="144">
        <f>IFERROR(G191/SUMIF($A:$A,A191,$G:$G),0)</f>
        <v/>
      </c>
      <c r="I191" s="142">
        <f>IFERROR(E191/G191,0)</f>
        <v/>
      </c>
      <c r="J191" s="142" t="n">
        <v>0.214547774312447</v>
      </c>
      <c r="K191" s="142" t="n">
        <v>5.4321406294301</v>
      </c>
      <c r="L191" s="145">
        <f>IFERROR(K191/J191,0)</f>
        <v/>
      </c>
      <c r="M191" s="142" t="n">
        <v>0.5421916643039409</v>
      </c>
      <c r="N191" s="142" t="n">
        <v>1.49962007371704</v>
      </c>
      <c r="O191" s="145">
        <f>IFERROR(N191/M191,0)</f>
        <v/>
      </c>
      <c r="P191" s="142">
        <f>J191+M191</f>
        <v/>
      </c>
      <c r="Q191" s="142">
        <f>K191+N191</f>
        <v/>
      </c>
      <c r="R191" s="145">
        <f>IFERROR(Q191/P191,0)</f>
        <v/>
      </c>
      <c r="S191" s="144">
        <f>IFERROR(P191/SUMIF($A:$A,A191,$P:$P),0)</f>
        <v/>
      </c>
      <c r="T191" s="144">
        <f>IFERROR(P191/E191,0)</f>
        <v/>
      </c>
      <c r="U191" s="142">
        <f>E191-Q191</f>
        <v/>
      </c>
      <c r="V191" s="144">
        <f>IFERROR(U191/E191,0)</f>
        <v/>
      </c>
      <c r="W191" s="142">
        <f>IFERROR(VLOOKUP(A191,周报其他费用!$A:$B,2,FALSE)*H191,0)</f>
        <v/>
      </c>
      <c r="X191" s="142" t="n">
        <v>-1.907</v>
      </c>
      <c r="Y191" s="144">
        <f>IFERROR(X191/F191,0)</f>
        <v/>
      </c>
      <c r="Z191" s="142">
        <f>X191-J191/1.06</f>
        <v/>
      </c>
      <c r="AA191" s="144">
        <f>IFERROR(Z191/F191,0)</f>
        <v/>
      </c>
      <c r="AB191" s="142">
        <f>X191-(P191+W191)/1.06</f>
        <v/>
      </c>
      <c r="AC191" s="144">
        <f>IFERROR(AB191/F191,0)</f>
        <v/>
      </c>
    </row>
    <row r="192" ht="14.25" customHeight="1" s="65">
      <c r="A192" s="146" t="inlineStr">
        <is>
          <t>6.29-7.5</t>
        </is>
      </c>
      <c r="B192" s="147" t="n">
        <v>773972883430</v>
      </c>
      <c r="C192" s="146" t="inlineStr">
        <is>
          <t>韩式袋面</t>
        </is>
      </c>
      <c r="D192" s="146" t="inlineStr">
        <is>
          <t>营多捞面韩式火鸡面辣蘑菇汤面袋装泡面辣味速食方便面宿舍宵夜面</t>
        </is>
      </c>
      <c r="E192" s="148" t="n">
        <v>18.9</v>
      </c>
      <c r="F192" s="148">
        <f>IFERROR(E192/1.13,0)</f>
        <v/>
      </c>
      <c r="G192" s="149" t="n">
        <v>1</v>
      </c>
      <c r="H192" s="150">
        <f>IFERROR(G192/SUMIF($A:$A,A192,$G:$G),0)</f>
        <v/>
      </c>
      <c r="I192" s="148">
        <f>IFERROR(E192/G192,0)</f>
        <v/>
      </c>
      <c r="J192" s="148" t="n">
        <v>2.67454777431245</v>
      </c>
      <c r="K192" s="148" t="n">
        <v>5.4321406294301</v>
      </c>
      <c r="L192" s="151">
        <f>IFERROR(K192/J192,0)</f>
        <v/>
      </c>
      <c r="M192" s="148" t="n">
        <v>0.5421916643039409</v>
      </c>
      <c r="N192" s="148" t="n">
        <v>1.49962007371704</v>
      </c>
      <c r="O192" s="151">
        <f>IFERROR(N192/M192,0)</f>
        <v/>
      </c>
      <c r="P192" s="148">
        <f>J192+M192</f>
        <v/>
      </c>
      <c r="Q192" s="148">
        <f>K192+N192</f>
        <v/>
      </c>
      <c r="R192" s="151">
        <f>IFERROR(Q192/P192,0)</f>
        <v/>
      </c>
      <c r="S192" s="150">
        <f>IFERROR(P192/SUMIF($A:$A,A192,$P:$P),0)</f>
        <v/>
      </c>
      <c r="T192" s="150">
        <f>IFERROR(P192/E192,0)</f>
        <v/>
      </c>
      <c r="U192" s="148">
        <f>E192-Q192</f>
        <v/>
      </c>
      <c r="V192" s="150">
        <f>IFERROR(U192/E192,0)</f>
        <v/>
      </c>
      <c r="W192" s="148">
        <f>IFERROR(VLOOKUP(A192,周报其他费用!$A:$B,2,FALSE)*H192,0)</f>
        <v/>
      </c>
      <c r="X192" s="148" t="n">
        <v>2.317</v>
      </c>
      <c r="Y192" s="150">
        <f>IFERROR(X192/F192,0)</f>
        <v/>
      </c>
      <c r="Z192" s="148">
        <f>X192-J192/1.06</f>
        <v/>
      </c>
      <c r="AA192" s="150">
        <f>IFERROR(Z192/F192,0)</f>
        <v/>
      </c>
      <c r="AB192" s="148">
        <f>X192-(P192+W192)/1.06</f>
        <v/>
      </c>
      <c r="AC192" s="150">
        <f>IFERROR(AB192/F192,0)</f>
        <v/>
      </c>
    </row>
    <row r="193" ht="14.25" customHeight="1" s="65">
      <c r="A193" s="140" t="inlineStr">
        <is>
          <t>6.29-7.5</t>
        </is>
      </c>
      <c r="B193" s="141" t="n">
        <v>1028450344901</v>
      </c>
      <c r="C193" s="140" t="inlineStr">
        <is>
          <t>韩式袋面</t>
        </is>
      </c>
      <c r="D193" s="140" t="inlineStr">
        <is>
          <t>营多韩式火鸡面袋装拌面干拌面泡面方便面速食面宿舍宵夜旅行</t>
        </is>
      </c>
      <c r="E193" s="142" t="n">
        <v>11.94</v>
      </c>
      <c r="F193" s="142">
        <f>IFERROR(E193/1.13,0)</f>
        <v/>
      </c>
      <c r="G193" s="143" t="n">
        <v>1</v>
      </c>
      <c r="H193" s="144">
        <f>IFERROR(G193/SUMIF($A:$A,A193,$G:$G),0)</f>
        <v/>
      </c>
      <c r="I193" s="142">
        <f>IFERROR(E193/G193,0)</f>
        <v/>
      </c>
      <c r="J193" s="142" t="n">
        <v>4.63454777431245</v>
      </c>
      <c r="K193" s="142" t="n">
        <v>17.3721406294301</v>
      </c>
      <c r="L193" s="145">
        <f>IFERROR(K193/J193,0)</f>
        <v/>
      </c>
      <c r="M193" s="142" t="n">
        <v>0.5421916643039409</v>
      </c>
      <c r="N193" s="142" t="n">
        <v>1.49962007371704</v>
      </c>
      <c r="O193" s="145">
        <f>IFERROR(N193/M193,0)</f>
        <v/>
      </c>
      <c r="P193" s="142">
        <f>J193+M193</f>
        <v/>
      </c>
      <c r="Q193" s="142">
        <f>K193+N193</f>
        <v/>
      </c>
      <c r="R193" s="145">
        <f>IFERROR(Q193/P193,0)</f>
        <v/>
      </c>
      <c r="S193" s="144">
        <f>IFERROR(P193/SUMIF($A:$A,A193,$P:$P),0)</f>
        <v/>
      </c>
      <c r="T193" s="144">
        <f>IFERROR(P193/E193,0)</f>
        <v/>
      </c>
      <c r="U193" s="142">
        <f>E193-Q193</f>
        <v/>
      </c>
      <c r="V193" s="144">
        <f>IFERROR(U193/E193,0)</f>
        <v/>
      </c>
      <c r="W193" s="142">
        <f>IFERROR(VLOOKUP(A193,周报其他费用!$A:$B,2,FALSE)*H193,0)</f>
        <v/>
      </c>
      <c r="X193" s="142" t="n">
        <v>-0.082</v>
      </c>
      <c r="Y193" s="144">
        <f>IFERROR(X193/F193,0)</f>
        <v/>
      </c>
      <c r="Z193" s="142">
        <f>X193-J193/1.06</f>
        <v/>
      </c>
      <c r="AA193" s="144">
        <f>IFERROR(Z193/F193,0)</f>
        <v/>
      </c>
      <c r="AB193" s="142">
        <f>X193-(P193+W193)/1.06</f>
        <v/>
      </c>
      <c r="AC193" s="144">
        <f>IFERROR(AB193/F193,0)</f>
        <v/>
      </c>
    </row>
    <row r="194" ht="14.25" customHeight="1" s="65">
      <c r="A194" s="146" t="inlineStr">
        <is>
          <t>7.6-7.12</t>
        </is>
      </c>
      <c r="B194" s="147" t="n">
        <v>668566625747</v>
      </c>
      <c r="C194" s="146" t="inlineStr">
        <is>
          <t>袋面主链接</t>
        </is>
      </c>
      <c r="D194" s="146" t="inlineStr">
        <is>
          <t>印尼营多捞面进口网红泡面袋装方便面速食食品拉面火鸡面拌面整箱</t>
        </is>
      </c>
      <c r="E194" s="148" t="n">
        <v>40188.9300000008</v>
      </c>
      <c r="F194" s="148">
        <f>IFERROR(E194/1.13,0)</f>
        <v/>
      </c>
      <c r="G194" s="149" t="n">
        <v>1602</v>
      </c>
      <c r="H194" s="150">
        <f>IFERROR(G194/SUMIF($A:$A,A194,$G:$G),0)</f>
        <v/>
      </c>
      <c r="I194" s="148">
        <f>IFERROR(E194/G194,0)</f>
        <v/>
      </c>
      <c r="J194" s="148" t="n">
        <v>5196.71171866546</v>
      </c>
      <c r="K194" s="148" t="n">
        <v>28972.7690171326</v>
      </c>
      <c r="L194" s="151">
        <f>IFERROR(K194/J194,0)</f>
        <v/>
      </c>
      <c r="M194" s="148" t="n">
        <v>746.204810640216</v>
      </c>
      <c r="N194" s="148" t="n">
        <v>1965.26686203787</v>
      </c>
      <c r="O194" s="151">
        <f>IFERROR(N194/M194,0)</f>
        <v/>
      </c>
      <c r="P194" s="148">
        <f>J194+M194</f>
        <v/>
      </c>
      <c r="Q194" s="148">
        <f>K194+N194</f>
        <v/>
      </c>
      <c r="R194" s="151">
        <f>IFERROR(Q194/P194,0)</f>
        <v/>
      </c>
      <c r="S194" s="150">
        <f>IFERROR(P194/SUMIF($A:$A,A194,$P:$P),0)</f>
        <v/>
      </c>
      <c r="T194" s="150">
        <f>IFERROR(P194/E194,0)</f>
        <v/>
      </c>
      <c r="U194" s="148">
        <f>E194-Q194</f>
        <v/>
      </c>
      <c r="V194" s="150">
        <f>IFERROR(U194/E194,0)</f>
        <v/>
      </c>
      <c r="W194" s="148">
        <f>IFERROR(VLOOKUP(A194,周报其他费用!$A:$B,2,FALSE)*H194,0)</f>
        <v/>
      </c>
      <c r="X194" s="148" t="n">
        <v>5394.89600000002</v>
      </c>
      <c r="Y194" s="150">
        <f>IFERROR(X194/F194,0)</f>
        <v/>
      </c>
      <c r="Z194" s="148">
        <f>X194-J194/1.06</f>
        <v/>
      </c>
      <c r="AA194" s="150">
        <f>IFERROR(Z194/F194,0)</f>
        <v/>
      </c>
      <c r="AB194" s="148">
        <f>X194-(P194+W194)/1.06</f>
        <v/>
      </c>
      <c r="AC194" s="152">
        <f>IFERROR(AB194/F194,0)</f>
        <v/>
      </c>
    </row>
    <row r="195" ht="14.25" customHeight="1" s="65">
      <c r="A195" s="140" t="inlineStr">
        <is>
          <t>7.6-7.12</t>
        </is>
      </c>
      <c r="B195" s="141" t="n">
        <v>649361890551</v>
      </c>
      <c r="C195" s="140" t="inlineStr">
        <is>
          <t>袋面次链接</t>
        </is>
      </c>
      <c r="D195" s="140" t="inlineStr">
        <is>
          <t>营多捞面印尼进口Indomie网红夜宵早餐方便面火鸡面泡面拌面</t>
        </is>
      </c>
      <c r="E195" s="142" t="n">
        <v>19322.2800000001</v>
      </c>
      <c r="F195" s="142">
        <f>IFERROR(E195/1.13,0)</f>
        <v/>
      </c>
      <c r="G195" s="143" t="n">
        <v>1016</v>
      </c>
      <c r="H195" s="144">
        <f>IFERROR(G195/SUMIF($A:$A,A195,$G:$G),0)</f>
        <v/>
      </c>
      <c r="I195" s="142">
        <f>IFERROR(E195/G195,0)</f>
        <v/>
      </c>
      <c r="J195" s="142" t="n">
        <v>2912.93947700631</v>
      </c>
      <c r="K195" s="142" t="n">
        <v>14846.4526600541</v>
      </c>
      <c r="L195" s="145">
        <f>IFERROR(K195/J195,0)</f>
        <v/>
      </c>
      <c r="M195" s="142" t="n">
        <v>473.248494138864</v>
      </c>
      <c r="N195" s="142" t="n">
        <v>1246.38647430117</v>
      </c>
      <c r="O195" s="145">
        <f>IFERROR(N195/M195,0)</f>
        <v/>
      </c>
      <c r="P195" s="142">
        <f>J195+M195</f>
        <v/>
      </c>
      <c r="Q195" s="142">
        <f>K195+N195</f>
        <v/>
      </c>
      <c r="R195" s="145">
        <f>IFERROR(Q195/P195,0)</f>
        <v/>
      </c>
      <c r="S195" s="144">
        <f>IFERROR(P195/SUMIF($A:$A,A195,$P:$P),0)</f>
        <v/>
      </c>
      <c r="T195" s="144">
        <f>IFERROR(P195/E195,0)</f>
        <v/>
      </c>
      <c r="U195" s="142">
        <f>E195-Q195</f>
        <v/>
      </c>
      <c r="V195" s="144">
        <f>IFERROR(U195/E195,0)</f>
        <v/>
      </c>
      <c r="W195" s="142">
        <f>IFERROR(VLOOKUP(A195,周报其他费用!$A:$B,2,FALSE)*H195,0)</f>
        <v/>
      </c>
      <c r="X195" s="142" t="n">
        <v>1830.43399999999</v>
      </c>
      <c r="Y195" s="144">
        <f>IFERROR(X195/F195,0)</f>
        <v/>
      </c>
      <c r="Z195" s="142">
        <f>X195-J195/1.06</f>
        <v/>
      </c>
      <c r="AA195" s="144">
        <f>IFERROR(Z195/F195,0)</f>
        <v/>
      </c>
      <c r="AB195" s="142">
        <f>X195-(P195+W195)/1.06</f>
        <v/>
      </c>
      <c r="AC195" s="144">
        <f>IFERROR(AB195/F195,0)</f>
        <v/>
      </c>
    </row>
    <row r="196" ht="14.25" customHeight="1" s="65">
      <c r="A196" s="146" t="inlineStr">
        <is>
          <t>7.6-7.12</t>
        </is>
      </c>
      <c r="B196" s="147" t="n">
        <v>649735171438</v>
      </c>
      <c r="C196" s="146" t="inlineStr">
        <is>
          <t>杯面主链接</t>
        </is>
      </c>
      <c r="D196" s="146" t="inlineStr">
        <is>
          <t>印尼进口indomie营多捞面杯面速食泡面干拌面盒桶装方便面火鸡面</t>
        </is>
      </c>
      <c r="E196" s="148" t="n">
        <v>16136.27</v>
      </c>
      <c r="F196" s="148">
        <f>IFERROR(E196/1.13,0)</f>
        <v/>
      </c>
      <c r="G196" s="149" t="n">
        <v>620</v>
      </c>
      <c r="H196" s="150">
        <f>IFERROR(G196/SUMIF($A:$A,A196,$G:$G),0)</f>
        <v/>
      </c>
      <c r="I196" s="148">
        <f>IFERROR(E196/G196,0)</f>
        <v/>
      </c>
      <c r="J196" s="148" t="n">
        <v>2442.18015329125</v>
      </c>
      <c r="K196" s="148" t="n">
        <v>10817.0055996393</v>
      </c>
      <c r="L196" s="151">
        <f>IFERROR(K196/J196,0)</f>
        <v/>
      </c>
      <c r="M196" s="148" t="n">
        <v>288.793372407574</v>
      </c>
      <c r="N196" s="148" t="n">
        <v>760.590171325518</v>
      </c>
      <c r="O196" s="151">
        <f>IFERROR(N196/M196,0)</f>
        <v/>
      </c>
      <c r="P196" s="148">
        <f>J196+M196</f>
        <v/>
      </c>
      <c r="Q196" s="148">
        <f>K196+N196</f>
        <v/>
      </c>
      <c r="R196" s="151">
        <f>IFERROR(Q196/P196,0)</f>
        <v/>
      </c>
      <c r="S196" s="150">
        <f>IFERROR(P196/SUMIF($A:$A,A196,$P:$P),0)</f>
        <v/>
      </c>
      <c r="T196" s="150">
        <f>IFERROR(P196/E196,0)</f>
        <v/>
      </c>
      <c r="U196" s="148">
        <f>E196-Q196</f>
        <v/>
      </c>
      <c r="V196" s="150">
        <f>IFERROR(U196/E196,0)</f>
        <v/>
      </c>
      <c r="W196" s="148">
        <f>IFERROR(VLOOKUP(A196,周报其他费用!$A:$B,2,FALSE)*H196,0)</f>
        <v/>
      </c>
      <c r="X196" s="148" t="n">
        <v>1823.356</v>
      </c>
      <c r="Y196" s="150">
        <f>IFERROR(X196/F196,0)</f>
        <v/>
      </c>
      <c r="Z196" s="148">
        <f>X196-J196/1.06</f>
        <v/>
      </c>
      <c r="AA196" s="150">
        <f>IFERROR(Z196/F196,0)</f>
        <v/>
      </c>
      <c r="AB196" s="148">
        <f>X196-(P196+W196)/1.06</f>
        <v/>
      </c>
      <c r="AC196" s="150">
        <f>IFERROR(AB196/F196,0)</f>
        <v/>
      </c>
    </row>
    <row r="197" ht="14.25" customHeight="1" s="65">
      <c r="A197" s="140" t="inlineStr">
        <is>
          <t>7.6-7.12</t>
        </is>
      </c>
      <c r="B197" s="141" t="n">
        <v>649369494424</v>
      </c>
      <c r="C197" s="140" t="inlineStr">
        <is>
          <t>24包经典/牛系列</t>
        </is>
      </c>
      <c r="D197" s="140" t="inlineStr">
        <is>
          <t>营多捞面干拌面一整箱24袋装批发泡面混搭宿舍速食方便面火鸡面</t>
        </is>
      </c>
      <c r="E197" s="142" t="n">
        <v>8349.27</v>
      </c>
      <c r="F197" s="142">
        <f>IFERROR(E197/1.13,0)</f>
        <v/>
      </c>
      <c r="G197" s="143" t="n">
        <v>151</v>
      </c>
      <c r="H197" s="144">
        <f>IFERROR(G197/SUMIF($A:$A,A197,$G:$G),0)</f>
        <v/>
      </c>
      <c r="I197" s="142">
        <f>IFERROR(E197/G197,0)</f>
        <v/>
      </c>
      <c r="J197" s="142" t="n">
        <v>1039.7771663661</v>
      </c>
      <c r="K197" s="142" t="n">
        <v>4807.33428313796</v>
      </c>
      <c r="L197" s="145">
        <f>IFERROR(K197/J197,0)</f>
        <v/>
      </c>
      <c r="M197" s="142" t="n">
        <v>70.3351600541028</v>
      </c>
      <c r="N197" s="142" t="n">
        <v>185.240509467989</v>
      </c>
      <c r="O197" s="145">
        <f>IFERROR(N197/M197,0)</f>
        <v/>
      </c>
      <c r="P197" s="142">
        <f>J197+M197</f>
        <v/>
      </c>
      <c r="Q197" s="142">
        <f>K197+N197</f>
        <v/>
      </c>
      <c r="R197" s="145">
        <f>IFERROR(Q197/P197,0)</f>
        <v/>
      </c>
      <c r="S197" s="144">
        <f>IFERROR(P197/SUMIF($A:$A,A197,$P:$P),0)</f>
        <v/>
      </c>
      <c r="T197" s="144">
        <f>IFERROR(P197/E197,0)</f>
        <v/>
      </c>
      <c r="U197" s="142">
        <f>E197-Q197</f>
        <v/>
      </c>
      <c r="V197" s="144">
        <f>IFERROR(U197/E197,0)</f>
        <v/>
      </c>
      <c r="W197" s="142">
        <f>IFERROR(VLOOKUP(A197,周报其他费用!$A:$B,2,FALSE)*H197,0)</f>
        <v/>
      </c>
      <c r="X197" s="142" t="n">
        <v>1570.656</v>
      </c>
      <c r="Y197" s="144">
        <f>IFERROR(X197/F197,0)</f>
        <v/>
      </c>
      <c r="Z197" s="142">
        <f>X197-J197/1.06</f>
        <v/>
      </c>
      <c r="AA197" s="144">
        <f>IFERROR(Z197/F197,0)</f>
        <v/>
      </c>
      <c r="AB197" s="142">
        <f>X197-(P197+W197)/1.06</f>
        <v/>
      </c>
      <c r="AC197" s="144">
        <f>IFERROR(AB197/F197,0)</f>
        <v/>
      </c>
    </row>
    <row r="198" ht="14.25" customHeight="1" s="65">
      <c r="A198" s="146" t="inlineStr">
        <is>
          <t>7.6-7.12</t>
        </is>
      </c>
      <c r="B198" s="147" t="n">
        <v>648600900806</v>
      </c>
      <c r="C198" s="146" t="inlineStr">
        <is>
          <t>30包</t>
        </is>
      </c>
      <c r="D198" s="146" t="inlineStr">
        <is>
          <t>进口营多捞面一整箱30包网红速食方便面宿舍速食泡面干拌面拉面</t>
        </is>
      </c>
      <c r="E198" s="148" t="n">
        <v>10039.79</v>
      </c>
      <c r="F198" s="148">
        <f>IFERROR(E198/1.13,0)</f>
        <v/>
      </c>
      <c r="G198" s="149" t="n">
        <v>148</v>
      </c>
      <c r="H198" s="150">
        <f>IFERROR(G198/SUMIF($A:$A,A198,$G:$G),0)</f>
        <v/>
      </c>
      <c r="I198" s="148">
        <f>IFERROR(E198/G198,0)</f>
        <v/>
      </c>
      <c r="J198" s="148" t="n">
        <v>1761.80126239856</v>
      </c>
      <c r="K198" s="148" t="n">
        <v>9618.81082055906</v>
      </c>
      <c r="L198" s="151">
        <f>IFERROR(K198/J198,0)</f>
        <v/>
      </c>
      <c r="M198" s="148" t="n">
        <v>68.93777276825971</v>
      </c>
      <c r="N198" s="148" t="n">
        <v>181.560234445446</v>
      </c>
      <c r="O198" s="151">
        <f>IFERROR(N198/M198,0)</f>
        <v/>
      </c>
      <c r="P198" s="148">
        <f>J198+M198</f>
        <v/>
      </c>
      <c r="Q198" s="148">
        <f>K198+N198</f>
        <v/>
      </c>
      <c r="R198" s="151">
        <f>IFERROR(Q198/P198,0)</f>
        <v/>
      </c>
      <c r="S198" s="150">
        <f>IFERROR(P198/SUMIF($A:$A,A198,$P:$P),0)</f>
        <v/>
      </c>
      <c r="T198" s="150">
        <f>IFERROR(P198/E198,0)</f>
        <v/>
      </c>
      <c r="U198" s="148">
        <f>E198-Q198</f>
        <v/>
      </c>
      <c r="V198" s="150">
        <f>IFERROR(U198/E198,0)</f>
        <v/>
      </c>
      <c r="W198" s="148">
        <f>IFERROR(VLOOKUP(A198,周报其他费用!$A:$B,2,FALSE)*H198,0)</f>
        <v/>
      </c>
      <c r="X198" s="148" t="n">
        <v>1833.091</v>
      </c>
      <c r="Y198" s="150">
        <f>IFERROR(X198/F198,0)</f>
        <v/>
      </c>
      <c r="Z198" s="148">
        <f>X198-J198/1.06</f>
        <v/>
      </c>
      <c r="AA198" s="150">
        <f>IFERROR(Z198/F198,0)</f>
        <v/>
      </c>
      <c r="AB198" s="148">
        <f>X198-(P198+W198)/1.06</f>
        <v/>
      </c>
      <c r="AC198" s="150">
        <f>IFERROR(AB198/F198,0)</f>
        <v/>
      </c>
    </row>
    <row r="199" ht="14.25" customHeight="1" s="65">
      <c r="A199" s="140" t="inlineStr">
        <is>
          <t>7.6-7.12</t>
        </is>
      </c>
      <c r="B199" s="141" t="n">
        <v>1057479227624</v>
      </c>
      <c r="C199" s="140" t="inlineStr">
        <is>
          <t>巴东牛肉</t>
        </is>
      </c>
      <c r="D199" s="140" t="inlineStr">
        <is>
          <t>【新口味】印尼进口营多捞面巴东炖牛肉味泡面方便面宿舍速食宵夜</t>
        </is>
      </c>
      <c r="E199" s="142" t="n">
        <v>2371.33</v>
      </c>
      <c r="F199" s="142">
        <f>IFERROR(E199/1.13,0)</f>
        <v/>
      </c>
      <c r="G199" s="143" t="n">
        <v>134</v>
      </c>
      <c r="H199" s="144">
        <f>IFERROR(G199/SUMIF($A:$A,A199,$G:$G),0)</f>
        <v/>
      </c>
      <c r="I199" s="142">
        <f>IFERROR(E199/G199,0)</f>
        <v/>
      </c>
      <c r="J199" s="142" t="n">
        <v>844.283710550045</v>
      </c>
      <c r="K199" s="142" t="n">
        <v>3757.34466185753</v>
      </c>
      <c r="L199" s="145">
        <f>IFERROR(K199/J199,0)</f>
        <v/>
      </c>
      <c r="M199" s="142" t="n">
        <v>62.4166321009919</v>
      </c>
      <c r="N199" s="142" t="n">
        <v>164.38561767358</v>
      </c>
      <c r="O199" s="145">
        <f>IFERROR(N199/M199,0)</f>
        <v/>
      </c>
      <c r="P199" s="142">
        <f>J199+M199</f>
        <v/>
      </c>
      <c r="Q199" s="142">
        <f>K199+N199</f>
        <v/>
      </c>
      <c r="R199" s="145">
        <f>IFERROR(Q199/P199,0)</f>
        <v/>
      </c>
      <c r="S199" s="144">
        <f>IFERROR(P199/SUMIF($A:$A,A199,$P:$P),0)</f>
        <v/>
      </c>
      <c r="T199" s="144">
        <f>IFERROR(P199/E199,0)</f>
        <v/>
      </c>
      <c r="U199" s="142">
        <f>E199-Q199</f>
        <v/>
      </c>
      <c r="V199" s="144">
        <f>IFERROR(U199/E199,0)</f>
        <v/>
      </c>
      <c r="W199" s="142">
        <f>IFERROR(VLOOKUP(A199,周报其他费用!$A:$B,2,FALSE)*H199,0)</f>
        <v/>
      </c>
      <c r="X199" s="142" t="n">
        <v>257.016</v>
      </c>
      <c r="Y199" s="144">
        <f>IFERROR(X199/F199,0)</f>
        <v/>
      </c>
      <c r="Z199" s="142">
        <f>X199-J199/1.06</f>
        <v/>
      </c>
      <c r="AA199" s="144">
        <f>IFERROR(Z199/F199,0)</f>
        <v/>
      </c>
      <c r="AB199" s="142">
        <f>X199-(P199+W199)/1.06</f>
        <v/>
      </c>
      <c r="AC199" s="144">
        <f>IFERROR(AB199/F199,0)</f>
        <v/>
      </c>
    </row>
    <row r="200" ht="14.25" customHeight="1" s="65">
      <c r="A200" s="146" t="inlineStr">
        <is>
          <t>7.6-7.12</t>
        </is>
      </c>
      <c r="B200" s="147" t="n">
        <v>1058280415678</v>
      </c>
      <c r="C200" s="146" t="inlineStr">
        <is>
          <t>原味大包</t>
        </is>
      </c>
      <c r="D200" s="146" t="inlineStr">
        <is>
          <t>印尼进口大大包营多原味捞面5包干拌面速食超大包方便面速食宵夜</t>
        </is>
      </c>
      <c r="E200" s="148" t="n">
        <v>3110.5</v>
      </c>
      <c r="F200" s="148">
        <f>IFERROR(E200/1.13,0)</f>
        <v/>
      </c>
      <c r="G200" s="149" t="n">
        <v>123</v>
      </c>
      <c r="H200" s="150">
        <f>IFERROR(G200/SUMIF($A:$A,A200,$G:$G),0)</f>
        <v/>
      </c>
      <c r="I200" s="148">
        <f>IFERROR(E200/G200,0)</f>
        <v/>
      </c>
      <c r="J200" s="148" t="n">
        <v>529.482062669071</v>
      </c>
      <c r="K200" s="148" t="n">
        <v>2824.4019657349</v>
      </c>
      <c r="L200" s="151">
        <f>IFERROR(K200/J200,0)</f>
        <v/>
      </c>
      <c r="M200" s="148" t="n">
        <v>57.2928787195672</v>
      </c>
      <c r="N200" s="148" t="n">
        <v>150.891275924256</v>
      </c>
      <c r="O200" s="151">
        <f>IFERROR(N200/M200,0)</f>
        <v/>
      </c>
      <c r="P200" s="148">
        <f>J200+M200</f>
        <v/>
      </c>
      <c r="Q200" s="148">
        <f>K200+N200</f>
        <v/>
      </c>
      <c r="R200" s="151">
        <f>IFERROR(Q200/P200,0)</f>
        <v/>
      </c>
      <c r="S200" s="150">
        <f>IFERROR(P200/SUMIF($A:$A,A200,$P:$P),0)</f>
        <v/>
      </c>
      <c r="T200" s="150">
        <f>IFERROR(P200/E200,0)</f>
        <v/>
      </c>
      <c r="U200" s="148">
        <f>E200-Q200</f>
        <v/>
      </c>
      <c r="V200" s="150">
        <f>IFERROR(U200/E200,0)</f>
        <v/>
      </c>
      <c r="W200" s="148">
        <f>IFERROR(VLOOKUP(A200,周报其他费用!$A:$B,2,FALSE)*H200,0)</f>
        <v/>
      </c>
      <c r="X200" s="148" t="n">
        <v>636.543000000001</v>
      </c>
      <c r="Y200" s="150">
        <f>IFERROR(X200/F200,0)</f>
        <v/>
      </c>
      <c r="Z200" s="148">
        <f>X200-J200/1.06</f>
        <v/>
      </c>
      <c r="AA200" s="150">
        <f>IFERROR(Z200/F200,0)</f>
        <v/>
      </c>
      <c r="AB200" s="148">
        <f>X200-(P200+W200)/1.06</f>
        <v/>
      </c>
      <c r="AC200" s="150">
        <f>IFERROR(AB200/F200,0)</f>
        <v/>
      </c>
    </row>
    <row r="201" ht="14.25" customHeight="1" s="65">
      <c r="A201" s="140" t="inlineStr">
        <is>
          <t>7.6-7.12</t>
        </is>
      </c>
      <c r="B201" s="141" t="n">
        <v>648598580775</v>
      </c>
      <c r="C201" s="140" t="inlineStr">
        <is>
          <t>15包</t>
        </is>
      </c>
      <c r="D201" s="140" t="inlineStr">
        <is>
          <t>进口营多捞面15包Indomie方便面干拌面夜宵方便速食五连包85g*5</t>
        </is>
      </c>
      <c r="E201" s="142" t="n">
        <v>3562.12</v>
      </c>
      <c r="F201" s="142">
        <f>IFERROR(E201/1.13,0)</f>
        <v/>
      </c>
      <c r="G201" s="143" t="n">
        <v>97</v>
      </c>
      <c r="H201" s="144">
        <f>IFERROR(G201/SUMIF($A:$A,A201,$G:$G),0)</f>
        <v/>
      </c>
      <c r="I201" s="142">
        <f>IFERROR(E201/G201,0)</f>
        <v/>
      </c>
      <c r="J201" s="142" t="n">
        <v>524.250894950406</v>
      </c>
      <c r="K201" s="142" t="n">
        <v>2610.94195671776</v>
      </c>
      <c r="L201" s="145">
        <f>IFERROR(K201/J201,0)</f>
        <v/>
      </c>
      <c r="M201" s="142" t="n">
        <v>45.182188908927</v>
      </c>
      <c r="N201" s="142" t="n">
        <v>118.995559062218</v>
      </c>
      <c r="O201" s="145">
        <f>IFERROR(N201/M201,0)</f>
        <v/>
      </c>
      <c r="P201" s="142">
        <f>J201+M201</f>
        <v/>
      </c>
      <c r="Q201" s="142">
        <f>K201+N201</f>
        <v/>
      </c>
      <c r="R201" s="145">
        <f>IFERROR(Q201/P201,0)</f>
        <v/>
      </c>
      <c r="S201" s="144">
        <f>IFERROR(P201/SUMIF($A:$A,A201,$P:$P),0)</f>
        <v/>
      </c>
      <c r="T201" s="144">
        <f>IFERROR(P201/E201,0)</f>
        <v/>
      </c>
      <c r="U201" s="142">
        <f>E201-Q201</f>
        <v/>
      </c>
      <c r="V201" s="144">
        <f>IFERROR(U201/E201,0)</f>
        <v/>
      </c>
      <c r="W201" s="142">
        <f>IFERROR(VLOOKUP(A201,周报其他费用!$A:$B,2,FALSE)*H201,0)</f>
        <v/>
      </c>
      <c r="X201" s="142" t="n">
        <v>643.17</v>
      </c>
      <c r="Y201" s="144">
        <f>IFERROR(X201/F201,0)</f>
        <v/>
      </c>
      <c r="Z201" s="142">
        <f>X201-J201/1.06</f>
        <v/>
      </c>
      <c r="AA201" s="144">
        <f>IFERROR(Z201/F201,0)</f>
        <v/>
      </c>
      <c r="AB201" s="142">
        <f>X201-(P201+W201)/1.06</f>
        <v/>
      </c>
      <c r="AC201" s="144">
        <f>IFERROR(AB201/F201,0)</f>
        <v/>
      </c>
    </row>
    <row r="202" ht="14.25" customHeight="1" s="65">
      <c r="A202" s="146" t="inlineStr">
        <is>
          <t>7.6-7.12</t>
        </is>
      </c>
      <c r="B202" s="147" t="n">
        <v>649014937782</v>
      </c>
      <c r="C202" s="146" t="inlineStr">
        <is>
          <t>24包</t>
        </is>
      </c>
      <c r="D202" s="146" t="inlineStr">
        <is>
          <t>印尼营多捞面干拌面一整箱24袋装批发泡面宿舍速食方便面火鸡面</t>
        </is>
      </c>
      <c r="E202" s="148" t="n">
        <v>4671.21</v>
      </c>
      <c r="F202" s="148">
        <f>IFERROR(E202/1.13,0)</f>
        <v/>
      </c>
      <c r="G202" s="149" t="n">
        <v>83</v>
      </c>
      <c r="H202" s="150">
        <f>IFERROR(G202/SUMIF($A:$A,A202,$G:$G),0)</f>
        <v/>
      </c>
      <c r="I202" s="148">
        <f>IFERROR(E202/G202,0)</f>
        <v/>
      </c>
      <c r="J202" s="148" t="n">
        <v>903.783343101894</v>
      </c>
      <c r="K202" s="148" t="n">
        <v>4063.60579801623</v>
      </c>
      <c r="L202" s="151">
        <f>IFERROR(K202/J202,0)</f>
        <v/>
      </c>
      <c r="M202" s="148" t="n">
        <v>38.6610482416592</v>
      </c>
      <c r="N202" s="148" t="n">
        <v>101.820942290352</v>
      </c>
      <c r="O202" s="151">
        <f>IFERROR(N202/M202,0)</f>
        <v/>
      </c>
      <c r="P202" s="148">
        <f>J202+M202</f>
        <v/>
      </c>
      <c r="Q202" s="148">
        <f>K202+N202</f>
        <v/>
      </c>
      <c r="R202" s="151">
        <f>IFERROR(Q202/P202,0)</f>
        <v/>
      </c>
      <c r="S202" s="150">
        <f>IFERROR(P202/SUMIF($A:$A,A202,$P:$P),0)</f>
        <v/>
      </c>
      <c r="T202" s="150">
        <f>IFERROR(P202/E202,0)</f>
        <v/>
      </c>
      <c r="U202" s="148">
        <f>E202-Q202</f>
        <v/>
      </c>
      <c r="V202" s="150">
        <f>IFERROR(U202/E202,0)</f>
        <v/>
      </c>
      <c r="W202" s="148">
        <f>IFERROR(VLOOKUP(A202,周报其他费用!$A:$B,2,FALSE)*H202,0)</f>
        <v/>
      </c>
      <c r="X202" s="148" t="n">
        <v>920.4120000000009</v>
      </c>
      <c r="Y202" s="150">
        <f>IFERROR(X202/F202,0)</f>
        <v/>
      </c>
      <c r="Z202" s="148">
        <f>X202-J202/1.06</f>
        <v/>
      </c>
      <c r="AA202" s="150">
        <f>IFERROR(Z202/F202,0)</f>
        <v/>
      </c>
      <c r="AB202" s="148">
        <f>X202-(P202+W202)/1.06</f>
        <v/>
      </c>
      <c r="AC202" s="150">
        <f>IFERROR(AB202/F202,0)</f>
        <v/>
      </c>
    </row>
    <row r="203" ht="14.25" customHeight="1" s="65">
      <c r="A203" s="140" t="inlineStr">
        <is>
          <t>7.6-7.12</t>
        </is>
      </c>
      <c r="B203" s="141" t="n">
        <v>1060999732877</v>
      </c>
      <c r="C203" s="140" t="inlineStr">
        <is>
          <t>原味大包</t>
        </is>
      </c>
      <c r="D203" s="140" t="inlineStr">
        <is>
          <t>印尼进口大大包营多原味捞面5包干拌面速食超大包方便面速食宵夜</t>
        </is>
      </c>
      <c r="E203" s="142" t="n">
        <v>1999.22</v>
      </c>
      <c r="F203" s="142">
        <f>IFERROR(E203/1.13,0)</f>
        <v/>
      </c>
      <c r="G203" s="143" t="n">
        <v>73</v>
      </c>
      <c r="H203" s="144">
        <f>IFERROR(G203/SUMIF($A:$A,A203,$G:$G),0)</f>
        <v/>
      </c>
      <c r="I203" s="142">
        <f>IFERROR(E203/G203,0)</f>
        <v/>
      </c>
      <c r="J203" s="142" t="n">
        <v>424.363663210099</v>
      </c>
      <c r="K203" s="142" t="n">
        <v>2128.85425608656</v>
      </c>
      <c r="L203" s="145">
        <f>IFERROR(K203/J203,0)</f>
        <v/>
      </c>
      <c r="M203" s="142" t="n">
        <v>34.0030906221821</v>
      </c>
      <c r="N203" s="142" t="n">
        <v>89.5533588818756</v>
      </c>
      <c r="O203" s="145">
        <f>IFERROR(N203/M203,0)</f>
        <v/>
      </c>
      <c r="P203" s="142">
        <f>J203+M203</f>
        <v/>
      </c>
      <c r="Q203" s="142">
        <f>K203+N203</f>
        <v/>
      </c>
      <c r="R203" s="145">
        <f>IFERROR(Q203/P203,0)</f>
        <v/>
      </c>
      <c r="S203" s="144">
        <f>IFERROR(P203/SUMIF($A:$A,A203,$P:$P),0)</f>
        <v/>
      </c>
      <c r="T203" s="144">
        <f>IFERROR(P203/E203,0)</f>
        <v/>
      </c>
      <c r="U203" s="142">
        <f>E203-Q203</f>
        <v/>
      </c>
      <c r="V203" s="144">
        <f>IFERROR(U203/E203,0)</f>
        <v/>
      </c>
      <c r="W203" s="142">
        <f>IFERROR(VLOOKUP(A203,周报其他费用!$A:$B,2,FALSE)*H203,0)</f>
        <v/>
      </c>
      <c r="X203" s="142" t="n">
        <v>424.074</v>
      </c>
      <c r="Y203" s="144">
        <f>IFERROR(X203/F203,0)</f>
        <v/>
      </c>
      <c r="Z203" s="142">
        <f>X203-J203/1.06</f>
        <v/>
      </c>
      <c r="AA203" s="144">
        <f>IFERROR(Z203/F203,0)</f>
        <v/>
      </c>
      <c r="AB203" s="142">
        <f>X203-(P203+W203)/1.06</f>
        <v/>
      </c>
      <c r="AC203" s="144">
        <f>IFERROR(AB203/F203,0)</f>
        <v/>
      </c>
    </row>
    <row r="204" ht="14.25" customHeight="1" s="65">
      <c r="A204" s="146" t="inlineStr">
        <is>
          <t>7.6-7.12</t>
        </is>
      </c>
      <c r="B204" s="147" t="n">
        <v>1013887677295</v>
      </c>
      <c r="C204" s="146" t="inlineStr">
        <is>
          <t>混搭5杯</t>
        </is>
      </c>
      <c r="D204" s="146" t="inlineStr">
        <is>
          <t>进口营多原味杯面日式杯面韩式杯面泡面方便面汤面宿舍速食夜宵</t>
        </is>
      </c>
      <c r="E204" s="148" t="n">
        <v>1657.85</v>
      </c>
      <c r="F204" s="148">
        <f>IFERROR(E204/1.13,0)</f>
        <v/>
      </c>
      <c r="G204" s="149" t="n">
        <v>64</v>
      </c>
      <c r="H204" s="150">
        <f>IFERROR(G204/SUMIF($A:$A,A204,$G:$G),0)</f>
        <v/>
      </c>
      <c r="I204" s="148">
        <f>IFERROR(E204/G204,0)</f>
        <v/>
      </c>
      <c r="J204" s="148" t="n">
        <v>273.425951307484</v>
      </c>
      <c r="K204" s="148" t="n">
        <v>1077.48386834987</v>
      </c>
      <c r="L204" s="151">
        <f>IFERROR(K204/J204,0)</f>
        <v/>
      </c>
      <c r="M204" s="148" t="n">
        <v>29.8109287646528</v>
      </c>
      <c r="N204" s="148" t="n">
        <v>78.51253381424711</v>
      </c>
      <c r="O204" s="151">
        <f>IFERROR(N204/M204,0)</f>
        <v/>
      </c>
      <c r="P204" s="148">
        <f>J204+M204</f>
        <v/>
      </c>
      <c r="Q204" s="148">
        <f>K204+N204</f>
        <v/>
      </c>
      <c r="R204" s="151">
        <f>IFERROR(Q204/P204,0)</f>
        <v/>
      </c>
      <c r="S204" s="150">
        <f>IFERROR(P204/SUMIF($A:$A,A204,$P:$P),0)</f>
        <v/>
      </c>
      <c r="T204" s="150">
        <f>IFERROR(P204/E204,0)</f>
        <v/>
      </c>
      <c r="U204" s="148">
        <f>E204-Q204</f>
        <v/>
      </c>
      <c r="V204" s="150">
        <f>IFERROR(U204/E204,0)</f>
        <v/>
      </c>
      <c r="W204" s="148">
        <f>IFERROR(VLOOKUP(A204,周报其他费用!$A:$B,2,FALSE)*H204,0)</f>
        <v/>
      </c>
      <c r="X204" s="148" t="n">
        <v>186.377</v>
      </c>
      <c r="Y204" s="150">
        <f>IFERROR(X204/F204,0)</f>
        <v/>
      </c>
      <c r="Z204" s="148">
        <f>X204-J204/1.06</f>
        <v/>
      </c>
      <c r="AA204" s="150">
        <f>IFERROR(Z204/F204,0)</f>
        <v/>
      </c>
      <c r="AB204" s="148">
        <f>X204-(P204+W204)/1.06</f>
        <v/>
      </c>
      <c r="AC204" s="150">
        <f>IFERROR(AB204/F204,0)</f>
        <v/>
      </c>
    </row>
    <row r="205" ht="14.25" customHeight="1" s="65">
      <c r="A205" s="140" t="inlineStr">
        <is>
          <t>7.6-7.12</t>
        </is>
      </c>
      <c r="B205" s="141" t="n">
        <v>648681860568</v>
      </c>
      <c r="C205" s="140" t="inlineStr">
        <is>
          <t>杯面次链接</t>
        </is>
      </c>
      <c r="D205" s="140" t="inlineStr">
        <is>
          <t>营多捞面杯装方便面泡面速食干拌面原味整箱批发印尼进口桶装拌面</t>
        </is>
      </c>
      <c r="E205" s="142" t="n">
        <v>1204.3</v>
      </c>
      <c r="F205" s="142">
        <f>IFERROR(E205/1.13,0)</f>
        <v/>
      </c>
      <c r="G205" s="143" t="n">
        <v>51</v>
      </c>
      <c r="H205" s="144">
        <f>IFERROR(G205/SUMIF($A:$A,A205,$G:$G),0)</f>
        <v/>
      </c>
      <c r="I205" s="142">
        <f>IFERROR(E205/G205,0)</f>
        <v/>
      </c>
      <c r="J205" s="142" t="n">
        <v>253.710367448152</v>
      </c>
      <c r="K205" s="142" t="n">
        <v>1232.9488638413</v>
      </c>
      <c r="L205" s="145">
        <f>IFERROR(K205/J205,0)</f>
        <v/>
      </c>
      <c r="M205" s="142" t="n">
        <v>23.7555838593327</v>
      </c>
      <c r="N205" s="142" t="n">
        <v>62.5646753832281</v>
      </c>
      <c r="O205" s="145">
        <f>IFERROR(N205/M205,0)</f>
        <v/>
      </c>
      <c r="P205" s="142">
        <f>J205+M205</f>
        <v/>
      </c>
      <c r="Q205" s="142">
        <f>K205+N205</f>
        <v/>
      </c>
      <c r="R205" s="145">
        <f>IFERROR(Q205/P205,0)</f>
        <v/>
      </c>
      <c r="S205" s="144">
        <f>IFERROR(P205/SUMIF($A:$A,A205,$P:$P),0)</f>
        <v/>
      </c>
      <c r="T205" s="144">
        <f>IFERROR(P205/E205,0)</f>
        <v/>
      </c>
      <c r="U205" s="142">
        <f>E205-Q205</f>
        <v/>
      </c>
      <c r="V205" s="144">
        <f>IFERROR(U205/E205,0)</f>
        <v/>
      </c>
      <c r="W205" s="142">
        <f>IFERROR(VLOOKUP(A205,周报其他费用!$A:$B,2,FALSE)*H205,0)</f>
        <v/>
      </c>
      <c r="X205" s="142" t="n">
        <v>123.953</v>
      </c>
      <c r="Y205" s="144">
        <f>IFERROR(X205/F205,0)</f>
        <v/>
      </c>
      <c r="Z205" s="142">
        <f>X205-J205/1.06</f>
        <v/>
      </c>
      <c r="AA205" s="144">
        <f>IFERROR(Z205/F205,0)</f>
        <v/>
      </c>
      <c r="AB205" s="142">
        <f>X205-(P205+W205)/1.06</f>
        <v/>
      </c>
      <c r="AC205" s="144">
        <f>IFERROR(AB205/F205,0)</f>
        <v/>
      </c>
    </row>
    <row r="206" ht="14.25" customHeight="1" s="65">
      <c r="A206" s="146" t="inlineStr">
        <is>
          <t>7.6-7.12</t>
        </is>
      </c>
      <c r="B206" s="147" t="n">
        <v>766165464414</v>
      </c>
      <c r="C206" s="146" t="inlineStr">
        <is>
          <t>巴东牛肉</t>
        </is>
      </c>
      <c r="D206" s="146" t="inlineStr">
        <is>
          <t>营多进口新口味巴东炖牛肉味捞面印尼料理方便面泡面捞面夜宵速食</t>
        </is>
      </c>
      <c r="E206" s="148" t="n">
        <v>1293.51</v>
      </c>
      <c r="F206" s="148">
        <f>IFERROR(E206/1.13,0)</f>
        <v/>
      </c>
      <c r="G206" s="149" t="n">
        <v>44</v>
      </c>
      <c r="H206" s="150">
        <f>IFERROR(G206/SUMIF($A:$A,A206,$G:$G),0)</f>
        <v/>
      </c>
      <c r="I206" s="148">
        <f>IFERROR(E206/G206,0)</f>
        <v/>
      </c>
      <c r="J206" s="148" t="n">
        <v>48.4365915238955</v>
      </c>
      <c r="K206" s="148" t="n">
        <v>147.570784490532</v>
      </c>
      <c r="L206" s="151">
        <f>IFERROR(K206/J206,0)</f>
        <v/>
      </c>
      <c r="M206" s="148" t="n">
        <v>20.4950135256988</v>
      </c>
      <c r="N206" s="148" t="n">
        <v>53.9773669972949</v>
      </c>
      <c r="O206" s="151">
        <f>IFERROR(N206/M206,0)</f>
        <v/>
      </c>
      <c r="P206" s="148">
        <f>J206+M206</f>
        <v/>
      </c>
      <c r="Q206" s="148">
        <f>K206+N206</f>
        <v/>
      </c>
      <c r="R206" s="151">
        <f>IFERROR(Q206/P206,0)</f>
        <v/>
      </c>
      <c r="S206" s="150">
        <f>IFERROR(P206/SUMIF($A:$A,A206,$P:$P),0)</f>
        <v/>
      </c>
      <c r="T206" s="150">
        <f>IFERROR(P206/E206,0)</f>
        <v/>
      </c>
      <c r="U206" s="148">
        <f>E206-Q206</f>
        <v/>
      </c>
      <c r="V206" s="150">
        <f>IFERROR(U206/E206,0)</f>
        <v/>
      </c>
      <c r="W206" s="148">
        <f>IFERROR(VLOOKUP(A206,周报其他费用!$A:$B,2,FALSE)*H206,0)</f>
        <v/>
      </c>
      <c r="X206" s="148" t="n">
        <v>213.523</v>
      </c>
      <c r="Y206" s="150">
        <f>IFERROR(X206/F206,0)</f>
        <v/>
      </c>
      <c r="Z206" s="148">
        <f>X206-J206/1.06</f>
        <v/>
      </c>
      <c r="AA206" s="150">
        <f>IFERROR(Z206/F206,0)</f>
        <v/>
      </c>
      <c r="AB206" s="148">
        <f>X206-(P206+W206)/1.06</f>
        <v/>
      </c>
      <c r="AC206" s="150">
        <f>IFERROR(AB206/F206,0)</f>
        <v/>
      </c>
    </row>
    <row r="207" ht="14.25" customHeight="1" s="65">
      <c r="A207" s="140" t="inlineStr">
        <is>
          <t>7.6-7.12</t>
        </is>
      </c>
      <c r="B207" s="141" t="n">
        <v>735014804839</v>
      </c>
      <c r="C207" s="140" t="inlineStr">
        <is>
          <t>24/30包</t>
        </is>
      </c>
      <c r="D207" s="140" t="inlineStr">
        <is>
          <t>进口营多捞面多口味Indomie网红方便面干拌面泡面30包整箱批发面</t>
        </is>
      </c>
      <c r="E207" s="142" t="n">
        <v>2314.55</v>
      </c>
      <c r="F207" s="142">
        <f>IFERROR(E207/1.13,0)</f>
        <v/>
      </c>
      <c r="G207" s="143" t="n">
        <v>34</v>
      </c>
      <c r="H207" s="144">
        <f>IFERROR(G207/SUMIF($A:$A,A207,$G:$G),0)</f>
        <v/>
      </c>
      <c r="I207" s="142">
        <f>IFERROR(E207/G207,0)</f>
        <v/>
      </c>
      <c r="J207" s="142" t="n">
        <v>328.176911632101</v>
      </c>
      <c r="K207" s="142" t="n">
        <v>1796.94924256087</v>
      </c>
      <c r="L207" s="145">
        <f>IFERROR(K207/J207,0)</f>
        <v/>
      </c>
      <c r="M207" s="142" t="n">
        <v>15.8370559062218</v>
      </c>
      <c r="N207" s="142" t="n">
        <v>41.7097835888188</v>
      </c>
      <c r="O207" s="145">
        <f>IFERROR(N207/M207,0)</f>
        <v/>
      </c>
      <c r="P207" s="142">
        <f>J207+M207</f>
        <v/>
      </c>
      <c r="Q207" s="142">
        <f>K207+N207</f>
        <v/>
      </c>
      <c r="R207" s="145">
        <f>IFERROR(Q207/P207,0)</f>
        <v/>
      </c>
      <c r="S207" s="144">
        <f>IFERROR(P207/SUMIF($A:$A,A207,$P:$P),0)</f>
        <v/>
      </c>
      <c r="T207" s="144">
        <f>IFERROR(P207/E207,0)</f>
        <v/>
      </c>
      <c r="U207" s="142">
        <f>E207-Q207</f>
        <v/>
      </c>
      <c r="V207" s="144">
        <f>IFERROR(U207/E207,0)</f>
        <v/>
      </c>
      <c r="W207" s="142">
        <f>IFERROR(VLOOKUP(A207,周报其他费用!$A:$B,2,FALSE)*H207,0)</f>
        <v/>
      </c>
      <c r="X207" s="142" t="n">
        <v>447.02</v>
      </c>
      <c r="Y207" s="144">
        <f>IFERROR(X207/F207,0)</f>
        <v/>
      </c>
      <c r="Z207" s="142">
        <f>X207-J207/1.06</f>
        <v/>
      </c>
      <c r="AA207" s="144">
        <f>IFERROR(Z207/F207,0)</f>
        <v/>
      </c>
      <c r="AB207" s="142">
        <f>X207-(P207+W207)/1.06</f>
        <v/>
      </c>
      <c r="AC207" s="144">
        <f>IFERROR(AB207/F207,0)</f>
        <v/>
      </c>
    </row>
    <row r="208" ht="14.25" customHeight="1" s="65">
      <c r="A208" s="146" t="inlineStr">
        <is>
          <t>7.6-7.12</t>
        </is>
      </c>
      <c r="B208" s="147" t="n">
        <v>929504658691</v>
      </c>
      <c r="C208" s="146" t="inlineStr">
        <is>
          <t>日式袋面</t>
        </is>
      </c>
      <c r="D208" s="146" t="inlineStr">
        <is>
          <t>营多捞面日式鸡肉汤面原味辛辣味袋装泡面方便面速食宿舍夜宵食品</t>
        </is>
      </c>
      <c r="E208" s="148" t="n">
        <v>756.52</v>
      </c>
      <c r="F208" s="148">
        <f>IFERROR(E208/1.13,0)</f>
        <v/>
      </c>
      <c r="G208" s="149" t="n">
        <v>33</v>
      </c>
      <c r="H208" s="150">
        <f>IFERROR(G208/SUMIF($A:$A,A208,$G:$G),0)</f>
        <v/>
      </c>
      <c r="I208" s="148">
        <f>IFERROR(E208/G208,0)</f>
        <v/>
      </c>
      <c r="J208" s="148" t="n">
        <v>147.434943642922</v>
      </c>
      <c r="K208" s="148" t="n">
        <v>596.088088367899</v>
      </c>
      <c r="L208" s="151">
        <f>IFERROR(K208/J208,0)</f>
        <v/>
      </c>
      <c r="M208" s="148" t="n">
        <v>15.3712601442741</v>
      </c>
      <c r="N208" s="148" t="n">
        <v>40.4830252479711</v>
      </c>
      <c r="O208" s="151">
        <f>IFERROR(N208/M208,0)</f>
        <v/>
      </c>
      <c r="P208" s="148">
        <f>J208+M208</f>
        <v/>
      </c>
      <c r="Q208" s="148">
        <f>K208+N208</f>
        <v/>
      </c>
      <c r="R208" s="151">
        <f>IFERROR(Q208/P208,0)</f>
        <v/>
      </c>
      <c r="S208" s="150">
        <f>IFERROR(P208/SUMIF($A:$A,A208,$P:$P),0)</f>
        <v/>
      </c>
      <c r="T208" s="150">
        <f>IFERROR(P208/E208,0)</f>
        <v/>
      </c>
      <c r="U208" s="148">
        <f>E208-Q208</f>
        <v/>
      </c>
      <c r="V208" s="150">
        <f>IFERROR(U208/E208,0)</f>
        <v/>
      </c>
      <c r="W208" s="148">
        <f>IFERROR(VLOOKUP(A208,周报其他费用!$A:$B,2,FALSE)*H208,0)</f>
        <v/>
      </c>
      <c r="X208" s="148" t="n">
        <v>103.89</v>
      </c>
      <c r="Y208" s="150">
        <f>IFERROR(X208/F208,0)</f>
        <v/>
      </c>
      <c r="Z208" s="148">
        <f>X208-J208/1.06</f>
        <v/>
      </c>
      <c r="AA208" s="150">
        <f>IFERROR(Z208/F208,0)</f>
        <v/>
      </c>
      <c r="AB208" s="148">
        <f>X208-(P208+W208)/1.06</f>
        <v/>
      </c>
      <c r="AC208" s="150">
        <f>IFERROR(AB208/F208,0)</f>
        <v/>
      </c>
    </row>
    <row r="209" ht="14.25" customHeight="1" s="65">
      <c r="A209" s="140" t="inlineStr">
        <is>
          <t>7.6-7.12</t>
        </is>
      </c>
      <c r="B209" s="141" t="n">
        <v>1059563993918</v>
      </c>
      <c r="C209" s="140" t="inlineStr">
        <is>
          <t>巴东牛肉</t>
        </is>
      </c>
      <c r="D209" s="140" t="inlineStr">
        <is>
          <t>营多进口新口味巴东炖牛肉味捞面印尼料理方便面泡面捞面夜宵速食</t>
        </is>
      </c>
      <c r="E209" s="142" t="n">
        <v>394.04</v>
      </c>
      <c r="F209" s="142">
        <f>IFERROR(E209/1.13,0)</f>
        <v/>
      </c>
      <c r="G209" s="143" t="n">
        <v>23</v>
      </c>
      <c r="H209" s="144">
        <f>IFERROR(G209/SUMIF($A:$A,A209,$G:$G),0)</f>
        <v/>
      </c>
      <c r="I209" s="142">
        <f>IFERROR(E209/G209,0)</f>
        <v/>
      </c>
      <c r="J209" s="142" t="n">
        <v>75.5752637511272</v>
      </c>
      <c r="K209" s="142" t="n">
        <v>181.796546438233</v>
      </c>
      <c r="L209" s="145">
        <f>IFERROR(K209/J209,0)</f>
        <v/>
      </c>
      <c r="M209" s="142" t="n">
        <v>10.7133025247971</v>
      </c>
      <c r="N209" s="142" t="n">
        <v>28.215441839495</v>
      </c>
      <c r="O209" s="145">
        <f>IFERROR(N209/M209,0)</f>
        <v/>
      </c>
      <c r="P209" s="142">
        <f>J209+M209</f>
        <v/>
      </c>
      <c r="Q209" s="142">
        <f>K209+N209</f>
        <v/>
      </c>
      <c r="R209" s="145">
        <f>IFERROR(Q209/P209,0)</f>
        <v/>
      </c>
      <c r="S209" s="144">
        <f>IFERROR(P209/SUMIF($A:$A,A209,$P:$P),0)</f>
        <v/>
      </c>
      <c r="T209" s="144">
        <f>IFERROR(P209/E209,0)</f>
        <v/>
      </c>
      <c r="U209" s="142">
        <f>E209-Q209</f>
        <v/>
      </c>
      <c r="V209" s="144">
        <f>IFERROR(U209/E209,0)</f>
        <v/>
      </c>
      <c r="W209" s="142">
        <f>IFERROR(VLOOKUP(A209,周报其他费用!$A:$B,2,FALSE)*H209,0)</f>
        <v/>
      </c>
      <c r="X209" s="142" t="n">
        <v>41.269</v>
      </c>
      <c r="Y209" s="144">
        <f>IFERROR(X209/F209,0)</f>
        <v/>
      </c>
      <c r="Z209" s="142">
        <f>X209-J209/1.06</f>
        <v/>
      </c>
      <c r="AA209" s="144">
        <f>IFERROR(Z209/F209,0)</f>
        <v/>
      </c>
      <c r="AB209" s="142">
        <f>X209-(P209+W209)/1.06</f>
        <v/>
      </c>
      <c r="AC209" s="144">
        <f>IFERROR(AB209/F209,0)</f>
        <v/>
      </c>
    </row>
    <row r="210" ht="14.25" customHeight="1" s="65">
      <c r="A210" s="146" t="inlineStr">
        <is>
          <t>7.6-7.12</t>
        </is>
      </c>
      <c r="B210" s="147" t="n">
        <v>744317232690</v>
      </c>
      <c r="C210" s="146" t="inlineStr">
        <is>
          <t>多规格</t>
        </is>
      </c>
      <c r="D210" s="146" t="inlineStr">
        <is>
          <t>营多捞面汤面清香牛肉味方便面泡面速食食品泡面拉面整箱旅行宿舍</t>
        </is>
      </c>
      <c r="E210" s="148" t="n">
        <v>551.29</v>
      </c>
      <c r="F210" s="148">
        <f>IFERROR(E210/1.13,0)</f>
        <v/>
      </c>
      <c r="G210" s="149" t="n">
        <v>22</v>
      </c>
      <c r="H210" s="150">
        <f>IFERROR(G210/SUMIF($A:$A,A210,$G:$G),0)</f>
        <v/>
      </c>
      <c r="I210" s="148">
        <f>IFERROR(E210/G210,0)</f>
        <v/>
      </c>
      <c r="J210" s="148" t="n">
        <v>58.7932957619477</v>
      </c>
      <c r="K210" s="148" t="n">
        <v>348.885392245266</v>
      </c>
      <c r="L210" s="151">
        <f>IFERROR(K210/J210,0)</f>
        <v/>
      </c>
      <c r="M210" s="148" t="n">
        <v>10.2475067628494</v>
      </c>
      <c r="N210" s="148" t="n">
        <v>26.9886834986474</v>
      </c>
      <c r="O210" s="151">
        <f>IFERROR(N210/M210,0)</f>
        <v/>
      </c>
      <c r="P210" s="148">
        <f>J210+M210</f>
        <v/>
      </c>
      <c r="Q210" s="148">
        <f>K210+N210</f>
        <v/>
      </c>
      <c r="R210" s="151">
        <f>IFERROR(Q210/P210,0)</f>
        <v/>
      </c>
      <c r="S210" s="150">
        <f>IFERROR(P210/SUMIF($A:$A,A210,$P:$P),0)</f>
        <v/>
      </c>
      <c r="T210" s="150">
        <f>IFERROR(P210/E210,0)</f>
        <v/>
      </c>
      <c r="U210" s="148">
        <f>E210-Q210</f>
        <v/>
      </c>
      <c r="V210" s="150">
        <f>IFERROR(U210/E210,0)</f>
        <v/>
      </c>
      <c r="W210" s="148">
        <f>IFERROR(VLOOKUP(A210,周报其他费用!$A:$B,2,FALSE)*H210,0)</f>
        <v/>
      </c>
      <c r="X210" s="148" t="n">
        <v>82.45999999999999</v>
      </c>
      <c r="Y210" s="150">
        <f>IFERROR(X210/F210,0)</f>
        <v/>
      </c>
      <c r="Z210" s="148">
        <f>X210-J210/1.06</f>
        <v/>
      </c>
      <c r="AA210" s="150">
        <f>IFERROR(Z210/F210,0)</f>
        <v/>
      </c>
      <c r="AB210" s="148">
        <f>X210-(P210+W210)/1.06</f>
        <v/>
      </c>
      <c r="AC210" s="150">
        <f>IFERROR(AB210/F210,0)</f>
        <v/>
      </c>
    </row>
    <row r="211" ht="14.25" customHeight="1" s="65">
      <c r="A211" s="140" t="inlineStr">
        <is>
          <t>7.6-7.12</t>
        </is>
      </c>
      <c r="B211" s="141" t="n">
        <v>969423151512</v>
      </c>
      <c r="C211" s="140" t="inlineStr">
        <is>
          <t>日韩混搭</t>
        </is>
      </c>
      <c r="D211" s="140" t="inlineStr">
        <is>
          <t>营多捞面甜辣炸鸡火鸡面辣蘑菇泡面方便面速食干拌面宿舍宵夜旅行</t>
        </is>
      </c>
      <c r="E211" s="142" t="n">
        <v>328.6</v>
      </c>
      <c r="F211" s="142">
        <f>IFERROR(E211/1.13,0)</f>
        <v/>
      </c>
      <c r="G211" s="143" t="n">
        <v>14</v>
      </c>
      <c r="H211" s="144">
        <f>IFERROR(G211/SUMIF($A:$A,A211,$G:$G),0)</f>
        <v/>
      </c>
      <c r="I211" s="142">
        <f>IFERROR(E211/G211,0)</f>
        <v/>
      </c>
      <c r="J211" s="142" t="n">
        <v>57.1475518485122</v>
      </c>
      <c r="K211" s="142" t="n">
        <v>202.566158701533</v>
      </c>
      <c r="L211" s="145">
        <f>IFERROR(K211/J211,0)</f>
        <v/>
      </c>
      <c r="M211" s="142" t="n">
        <v>6.52114066726781</v>
      </c>
      <c r="N211" s="142" t="n">
        <v>17.1746167718665</v>
      </c>
      <c r="O211" s="145">
        <f>IFERROR(N211/M211,0)</f>
        <v/>
      </c>
      <c r="P211" s="142">
        <f>J211+M211</f>
        <v/>
      </c>
      <c r="Q211" s="142">
        <f>K211+N211</f>
        <v/>
      </c>
      <c r="R211" s="145">
        <f>IFERROR(Q211/P211,0)</f>
        <v/>
      </c>
      <c r="S211" s="144">
        <f>IFERROR(P211/SUMIF($A:$A,A211,$P:$P),0)</f>
        <v/>
      </c>
      <c r="T211" s="144">
        <f>IFERROR(P211/E211,0)</f>
        <v/>
      </c>
      <c r="U211" s="142">
        <f>E211-Q211</f>
        <v/>
      </c>
      <c r="V211" s="144">
        <f>IFERROR(U211/E211,0)</f>
        <v/>
      </c>
      <c r="W211" s="142">
        <f>IFERROR(VLOOKUP(A211,周报其他费用!$A:$B,2,FALSE)*H211,0)</f>
        <v/>
      </c>
      <c r="X211" s="142" t="n">
        <v>50.334</v>
      </c>
      <c r="Y211" s="144">
        <f>IFERROR(X211/F211,0)</f>
        <v/>
      </c>
      <c r="Z211" s="142">
        <f>X211-J211/1.06</f>
        <v/>
      </c>
      <c r="AA211" s="144">
        <f>IFERROR(Z211/F211,0)</f>
        <v/>
      </c>
      <c r="AB211" s="142">
        <f>X211-(P211+W211)/1.06</f>
        <v/>
      </c>
      <c r="AC211" s="144">
        <f>IFERROR(AB211/F211,0)</f>
        <v/>
      </c>
    </row>
    <row r="212" ht="14.25" customHeight="1" s="65">
      <c r="A212" s="146" t="inlineStr">
        <is>
          <t>7.6-7.12</t>
        </is>
      </c>
      <c r="B212" s="147" t="n">
        <v>898076297965</v>
      </c>
      <c r="C212" s="146" t="inlineStr">
        <is>
          <t>番茄牛肉</t>
        </is>
      </c>
      <c r="D212" s="146" t="inlineStr">
        <is>
          <t>进口正品意面风味奶香番茄牛肉味意式拌面营多捞面早餐儿童宝妈餐</t>
        </is>
      </c>
      <c r="E212" s="148" t="n">
        <v>233.07</v>
      </c>
      <c r="F212" s="148">
        <f>IFERROR(E212/1.13,0)</f>
        <v/>
      </c>
      <c r="G212" s="149" t="n">
        <v>14</v>
      </c>
      <c r="H212" s="150">
        <f>IFERROR(G212/SUMIF($A:$A,A212,$G:$G),0)</f>
        <v/>
      </c>
      <c r="I212" s="148">
        <f>IFERROR(E212/G212,0)</f>
        <v/>
      </c>
      <c r="J212" s="148" t="n">
        <v>26.5575518485122</v>
      </c>
      <c r="K212" s="148" t="n">
        <v>120.936158701533</v>
      </c>
      <c r="L212" s="151">
        <f>IFERROR(K212/J212,0)</f>
        <v/>
      </c>
      <c r="M212" s="148" t="n">
        <v>6.52114066726781</v>
      </c>
      <c r="N212" s="148" t="n">
        <v>17.1746167718665</v>
      </c>
      <c r="O212" s="151">
        <f>IFERROR(N212/M212,0)</f>
        <v/>
      </c>
      <c r="P212" s="148">
        <f>J212+M212</f>
        <v/>
      </c>
      <c r="Q212" s="148">
        <f>K212+N212</f>
        <v/>
      </c>
      <c r="R212" s="151">
        <f>IFERROR(Q212/P212,0)</f>
        <v/>
      </c>
      <c r="S212" s="150">
        <f>IFERROR(P212/SUMIF($A:$A,A212,$P:$P),0)</f>
        <v/>
      </c>
      <c r="T212" s="150">
        <f>IFERROR(P212/E212,0)</f>
        <v/>
      </c>
      <c r="U212" s="148">
        <f>E212-Q212</f>
        <v/>
      </c>
      <c r="V212" s="150">
        <f>IFERROR(U212/E212,0)</f>
        <v/>
      </c>
      <c r="W212" s="148">
        <f>IFERROR(VLOOKUP(A212,周报其他费用!$A:$B,2,FALSE)*H212,0)</f>
        <v/>
      </c>
      <c r="X212" s="148" t="n">
        <v>18.156</v>
      </c>
      <c r="Y212" s="150">
        <f>IFERROR(X212/F212,0)</f>
        <v/>
      </c>
      <c r="Z212" s="148">
        <f>X212-J212/1.06</f>
        <v/>
      </c>
      <c r="AA212" s="150">
        <f>IFERROR(Z212/F212,0)</f>
        <v/>
      </c>
      <c r="AB212" s="148">
        <f>X212-(P212+W212)/1.06</f>
        <v/>
      </c>
      <c r="AC212" s="150">
        <f>IFERROR(AB212/F212,0)</f>
        <v/>
      </c>
    </row>
    <row r="213" ht="14.25" customHeight="1" s="65">
      <c r="A213" s="140" t="inlineStr">
        <is>
          <t>7.6-7.12</t>
        </is>
      </c>
      <c r="B213" s="141" t="n">
        <v>648604228786</v>
      </c>
      <c r="C213" s="140" t="inlineStr">
        <is>
          <t>杯面混搭</t>
        </is>
      </c>
      <c r="D213" s="140" t="inlineStr">
        <is>
          <t>INDOMIE营多日式杯面原味经典泡面整箱批发速食宿舍旅行宵夜宿舍</t>
        </is>
      </c>
      <c r="E213" s="142" t="n">
        <v>323.25</v>
      </c>
      <c r="F213" s="142">
        <f>IFERROR(E213/1.13,0)</f>
        <v/>
      </c>
      <c r="G213" s="143" t="n">
        <v>12</v>
      </c>
      <c r="H213" s="144">
        <f>IFERROR(G213/SUMIF($A:$A,A213,$G:$G),0)</f>
        <v/>
      </c>
      <c r="I213" s="142">
        <f>IFERROR(E213/G213,0)</f>
        <v/>
      </c>
      <c r="J213" s="142" t="n">
        <v>17.0936158701533</v>
      </c>
      <c r="K213" s="142" t="n">
        <v>37.8738503155997</v>
      </c>
      <c r="L213" s="145">
        <f>IFERROR(K213/J213,0)</f>
        <v/>
      </c>
      <c r="M213" s="142" t="n">
        <v>5.58954914337241</v>
      </c>
      <c r="N213" s="142" t="n">
        <v>14.7211000901713</v>
      </c>
      <c r="O213" s="145">
        <f>IFERROR(N213/M213,0)</f>
        <v/>
      </c>
      <c r="P213" s="142">
        <f>J213+M213</f>
        <v/>
      </c>
      <c r="Q213" s="142">
        <f>K213+N213</f>
        <v/>
      </c>
      <c r="R213" s="145">
        <f>IFERROR(Q213/P213,0)</f>
        <v/>
      </c>
      <c r="S213" s="144">
        <f>IFERROR(P213/SUMIF($A:$A,A213,$P:$P),0)</f>
        <v/>
      </c>
      <c r="T213" s="144">
        <f>IFERROR(P213/E213,0)</f>
        <v/>
      </c>
      <c r="U213" s="142">
        <f>E213-Q213</f>
        <v/>
      </c>
      <c r="V213" s="144">
        <f>IFERROR(U213/E213,0)</f>
        <v/>
      </c>
      <c r="W213" s="142">
        <f>IFERROR(VLOOKUP(A213,周报其他费用!$A:$B,2,FALSE)*H213,0)</f>
        <v/>
      </c>
      <c r="X213" s="142" t="n">
        <v>43.025</v>
      </c>
      <c r="Y213" s="144">
        <f>IFERROR(X213/F213,0)</f>
        <v/>
      </c>
      <c r="Z213" s="142">
        <f>X213-J213/1.06</f>
        <v/>
      </c>
      <c r="AA213" s="144">
        <f>IFERROR(Z213/F213,0)</f>
        <v/>
      </c>
      <c r="AB213" s="142">
        <f>X213-(P213+W213)/1.06</f>
        <v/>
      </c>
      <c r="AC213" s="144">
        <f>IFERROR(AB213/F213,0)</f>
        <v/>
      </c>
    </row>
    <row r="214" ht="14.25" customHeight="1" s="65">
      <c r="A214" s="146" t="inlineStr">
        <is>
          <t>7.6-7.12</t>
        </is>
      </c>
      <c r="B214" s="147" t="n">
        <v>976479938842</v>
      </c>
      <c r="C214" s="146" t="inlineStr">
        <is>
          <t>【U选】原味5</t>
        </is>
      </c>
      <c r="D214" s="146" t="inlineStr">
        <is>
          <t>【天猫U选】indomie营多大骨牛肉味捞面拌面5包</t>
        </is>
      </c>
      <c r="E214" s="148" t="n">
        <v>85.86</v>
      </c>
      <c r="F214" s="148">
        <f>IFERROR(E214/1.13,0)</f>
        <v/>
      </c>
      <c r="G214" s="149" t="n">
        <v>9</v>
      </c>
      <c r="H214" s="150">
        <f>IFERROR(G214/SUMIF($A:$A,A214,$G:$G),0)</f>
        <v/>
      </c>
      <c r="I214" s="148">
        <f>IFERROR(E214/G214,0)</f>
        <v/>
      </c>
      <c r="J214" s="148" t="n">
        <v>1.54771190261498</v>
      </c>
      <c r="K214" s="148" t="n">
        <v>7.48038773669979</v>
      </c>
      <c r="L214" s="151">
        <f>IFERROR(K214/J214,0)</f>
        <v/>
      </c>
      <c r="M214" s="148" t="n">
        <v>4.19216185752931</v>
      </c>
      <c r="N214" s="148" t="n">
        <v>11.0408250676285</v>
      </c>
      <c r="O214" s="151">
        <f>IFERROR(N214/M214,0)</f>
        <v/>
      </c>
      <c r="P214" s="148">
        <f>J214+M214</f>
        <v/>
      </c>
      <c r="Q214" s="148">
        <f>K214+N214</f>
        <v/>
      </c>
      <c r="R214" s="151">
        <f>IFERROR(Q214/P214,0)</f>
        <v/>
      </c>
      <c r="S214" s="150">
        <f>IFERROR(P214/SUMIF($A:$A,A214,$P:$P),0)</f>
        <v/>
      </c>
      <c r="T214" s="150">
        <f>IFERROR(P214/E214,0)</f>
        <v/>
      </c>
      <c r="U214" s="148">
        <f>E214-Q214</f>
        <v/>
      </c>
      <c r="V214" s="150">
        <f>IFERROR(U214/E214,0)</f>
        <v/>
      </c>
      <c r="W214" s="148">
        <f>IFERROR(VLOOKUP(A214,周报其他费用!$A:$B,2,FALSE)*H214,0)</f>
        <v/>
      </c>
      <c r="X214" s="148" t="n">
        <v>-27.524</v>
      </c>
      <c r="Y214" s="150">
        <f>IFERROR(X214/F214,0)</f>
        <v/>
      </c>
      <c r="Z214" s="148">
        <f>X214-J214/1.06</f>
        <v/>
      </c>
      <c r="AA214" s="150">
        <f>IFERROR(Z214/F214,0)</f>
        <v/>
      </c>
      <c r="AB214" s="148">
        <f>X214-(P214+W214)/1.06</f>
        <v/>
      </c>
      <c r="AC214" s="150">
        <f>IFERROR(AB214/F214,0)</f>
        <v/>
      </c>
    </row>
    <row r="215" ht="14.25" customHeight="1" s="65">
      <c r="A215" s="140" t="inlineStr">
        <is>
          <t>7.6-7.12</t>
        </is>
      </c>
      <c r="B215" s="141" t="n">
        <v>971242260371</v>
      </c>
      <c r="C215" s="140" t="inlineStr">
        <is>
          <t>韩式袋面</t>
        </is>
      </c>
      <c r="D215" s="140" t="inlineStr">
        <is>
          <t>新品营多捞面韩式辣蘑菇汤面泡面方便面速食干拌面宿舍宵夜旅行</t>
        </is>
      </c>
      <c r="E215" s="142" t="n">
        <v>150.34</v>
      </c>
      <c r="F215" s="142">
        <f>IFERROR(E215/1.13,0)</f>
        <v/>
      </c>
      <c r="G215" s="143" t="n">
        <v>7</v>
      </c>
      <c r="H215" s="144">
        <f>IFERROR(G215/SUMIF($A:$A,A215,$G:$G),0)</f>
        <v/>
      </c>
      <c r="I215" s="142">
        <f>IFERROR(E215/G215,0)</f>
        <v/>
      </c>
      <c r="J215" s="142" t="n">
        <v>82.06377592425611</v>
      </c>
      <c r="K215" s="142" t="n">
        <v>281.328079350766</v>
      </c>
      <c r="L215" s="145">
        <f>IFERROR(K215/J215,0)</f>
        <v/>
      </c>
      <c r="M215" s="142" t="n">
        <v>3.2605703336339</v>
      </c>
      <c r="N215" s="142" t="n">
        <v>8.58730838593327</v>
      </c>
      <c r="O215" s="145">
        <f>IFERROR(N215/M215,0)</f>
        <v/>
      </c>
      <c r="P215" s="142">
        <f>J215+M215</f>
        <v/>
      </c>
      <c r="Q215" s="142">
        <f>K215+N215</f>
        <v/>
      </c>
      <c r="R215" s="145">
        <f>IFERROR(Q215/P215,0)</f>
        <v/>
      </c>
      <c r="S215" s="144">
        <f>IFERROR(P215/SUMIF($A:$A,A215,$P:$P),0)</f>
        <v/>
      </c>
      <c r="T215" s="144">
        <f>IFERROR(P215/E215,0)</f>
        <v/>
      </c>
      <c r="U215" s="142">
        <f>E215-Q215</f>
        <v/>
      </c>
      <c r="V215" s="144">
        <f>IFERROR(U215/E215,0)</f>
        <v/>
      </c>
      <c r="W215" s="142">
        <f>IFERROR(VLOOKUP(A215,周报其他费用!$A:$B,2,FALSE)*H215,0)</f>
        <v/>
      </c>
      <c r="X215" s="142" t="n">
        <v>23.637</v>
      </c>
      <c r="Y215" s="144">
        <f>IFERROR(X215/F215,0)</f>
        <v/>
      </c>
      <c r="Z215" s="142">
        <f>X215-J215/1.06</f>
        <v/>
      </c>
      <c r="AA215" s="144">
        <f>IFERROR(Z215/F215,0)</f>
        <v/>
      </c>
      <c r="AB215" s="142">
        <f>X215-(P215+W215)/1.06</f>
        <v/>
      </c>
      <c r="AC215" s="144">
        <f>IFERROR(AB215/F215,0)</f>
        <v/>
      </c>
    </row>
    <row r="216" ht="14.25" customHeight="1" s="65">
      <c r="A216" s="146" t="inlineStr">
        <is>
          <t>7.6-7.12</t>
        </is>
      </c>
      <c r="B216" s="147" t="n">
        <v>937005385662</v>
      </c>
      <c r="C216" s="146" t="inlineStr">
        <is>
          <t>日式袋面</t>
        </is>
      </c>
      <c r="D216" s="146" t="inlineStr">
        <is>
          <t>进口营多正品捞面日式鸡肉鸡汤辛辣味袋装泡面辣味速食方便面汤面</t>
        </is>
      </c>
      <c r="E216" s="148" t="n">
        <v>141.6</v>
      </c>
      <c r="F216" s="148">
        <f>IFERROR(E216/1.13,0)</f>
        <v/>
      </c>
      <c r="G216" s="149" t="n">
        <v>7</v>
      </c>
      <c r="H216" s="150">
        <f>IFERROR(G216/SUMIF($A:$A,A216,$G:$G),0)</f>
        <v/>
      </c>
      <c r="I216" s="148">
        <f>IFERROR(E216/G216,0)</f>
        <v/>
      </c>
      <c r="J216" s="148" t="n">
        <v>19.0537759242561</v>
      </c>
      <c r="K216" s="148" t="n">
        <v>5.8180793507665</v>
      </c>
      <c r="L216" s="151">
        <f>IFERROR(K216/J216,0)</f>
        <v/>
      </c>
      <c r="M216" s="148" t="n">
        <v>3.2605703336339</v>
      </c>
      <c r="N216" s="148" t="n">
        <v>8.58730838593327</v>
      </c>
      <c r="O216" s="151">
        <f>IFERROR(N216/M216,0)</f>
        <v/>
      </c>
      <c r="P216" s="148">
        <f>J216+M216</f>
        <v/>
      </c>
      <c r="Q216" s="148">
        <f>K216+N216</f>
        <v/>
      </c>
      <c r="R216" s="151">
        <f>IFERROR(Q216/P216,0)</f>
        <v/>
      </c>
      <c r="S216" s="150">
        <f>IFERROR(P216/SUMIF($A:$A,A216,$P:$P),0)</f>
        <v/>
      </c>
      <c r="T216" s="150">
        <f>IFERROR(P216/E216,0)</f>
        <v/>
      </c>
      <c r="U216" s="148">
        <f>E216-Q216</f>
        <v/>
      </c>
      <c r="V216" s="150">
        <f>IFERROR(U216/E216,0)</f>
        <v/>
      </c>
      <c r="W216" s="148">
        <f>IFERROR(VLOOKUP(A216,周报其他费用!$A:$B,2,FALSE)*H216,0)</f>
        <v/>
      </c>
      <c r="X216" s="148" t="n">
        <v>15.209</v>
      </c>
      <c r="Y216" s="150">
        <f>IFERROR(X216/F216,0)</f>
        <v/>
      </c>
      <c r="Z216" s="148">
        <f>X216-J216/1.06</f>
        <v/>
      </c>
      <c r="AA216" s="150">
        <f>IFERROR(Z216/F216,0)</f>
        <v/>
      </c>
      <c r="AB216" s="148">
        <f>X216-(P216+W216)/1.06</f>
        <v/>
      </c>
      <c r="AC216" s="150">
        <f>IFERROR(AB216/F216,0)</f>
        <v/>
      </c>
    </row>
    <row r="217" ht="14.25" customHeight="1" s="65">
      <c r="A217" s="140" t="inlineStr">
        <is>
          <t>7.6-7.12</t>
        </is>
      </c>
      <c r="B217" s="141" t="n">
        <v>886856687067</v>
      </c>
      <c r="C217" s="140" t="inlineStr">
        <is>
          <t>大骨</t>
        </is>
      </c>
      <c r="D217" s="140" t="inlineStr">
        <is>
          <t>营多捞面牛系列大骨牛肉味方便面食品泡面拉面汤面宿舍宵夜旅行</t>
        </is>
      </c>
      <c r="E217" s="142" t="n">
        <v>151.46</v>
      </c>
      <c r="F217" s="142">
        <f>IFERROR(E217/1.13,0)</f>
        <v/>
      </c>
      <c r="G217" s="143" t="n">
        <v>7</v>
      </c>
      <c r="H217" s="144">
        <f>IFERROR(G217/SUMIF($A:$A,A217,$G:$G),0)</f>
        <v/>
      </c>
      <c r="I217" s="142">
        <f>IFERROR(E217/G217,0)</f>
        <v/>
      </c>
      <c r="J217" s="142" t="n">
        <v>5.9637759242561</v>
      </c>
      <c r="K217" s="142" t="n">
        <v>5.8180793507665</v>
      </c>
      <c r="L217" s="145">
        <f>IFERROR(K217/J217,0)</f>
        <v/>
      </c>
      <c r="M217" s="142" t="n">
        <v>3.2605703336339</v>
      </c>
      <c r="N217" s="142" t="n">
        <v>8.58730838593327</v>
      </c>
      <c r="O217" s="145">
        <f>IFERROR(N217/M217,0)</f>
        <v/>
      </c>
      <c r="P217" s="142">
        <f>J217+M217</f>
        <v/>
      </c>
      <c r="Q217" s="142">
        <f>K217+N217</f>
        <v/>
      </c>
      <c r="R217" s="145">
        <f>IFERROR(Q217/P217,0)</f>
        <v/>
      </c>
      <c r="S217" s="144">
        <f>IFERROR(P217/SUMIF($A:$A,A217,$P:$P),0)</f>
        <v/>
      </c>
      <c r="T217" s="144">
        <f>IFERROR(P217/E217,0)</f>
        <v/>
      </c>
      <c r="U217" s="142">
        <f>E217-Q217</f>
        <v/>
      </c>
      <c r="V217" s="144">
        <f>IFERROR(U217/E217,0)</f>
        <v/>
      </c>
      <c r="W217" s="142">
        <f>IFERROR(VLOOKUP(A217,周报其他费用!$A:$B,2,FALSE)*H217,0)</f>
        <v/>
      </c>
      <c r="X217" s="142" t="n">
        <v>20.033</v>
      </c>
      <c r="Y217" s="144">
        <f>IFERROR(X217/F217,0)</f>
        <v/>
      </c>
      <c r="Z217" s="142">
        <f>X217-J217/1.06</f>
        <v/>
      </c>
      <c r="AA217" s="144">
        <f>IFERROR(Z217/F217,0)</f>
        <v/>
      </c>
      <c r="AB217" s="142">
        <f>X217-(P217+W217)/1.06</f>
        <v/>
      </c>
      <c r="AC217" s="144">
        <f>IFERROR(AB217/F217,0)</f>
        <v/>
      </c>
    </row>
    <row r="218" ht="14.25" customHeight="1" s="65">
      <c r="A218" s="146" t="inlineStr">
        <is>
          <t>7.6-7.12</t>
        </is>
      </c>
      <c r="B218" s="147" t="n">
        <v>932687928859</v>
      </c>
      <c r="C218" s="146" t="inlineStr">
        <is>
          <t>8包组合</t>
        </is>
      </c>
      <c r="D218" s="146" t="inlineStr">
        <is>
          <t>营多捞面八口味袋装泡面拌面速食面干拌面方便面宿舍宵夜速食家用</t>
        </is>
      </c>
      <c r="E218" s="148" t="n">
        <v>156.85</v>
      </c>
      <c r="F218" s="148">
        <f>IFERROR(E218/1.13,0)</f>
        <v/>
      </c>
      <c r="G218" s="149" t="n">
        <v>6</v>
      </c>
      <c r="H218" s="150">
        <f>IFERROR(G218/SUMIF($A:$A,A218,$G:$G),0)</f>
        <v/>
      </c>
      <c r="I218" s="148">
        <f>IFERROR(E218/G218,0)</f>
        <v/>
      </c>
      <c r="J218" s="148" t="n">
        <v>5.63180793507665</v>
      </c>
      <c r="K218" s="148" t="n">
        <v>66.88692515779989</v>
      </c>
      <c r="L218" s="151">
        <f>IFERROR(K218/J218,0)</f>
        <v/>
      </c>
      <c r="M218" s="148" t="n">
        <v>2.7947745716862</v>
      </c>
      <c r="N218" s="148" t="n">
        <v>7.36055004508566</v>
      </c>
      <c r="O218" s="151">
        <f>IFERROR(N218/M218,0)</f>
        <v/>
      </c>
      <c r="P218" s="148">
        <f>J218+M218</f>
        <v/>
      </c>
      <c r="Q218" s="148">
        <f>K218+N218</f>
        <v/>
      </c>
      <c r="R218" s="151">
        <f>IFERROR(Q218/P218,0)</f>
        <v/>
      </c>
      <c r="S218" s="150">
        <f>IFERROR(P218/SUMIF($A:$A,A218,$P:$P),0)</f>
        <v/>
      </c>
      <c r="T218" s="150">
        <f>IFERROR(P218/E218,0)</f>
        <v/>
      </c>
      <c r="U218" s="148">
        <f>E218-Q218</f>
        <v/>
      </c>
      <c r="V218" s="150">
        <f>IFERROR(U218/E218,0)</f>
        <v/>
      </c>
      <c r="W218" s="148">
        <f>IFERROR(VLOOKUP(A218,周报其他费用!$A:$B,2,FALSE)*H218,0)</f>
        <v/>
      </c>
      <c r="X218" s="148" t="n">
        <v>23.807</v>
      </c>
      <c r="Y218" s="150">
        <f>IFERROR(X218/F218,0)</f>
        <v/>
      </c>
      <c r="Z218" s="148">
        <f>X218-J218/1.06</f>
        <v/>
      </c>
      <c r="AA218" s="150">
        <f>IFERROR(Z218/F218,0)</f>
        <v/>
      </c>
      <c r="AB218" s="148">
        <f>X218-(P218+W218)/1.06</f>
        <v/>
      </c>
      <c r="AC218" s="150">
        <f>IFERROR(AB218/F218,0)</f>
        <v/>
      </c>
    </row>
    <row r="219" ht="14.25" customHeight="1" s="65">
      <c r="A219" s="140" t="inlineStr">
        <is>
          <t>7.6-7.12</t>
        </is>
      </c>
      <c r="B219" s="141" t="n">
        <v>649731447266</v>
      </c>
      <c r="C219" s="140" t="inlineStr">
        <is>
          <t>20包经典/牛系列</t>
        </is>
      </c>
      <c r="D219" s="140" t="inlineStr">
        <is>
          <t>营多印尼进口营多捞面方便面火鸡面干拌面20包宿舍速食泡面夜宵</t>
        </is>
      </c>
      <c r="E219" s="142" t="n">
        <v>289.95</v>
      </c>
      <c r="F219" s="142">
        <f>IFERROR(E219/1.13,0)</f>
        <v/>
      </c>
      <c r="G219" s="143" t="n">
        <v>6</v>
      </c>
      <c r="H219" s="144">
        <f>IFERROR(G219/SUMIF($A:$A,A219,$G:$G),0)</f>
        <v/>
      </c>
      <c r="I219" s="142">
        <f>IFERROR(E219/G219,0)</f>
        <v/>
      </c>
      <c r="J219" s="142" t="n">
        <v>18.5218079350767</v>
      </c>
      <c r="K219" s="142" t="n">
        <v>53.8869251577999</v>
      </c>
      <c r="L219" s="145">
        <f>IFERROR(K219/J219,0)</f>
        <v/>
      </c>
      <c r="M219" s="142" t="n">
        <v>2.7947745716862</v>
      </c>
      <c r="N219" s="142" t="n">
        <v>7.36055004508566</v>
      </c>
      <c r="O219" s="145">
        <f>IFERROR(N219/M219,0)</f>
        <v/>
      </c>
      <c r="P219" s="142">
        <f>J219+M219</f>
        <v/>
      </c>
      <c r="Q219" s="142">
        <f>K219+N219</f>
        <v/>
      </c>
      <c r="R219" s="145">
        <f>IFERROR(Q219/P219,0)</f>
        <v/>
      </c>
      <c r="S219" s="144">
        <f>IFERROR(P219/SUMIF($A:$A,A219,$P:$P),0)</f>
        <v/>
      </c>
      <c r="T219" s="144">
        <f>IFERROR(P219/E219,0)</f>
        <v/>
      </c>
      <c r="U219" s="142">
        <f>E219-Q219</f>
        <v/>
      </c>
      <c r="V219" s="144">
        <f>IFERROR(U219/E219,0)</f>
        <v/>
      </c>
      <c r="W219" s="142">
        <f>IFERROR(VLOOKUP(A219,周报其他费用!$A:$B,2,FALSE)*H219,0)</f>
        <v/>
      </c>
      <c r="X219" s="142" t="n">
        <v>58.524</v>
      </c>
      <c r="Y219" s="144">
        <f>IFERROR(X219/F219,0)</f>
        <v/>
      </c>
      <c r="Z219" s="142">
        <f>X219-J219/1.06</f>
        <v/>
      </c>
      <c r="AA219" s="144">
        <f>IFERROR(Z219/F219,0)</f>
        <v/>
      </c>
      <c r="AB219" s="142">
        <f>X219-(P219+W219)/1.06</f>
        <v/>
      </c>
      <c r="AC219" s="144">
        <f>IFERROR(AB219/F219,0)</f>
        <v/>
      </c>
    </row>
    <row r="220" ht="14.25" customHeight="1" s="65">
      <c r="A220" s="146" t="inlineStr">
        <is>
          <t>7.6-7.12</t>
        </is>
      </c>
      <c r="B220" s="147" t="n">
        <v>649729851594</v>
      </c>
      <c r="C220" s="146" t="inlineStr">
        <is>
          <t>小规格</t>
        </is>
      </c>
      <c r="D220" s="146" t="inlineStr">
        <is>
          <t>营多捞面袋装8包装泡面宿舍速食面热干面干拌面方便面火鸡面食品</t>
        </is>
      </c>
      <c r="E220" s="148" t="n">
        <v>129.2</v>
      </c>
      <c r="F220" s="148">
        <f>IFERROR(E220/1.13,0)</f>
        <v/>
      </c>
      <c r="G220" s="149" t="n">
        <v>6</v>
      </c>
      <c r="H220" s="150">
        <f>IFERROR(G220/SUMIF($A:$A,A220,$G:$G),0)</f>
        <v/>
      </c>
      <c r="I220" s="148">
        <f>IFERROR(E220/G220,0)</f>
        <v/>
      </c>
      <c r="J220" s="148" t="n">
        <v>4.71180793507665</v>
      </c>
      <c r="K220" s="148" t="n">
        <v>4.98692515779986</v>
      </c>
      <c r="L220" s="151">
        <f>IFERROR(K220/J220,0)</f>
        <v/>
      </c>
      <c r="M220" s="148" t="n">
        <v>2.7947745716862</v>
      </c>
      <c r="N220" s="148" t="n">
        <v>7.36055004508566</v>
      </c>
      <c r="O220" s="151">
        <f>IFERROR(N220/M220,0)</f>
        <v/>
      </c>
      <c r="P220" s="148">
        <f>J220+M220</f>
        <v/>
      </c>
      <c r="Q220" s="148">
        <f>K220+N220</f>
        <v/>
      </c>
      <c r="R220" s="151">
        <f>IFERROR(Q220/P220,0)</f>
        <v/>
      </c>
      <c r="S220" s="150">
        <f>IFERROR(P220/SUMIF($A:$A,A220,$P:$P),0)</f>
        <v/>
      </c>
      <c r="T220" s="150">
        <f>IFERROR(P220/E220,0)</f>
        <v/>
      </c>
      <c r="U220" s="148">
        <f>E220-Q220</f>
        <v/>
      </c>
      <c r="V220" s="150">
        <f>IFERROR(U220/E220,0)</f>
        <v/>
      </c>
      <c r="W220" s="148">
        <f>IFERROR(VLOOKUP(A220,周报其他费用!$A:$B,2,FALSE)*H220,0)</f>
        <v/>
      </c>
      <c r="X220" s="148" t="n">
        <v>17.304</v>
      </c>
      <c r="Y220" s="150">
        <f>IFERROR(X220/F220,0)</f>
        <v/>
      </c>
      <c r="Z220" s="148">
        <f>X220-J220/1.06</f>
        <v/>
      </c>
      <c r="AA220" s="150">
        <f>IFERROR(Z220/F220,0)</f>
        <v/>
      </c>
      <c r="AB220" s="148">
        <f>X220-(P220+W220)/1.06</f>
        <v/>
      </c>
      <c r="AC220" s="150">
        <f>IFERROR(AB220/F220,0)</f>
        <v/>
      </c>
    </row>
    <row r="221" ht="14.25" customHeight="1" s="65">
      <c r="A221" s="140" t="inlineStr">
        <is>
          <t>7.6-7.12</t>
        </is>
      </c>
      <c r="B221" s="141" t="n">
        <v>969433743398</v>
      </c>
      <c r="C221" s="140" t="inlineStr">
        <is>
          <t>韩蘑菇</t>
        </is>
      </c>
      <c r="D221" s="140" t="inlineStr">
        <is>
          <t>新品营多捞面韩式辣蘑菇汤面泡面方便面速食干拌面宿舍宵夜旅行</t>
        </is>
      </c>
      <c r="E221" s="142" t="n">
        <v>95.75</v>
      </c>
      <c r="F221" s="142">
        <f>IFERROR(E221/1.13,0)</f>
        <v/>
      </c>
      <c r="G221" s="143" t="n">
        <v>5</v>
      </c>
      <c r="H221" s="144">
        <f>IFERROR(G221/SUMIF($A:$A,A221,$G:$G),0)</f>
        <v/>
      </c>
      <c r="I221" s="142">
        <f>IFERROR(E221/G221,0)</f>
        <v/>
      </c>
      <c r="J221" s="142" t="n">
        <v>6.28983994589721</v>
      </c>
      <c r="K221" s="142" t="n">
        <v>36.9157709648332</v>
      </c>
      <c r="L221" s="145">
        <f>IFERROR(K221/J221,0)</f>
        <v/>
      </c>
      <c r="M221" s="142" t="n">
        <v>2.3289788097385</v>
      </c>
      <c r="N221" s="142" t="n">
        <v>6.13379170423805</v>
      </c>
      <c r="O221" s="145">
        <f>IFERROR(N221/M221,0)</f>
        <v/>
      </c>
      <c r="P221" s="142">
        <f>J221+M221</f>
        <v/>
      </c>
      <c r="Q221" s="142">
        <f>K221+N221</f>
        <v/>
      </c>
      <c r="R221" s="145">
        <f>IFERROR(Q221/P221,0)</f>
        <v/>
      </c>
      <c r="S221" s="144">
        <f>IFERROR(P221/SUMIF($A:$A,A221,$P:$P),0)</f>
        <v/>
      </c>
      <c r="T221" s="144">
        <f>IFERROR(P221/E221,0)</f>
        <v/>
      </c>
      <c r="U221" s="142">
        <f>E221-Q221</f>
        <v/>
      </c>
      <c r="V221" s="144">
        <f>IFERROR(U221/E221,0)</f>
        <v/>
      </c>
      <c r="W221" s="142">
        <f>IFERROR(VLOOKUP(A221,周报其他费用!$A:$B,2,FALSE)*H221,0)</f>
        <v/>
      </c>
      <c r="X221" s="142" t="n">
        <v>10.58</v>
      </c>
      <c r="Y221" s="144">
        <f>IFERROR(X221/F221,0)</f>
        <v/>
      </c>
      <c r="Z221" s="142">
        <f>X221-J221/1.06</f>
        <v/>
      </c>
      <c r="AA221" s="144">
        <f>IFERROR(Z221/F221,0)</f>
        <v/>
      </c>
      <c r="AB221" s="142">
        <f>X221-(P221+W221)/1.06</f>
        <v/>
      </c>
      <c r="AC221" s="144">
        <f>IFERROR(AB221/F221,0)</f>
        <v/>
      </c>
    </row>
    <row r="222" ht="14.25" customHeight="1" s="65">
      <c r="A222" s="146" t="inlineStr">
        <is>
          <t>7.6-7.12</t>
        </is>
      </c>
      <c r="B222" s="147" t="n">
        <v>1028450344901</v>
      </c>
      <c r="C222" s="146" t="inlineStr">
        <is>
          <t>韩式火鸡</t>
        </is>
      </c>
      <c r="D222" s="146" t="inlineStr">
        <is>
          <t>营多韩式火鸡面袋装拌面干拌面泡面方便面速食面宿舍宵夜旅行</t>
        </is>
      </c>
      <c r="E222" s="148" t="n">
        <v>136.4</v>
      </c>
      <c r="F222" s="148">
        <f>IFERROR(E222/1.13,0)</f>
        <v/>
      </c>
      <c r="G222" s="149" t="n">
        <v>5</v>
      </c>
      <c r="H222" s="150">
        <f>IFERROR(G222/SUMIF($A:$A,A222,$G:$G),0)</f>
        <v/>
      </c>
      <c r="I222" s="148">
        <f>IFERROR(E222/G222,0)</f>
        <v/>
      </c>
      <c r="J222" s="148" t="n">
        <v>22.5598399458972</v>
      </c>
      <c r="K222" s="148" t="n">
        <v>95.7457709648332</v>
      </c>
      <c r="L222" s="151">
        <f>IFERROR(K222/J222,0)</f>
        <v/>
      </c>
      <c r="M222" s="148" t="n">
        <v>2.3289788097385</v>
      </c>
      <c r="N222" s="148" t="n">
        <v>6.13379170423805</v>
      </c>
      <c r="O222" s="151">
        <f>IFERROR(N222/M222,0)</f>
        <v/>
      </c>
      <c r="P222" s="148">
        <f>J222+M222</f>
        <v/>
      </c>
      <c r="Q222" s="148">
        <f>K222+N222</f>
        <v/>
      </c>
      <c r="R222" s="151">
        <f>IFERROR(Q222/P222,0)</f>
        <v/>
      </c>
      <c r="S222" s="150">
        <f>IFERROR(P222/SUMIF($A:$A,A222,$P:$P),0)</f>
        <v/>
      </c>
      <c r="T222" s="150">
        <f>IFERROR(P222/E222,0)</f>
        <v/>
      </c>
      <c r="U222" s="148">
        <f>E222-Q222</f>
        <v/>
      </c>
      <c r="V222" s="150">
        <f>IFERROR(U222/E222,0)</f>
        <v/>
      </c>
      <c r="W222" s="148">
        <f>IFERROR(VLOOKUP(A222,周报其他费用!$A:$B,2,FALSE)*H222,0)</f>
        <v/>
      </c>
      <c r="X222" s="148" t="n">
        <v>25.742</v>
      </c>
      <c r="Y222" s="150">
        <f>IFERROR(X222/F222,0)</f>
        <v/>
      </c>
      <c r="Z222" s="148">
        <f>X222-J222/1.06</f>
        <v/>
      </c>
      <c r="AA222" s="150">
        <f>IFERROR(Z222/F222,0)</f>
        <v/>
      </c>
      <c r="AB222" s="148">
        <f>X222-(P222+W222)/1.06</f>
        <v/>
      </c>
      <c r="AC222" s="150">
        <f>IFERROR(AB222/F222,0)</f>
        <v/>
      </c>
    </row>
    <row r="223" ht="14.25" customHeight="1" s="65">
      <c r="A223" s="140" t="inlineStr">
        <is>
          <t>7.6-7.12</t>
        </is>
      </c>
      <c r="B223" s="141" t="n">
        <v>885645733215</v>
      </c>
      <c r="C223" s="140" t="inlineStr">
        <is>
          <t>大骨牛肉</t>
        </is>
      </c>
      <c r="D223" s="140" t="inlineStr">
        <is>
          <t>进口营多大骨番茄牛肉味营多捞面意式泡面宿舍宿舍宵夜速食方便面</t>
        </is>
      </c>
      <c r="E223" s="142" t="n">
        <v>60.38</v>
      </c>
      <c r="F223" s="142">
        <f>IFERROR(E223/1.13,0)</f>
        <v/>
      </c>
      <c r="G223" s="143" t="n">
        <v>4</v>
      </c>
      <c r="H223" s="144">
        <f>IFERROR(G223/SUMIF($A:$A,A223,$G:$G),0)</f>
        <v/>
      </c>
      <c r="I223" s="142">
        <f>IFERROR(E223/G223,0)</f>
        <v/>
      </c>
      <c r="J223" s="142" t="n">
        <v>3.83787195671777</v>
      </c>
      <c r="K223" s="142" t="n">
        <v>77.3746167718666</v>
      </c>
      <c r="L223" s="145">
        <f>IFERROR(K223/J223,0)</f>
        <v/>
      </c>
      <c r="M223" s="142" t="n">
        <v>1.8631830477908</v>
      </c>
      <c r="N223" s="142" t="n">
        <v>4.90703336339044</v>
      </c>
      <c r="O223" s="145">
        <f>IFERROR(N223/M223,0)</f>
        <v/>
      </c>
      <c r="P223" s="142">
        <f>J223+M223</f>
        <v/>
      </c>
      <c r="Q223" s="142">
        <f>K223+N223</f>
        <v/>
      </c>
      <c r="R223" s="145">
        <f>IFERROR(Q223/P223,0)</f>
        <v/>
      </c>
      <c r="S223" s="144">
        <f>IFERROR(P223/SUMIF($A:$A,A223,$P:$P),0)</f>
        <v/>
      </c>
      <c r="T223" s="144">
        <f>IFERROR(P223/E223,0)</f>
        <v/>
      </c>
      <c r="U223" s="142">
        <f>E223-Q223</f>
        <v/>
      </c>
      <c r="V223" s="144">
        <f>IFERROR(U223/E223,0)</f>
        <v/>
      </c>
      <c r="W223" s="142">
        <f>IFERROR(VLOOKUP(A223,周报其他费用!$A:$B,2,FALSE)*H223,0)</f>
        <v/>
      </c>
      <c r="X223" s="142" t="n">
        <v>0.885</v>
      </c>
      <c r="Y223" s="144">
        <f>IFERROR(X223/F223,0)</f>
        <v/>
      </c>
      <c r="Z223" s="142">
        <f>X223-J223/1.06</f>
        <v/>
      </c>
      <c r="AA223" s="144">
        <f>IFERROR(Z223/F223,0)</f>
        <v/>
      </c>
      <c r="AB223" s="142">
        <f>X223-(P223+W223)/1.06</f>
        <v/>
      </c>
      <c r="AC223" s="144">
        <f>IFERROR(AB223/F223,0)</f>
        <v/>
      </c>
    </row>
    <row r="224" ht="14.25" customHeight="1" s="65">
      <c r="A224" s="146" t="inlineStr">
        <is>
          <t>7.6-7.12</t>
        </is>
      </c>
      <c r="B224" s="147" t="n">
        <v>869217868453</v>
      </c>
      <c r="C224" s="146" t="inlineStr">
        <is>
          <t>韩式杯面</t>
        </is>
      </c>
      <c r="D224" s="146" t="inlineStr">
        <is>
          <t>营多捞面韩式甜辣炸鸡辣蘑菇杯面方便面拌面泡面宿舍速食面</t>
        </is>
      </c>
      <c r="E224" s="148" t="n">
        <v>111.61</v>
      </c>
      <c r="F224" s="148">
        <f>IFERROR(E224/1.13,0)</f>
        <v/>
      </c>
      <c r="G224" s="149" t="n">
        <v>3</v>
      </c>
      <c r="H224" s="150">
        <f>IFERROR(G224/SUMIF($A:$A,A224,$G:$G),0)</f>
        <v/>
      </c>
      <c r="I224" s="148">
        <f>IFERROR(E224/G224,0)</f>
        <v/>
      </c>
      <c r="J224" s="148" t="n">
        <v>6.68590396753833</v>
      </c>
      <c r="K224" s="148" t="n">
        <v>99.9534625788999</v>
      </c>
      <c r="L224" s="151">
        <f>IFERROR(K224/J224,0)</f>
        <v/>
      </c>
      <c r="M224" s="148" t="n">
        <v>1.3973872858431</v>
      </c>
      <c r="N224" s="148" t="n">
        <v>3.68027502254283</v>
      </c>
      <c r="O224" s="151">
        <f>IFERROR(N224/M224,0)</f>
        <v/>
      </c>
      <c r="P224" s="148">
        <f>J224+M224</f>
        <v/>
      </c>
      <c r="Q224" s="148">
        <f>K224+N224</f>
        <v/>
      </c>
      <c r="R224" s="151">
        <f>IFERROR(Q224/P224,0)</f>
        <v/>
      </c>
      <c r="S224" s="150">
        <f>IFERROR(P224/SUMIF($A:$A,A224,$P:$P),0)</f>
        <v/>
      </c>
      <c r="T224" s="150">
        <f>IFERROR(P224/E224,0)</f>
        <v/>
      </c>
      <c r="U224" s="148">
        <f>E224-Q224</f>
        <v/>
      </c>
      <c r="V224" s="150">
        <f>IFERROR(U224/E224,0)</f>
        <v/>
      </c>
      <c r="W224" s="148">
        <f>IFERROR(VLOOKUP(A224,周报其他费用!$A:$B,2,FALSE)*H224,0)</f>
        <v/>
      </c>
      <c r="X224" s="148" t="n">
        <v>15.287</v>
      </c>
      <c r="Y224" s="150">
        <f>IFERROR(X224/F224,0)</f>
        <v/>
      </c>
      <c r="Z224" s="148">
        <f>X224-J224/1.06</f>
        <v/>
      </c>
      <c r="AA224" s="150">
        <f>IFERROR(Z224/F224,0)</f>
        <v/>
      </c>
      <c r="AB224" s="148">
        <f>X224-(P224+W224)/1.06</f>
        <v/>
      </c>
      <c r="AC224" s="150">
        <f>IFERROR(AB224/F224,0)</f>
        <v/>
      </c>
    </row>
    <row r="225" ht="14.25" customHeight="1" s="65">
      <c r="A225" s="140" t="inlineStr">
        <is>
          <t>7.6-7.12</t>
        </is>
      </c>
      <c r="B225" s="141" t="n">
        <v>947413291596</v>
      </c>
      <c r="C225" s="140" t="inlineStr">
        <is>
          <t>杯面</t>
        </is>
      </c>
      <c r="D225" s="140" t="inlineStr">
        <is>
          <t>营多捞面杯装方便面泡面速食干拌面原味整箱批发印尼进口桶装拌面</t>
        </is>
      </c>
      <c r="E225" s="142" t="n">
        <v>53.57</v>
      </c>
      <c r="F225" s="142">
        <f>IFERROR(E225/1.13,0)</f>
        <v/>
      </c>
      <c r="G225" s="143" t="n">
        <v>2</v>
      </c>
      <c r="H225" s="144">
        <f>IFERROR(G225/SUMIF($A:$A,A225,$G:$G),0)</f>
        <v/>
      </c>
      <c r="I225" s="142">
        <f>IFERROR(E225/G225,0)</f>
        <v/>
      </c>
      <c r="J225" s="142" t="n">
        <v>13.4939359783589</v>
      </c>
      <c r="K225" s="142" t="n">
        <v>1.66230838593329</v>
      </c>
      <c r="L225" s="145">
        <f>IFERROR(K225/J225,0)</f>
        <v/>
      </c>
      <c r="M225" s="142" t="n">
        <v>0.931591523895401</v>
      </c>
      <c r="N225" s="142" t="n">
        <v>2.45351668169522</v>
      </c>
      <c r="O225" s="145">
        <f>IFERROR(N225/M225,0)</f>
        <v/>
      </c>
      <c r="P225" s="142">
        <f>J225+M225</f>
        <v/>
      </c>
      <c r="Q225" s="142">
        <f>K225+N225</f>
        <v/>
      </c>
      <c r="R225" s="145">
        <f>IFERROR(Q225/P225,0)</f>
        <v/>
      </c>
      <c r="S225" s="144">
        <f>IFERROR(P225/SUMIF($A:$A,A225,$P:$P),0)</f>
        <v/>
      </c>
      <c r="T225" s="144">
        <f>IFERROR(P225/E225,0)</f>
        <v/>
      </c>
      <c r="U225" s="142">
        <f>E225-Q225</f>
        <v/>
      </c>
      <c r="V225" s="144">
        <f>IFERROR(U225/E225,0)</f>
        <v/>
      </c>
      <c r="W225" s="142">
        <f>IFERROR(VLOOKUP(A225,周报其他费用!$A:$B,2,FALSE)*H225,0)</f>
        <v/>
      </c>
      <c r="X225" s="142" t="n">
        <v>5.564</v>
      </c>
      <c r="Y225" s="144">
        <f>IFERROR(X225/F225,0)</f>
        <v/>
      </c>
      <c r="Z225" s="142">
        <f>X225-J225/1.06</f>
        <v/>
      </c>
      <c r="AA225" s="144">
        <f>IFERROR(Z225/F225,0)</f>
        <v/>
      </c>
      <c r="AB225" s="142">
        <f>X225-(P225+W225)/1.06</f>
        <v/>
      </c>
      <c r="AC225" s="144">
        <f>IFERROR(AB225/F225,0)</f>
        <v/>
      </c>
    </row>
    <row r="226" ht="14.25" customHeight="1" s="65">
      <c r="A226" s="146" t="inlineStr">
        <is>
          <t>7.6-7.12</t>
        </is>
      </c>
      <c r="B226" s="147" t="n">
        <v>903183018417</v>
      </c>
      <c r="C226" s="146" t="inlineStr">
        <is>
          <t>七口味混搭</t>
        </is>
      </c>
      <c r="D226" s="146" t="inlineStr">
        <is>
          <t>进口营多捞面汤面拌面七口味混合方便面速拉面宿舍拌面泡面食食品</t>
        </is>
      </c>
      <c r="E226" s="148" t="n">
        <v>33.43</v>
      </c>
      <c r="F226" s="148">
        <f>IFERROR(E226/1.13,0)</f>
        <v/>
      </c>
      <c r="G226" s="149" t="n">
        <v>2</v>
      </c>
      <c r="H226" s="150">
        <f>IFERROR(G226/SUMIF($A:$A,A226,$G:$G),0)</f>
        <v/>
      </c>
      <c r="I226" s="148">
        <f>IFERROR(E226/G226,0)</f>
        <v/>
      </c>
      <c r="J226" s="148" t="n">
        <v>13.8739359783589</v>
      </c>
      <c r="K226" s="148" t="n">
        <v>1.66230838593329</v>
      </c>
      <c r="L226" s="151">
        <f>IFERROR(K226/J226,0)</f>
        <v/>
      </c>
      <c r="M226" s="148" t="n">
        <v>0.931591523895401</v>
      </c>
      <c r="N226" s="148" t="n">
        <v>2.45351668169522</v>
      </c>
      <c r="O226" s="151">
        <f>IFERROR(N226/M226,0)</f>
        <v/>
      </c>
      <c r="P226" s="148">
        <f>J226+M226</f>
        <v/>
      </c>
      <c r="Q226" s="148">
        <f>K226+N226</f>
        <v/>
      </c>
      <c r="R226" s="151">
        <f>IFERROR(Q226/P226,0)</f>
        <v/>
      </c>
      <c r="S226" s="150">
        <f>IFERROR(P226/SUMIF($A:$A,A226,$P:$P),0)</f>
        <v/>
      </c>
      <c r="T226" s="150">
        <f>IFERROR(P226/E226,0)</f>
        <v/>
      </c>
      <c r="U226" s="148">
        <f>E226-Q226</f>
        <v/>
      </c>
      <c r="V226" s="150">
        <f>IFERROR(U226/E226,0)</f>
        <v/>
      </c>
      <c r="W226" s="148">
        <f>IFERROR(VLOOKUP(A226,周报其他费用!$A:$B,2,FALSE)*H226,0)</f>
        <v/>
      </c>
      <c r="X226" s="148" t="n">
        <v>-0.904</v>
      </c>
      <c r="Y226" s="150">
        <f>IFERROR(X226/F226,0)</f>
        <v/>
      </c>
      <c r="Z226" s="148">
        <f>X226-J226/1.06</f>
        <v/>
      </c>
      <c r="AA226" s="150">
        <f>IFERROR(Z226/F226,0)</f>
        <v/>
      </c>
      <c r="AB226" s="148">
        <f>X226-(P226+W226)/1.06</f>
        <v/>
      </c>
      <c r="AC226" s="150">
        <f>IFERROR(AB226/F226,0)</f>
        <v/>
      </c>
    </row>
    <row r="227" ht="14.25" customHeight="1" s="65">
      <c r="A227" s="140" t="inlineStr">
        <is>
          <t>7.6-7.12</t>
        </is>
      </c>
      <c r="B227" s="141" t="n">
        <v>775016827115</v>
      </c>
      <c r="C227" s="140" t="inlineStr">
        <is>
          <t>杯面混搭</t>
        </is>
      </c>
      <c r="D227" s="140" t="inlineStr">
        <is>
          <t>进口营多原味杯面日式杯面韩式杯面泡面方便面汤面宿舍速食夜宵</t>
        </is>
      </c>
      <c r="E227" s="142" t="n">
        <v>55.8</v>
      </c>
      <c r="F227" s="142">
        <f>IFERROR(E227/1.13,0)</f>
        <v/>
      </c>
      <c r="G227" s="143" t="n">
        <v>2</v>
      </c>
      <c r="H227" s="144">
        <f>IFERROR(G227/SUMIF($A:$A,A227,$G:$G),0)</f>
        <v/>
      </c>
      <c r="I227" s="142">
        <f>IFERROR(E227/G227,0)</f>
        <v/>
      </c>
      <c r="J227" s="142" t="n">
        <v>2.10393597835888</v>
      </c>
      <c r="K227" s="142" t="n">
        <v>1.66230838593329</v>
      </c>
      <c r="L227" s="145">
        <f>IFERROR(K227/J227,0)</f>
        <v/>
      </c>
      <c r="M227" s="142" t="n">
        <v>0.931591523895401</v>
      </c>
      <c r="N227" s="142" t="n">
        <v>2.45351668169522</v>
      </c>
      <c r="O227" s="145">
        <f>IFERROR(N227/M227,0)</f>
        <v/>
      </c>
      <c r="P227" s="142">
        <f>J227+M227</f>
        <v/>
      </c>
      <c r="Q227" s="142">
        <f>K227+N227</f>
        <v/>
      </c>
      <c r="R227" s="145">
        <f>IFERROR(Q227/P227,0)</f>
        <v/>
      </c>
      <c r="S227" s="144">
        <f>IFERROR(P227/SUMIF($A:$A,A227,$P:$P),0)</f>
        <v/>
      </c>
      <c r="T227" s="144">
        <f>IFERROR(P227/E227,0)</f>
        <v/>
      </c>
      <c r="U227" s="142">
        <f>E227-Q227</f>
        <v/>
      </c>
      <c r="V227" s="144">
        <f>IFERROR(U227/E227,0)</f>
        <v/>
      </c>
      <c r="W227" s="142">
        <f>IFERROR(VLOOKUP(A227,周报其他费用!$A:$B,2,FALSE)*H227,0)</f>
        <v/>
      </c>
      <c r="X227" s="142" t="n">
        <v>7.3</v>
      </c>
      <c r="Y227" s="144">
        <f>IFERROR(X227/F227,0)</f>
        <v/>
      </c>
      <c r="Z227" s="142">
        <f>X227-J227/1.06</f>
        <v/>
      </c>
      <c r="AA227" s="144">
        <f>IFERROR(Z227/F227,0)</f>
        <v/>
      </c>
      <c r="AB227" s="142">
        <f>X227-(P227+W227)/1.06</f>
        <v/>
      </c>
      <c r="AC227" s="144">
        <f>IFERROR(AB227/F227,0)</f>
        <v/>
      </c>
    </row>
    <row r="228" ht="14.25" customHeight="1" s="65">
      <c r="A228" s="146" t="inlineStr">
        <is>
          <t>7.6-7.12</t>
        </is>
      </c>
      <c r="B228" s="147" t="n">
        <v>916072786304</v>
      </c>
      <c r="C228" s="146" t="inlineStr">
        <is>
          <t>小规格</t>
        </is>
      </c>
      <c r="D228" s="146" t="inlineStr">
        <is>
          <t>营多印尼进口营多捞面方便面火鸡面干拌面10包宿舍速食泡面夜宵</t>
        </is>
      </c>
      <c r="E228" s="148" t="n">
        <v>22.38</v>
      </c>
      <c r="F228" s="148">
        <f>IFERROR(E228/1.13,0)</f>
        <v/>
      </c>
      <c r="G228" s="149" t="n">
        <v>1</v>
      </c>
      <c r="H228" s="150">
        <f>IFERROR(G228/SUMIF($A:$A,A228,$G:$G),0)</f>
        <v/>
      </c>
      <c r="I228" s="148">
        <f>IFERROR(E228/G228,0)</f>
        <v/>
      </c>
      <c r="J228" s="148" t="n">
        <v>0.431967989179442</v>
      </c>
      <c r="K228" s="148" t="n">
        <v>0.8311541929666429</v>
      </c>
      <c r="L228" s="151">
        <f>IFERROR(K228/J228,0)</f>
        <v/>
      </c>
      <c r="M228" s="148" t="n">
        <v>0.465795761947701</v>
      </c>
      <c r="N228" s="148" t="n">
        <v>1.22675834084761</v>
      </c>
      <c r="O228" s="151">
        <f>IFERROR(N228/M228,0)</f>
        <v/>
      </c>
      <c r="P228" s="148">
        <f>J228+M228</f>
        <v/>
      </c>
      <c r="Q228" s="148">
        <f>K228+N228</f>
        <v/>
      </c>
      <c r="R228" s="151">
        <f>IFERROR(Q228/P228,0)</f>
        <v/>
      </c>
      <c r="S228" s="150">
        <f>IFERROR(P228/SUMIF($A:$A,A228,$P:$P),0)</f>
        <v/>
      </c>
      <c r="T228" s="150">
        <f>IFERROR(P228/E228,0)</f>
        <v/>
      </c>
      <c r="U228" s="148">
        <f>E228-Q228</f>
        <v/>
      </c>
      <c r="V228" s="150">
        <f>IFERROR(U228/E228,0)</f>
        <v/>
      </c>
      <c r="W228" s="148">
        <f>IFERROR(VLOOKUP(A228,周报其他费用!$A:$B,2,FALSE)*H228,0)</f>
        <v/>
      </c>
      <c r="X228" s="148" t="n">
        <v>1.177</v>
      </c>
      <c r="Y228" s="150">
        <f>IFERROR(X228/F228,0)</f>
        <v/>
      </c>
      <c r="Z228" s="148">
        <f>X228-J228/1.06</f>
        <v/>
      </c>
      <c r="AA228" s="150">
        <f>IFERROR(Z228/F228,0)</f>
        <v/>
      </c>
      <c r="AB228" s="148">
        <f>X228-(P228+W228)/1.06</f>
        <v/>
      </c>
      <c r="AC228" s="150">
        <f>IFERROR(AB228/F228,0)</f>
        <v/>
      </c>
    </row>
    <row r="229" ht="14.25" customHeight="1" s="65">
      <c r="A229" s="140" t="inlineStr">
        <is>
          <t>7.6-7.12</t>
        </is>
      </c>
      <c r="B229" s="141" t="n">
        <v>1014512281808</v>
      </c>
      <c r="C229" s="140" t="inlineStr">
        <is>
          <t>杯面混搭</t>
        </is>
      </c>
      <c r="D229" s="140" t="inlineStr">
        <is>
          <t>营多捞面韩式甜辣炸鸡辣蘑菇杯面方便面拌面泡面宿舍速食面</t>
        </is>
      </c>
      <c r="E229" s="142" t="n">
        <v>55.56</v>
      </c>
      <c r="F229" s="142">
        <f>IFERROR(E229/1.13,0)</f>
        <v/>
      </c>
      <c r="G229" s="143" t="n">
        <v>1</v>
      </c>
      <c r="H229" s="144">
        <f>IFERROR(G229/SUMIF($A:$A,A229,$G:$G),0)</f>
        <v/>
      </c>
      <c r="I229" s="142">
        <f>IFERROR(E229/G229,0)</f>
        <v/>
      </c>
      <c r="J229" s="142" t="n">
        <v>0.481967989179442</v>
      </c>
      <c r="K229" s="142" t="n">
        <v>0.8311541929666429</v>
      </c>
      <c r="L229" s="145">
        <f>IFERROR(K229/J229,0)</f>
        <v/>
      </c>
      <c r="M229" s="142" t="n">
        <v>0.465795761947701</v>
      </c>
      <c r="N229" s="142" t="n">
        <v>1.22675834084761</v>
      </c>
      <c r="O229" s="145">
        <f>IFERROR(N229/M229,0)</f>
        <v/>
      </c>
      <c r="P229" s="142">
        <f>J229+M229</f>
        <v/>
      </c>
      <c r="Q229" s="142">
        <f>K229+N229</f>
        <v/>
      </c>
      <c r="R229" s="145">
        <f>IFERROR(Q229/P229,0)</f>
        <v/>
      </c>
      <c r="S229" s="144">
        <f>IFERROR(P229/SUMIF($A:$A,A229,$P:$P),0)</f>
        <v/>
      </c>
      <c r="T229" s="144">
        <f>IFERROR(P229/E229,0)</f>
        <v/>
      </c>
      <c r="U229" s="142">
        <f>E229-Q229</f>
        <v/>
      </c>
      <c r="V229" s="144">
        <f>IFERROR(U229/E229,0)</f>
        <v/>
      </c>
      <c r="W229" s="142">
        <f>IFERROR(VLOOKUP(A229,周报其他费用!$A:$B,2,FALSE)*H229,0)</f>
        <v/>
      </c>
      <c r="X229" s="142" t="n">
        <v>10.599</v>
      </c>
      <c r="Y229" s="144">
        <f>IFERROR(X229/F229,0)</f>
        <v/>
      </c>
      <c r="Z229" s="142">
        <f>X229-J229/1.06</f>
        <v/>
      </c>
      <c r="AA229" s="144">
        <f>IFERROR(Z229/F229,0)</f>
        <v/>
      </c>
      <c r="AB229" s="142">
        <f>X229-(P229+W229)/1.06</f>
        <v/>
      </c>
      <c r="AC229" s="144">
        <f>IFERROR(AB229/F229,0)</f>
        <v/>
      </c>
    </row>
    <row r="230" ht="14.25" customHeight="1" s="65">
      <c r="A230" s="146" t="inlineStr">
        <is>
          <t>7.6-7.12</t>
        </is>
      </c>
      <c r="B230" s="147" t="n">
        <v>1019572719528</v>
      </c>
      <c r="C230" s="146" t="inlineStr">
        <is>
          <t>杯面混搭</t>
        </is>
      </c>
      <c r="D230" s="146" t="inlineStr">
        <is>
          <t>印尼进口营多捞面杯面原味甜辣蘑菇味整箱速食拌面拉面泡面方便面</t>
        </is>
      </c>
      <c r="E230" s="148" t="n">
        <v>27.25</v>
      </c>
      <c r="F230" s="148">
        <f>IFERROR(E230/1.13,0)</f>
        <v/>
      </c>
      <c r="G230" s="149" t="n">
        <v>1</v>
      </c>
      <c r="H230" s="150">
        <f>IFERROR(G230/SUMIF($A:$A,A230,$G:$G),0)</f>
        <v/>
      </c>
      <c r="I230" s="148">
        <f>IFERROR(E230/G230,0)</f>
        <v/>
      </c>
      <c r="J230" s="148" t="n">
        <v>0.691967989179442</v>
      </c>
      <c r="K230" s="148" t="n">
        <v>0.8311541929666429</v>
      </c>
      <c r="L230" s="151">
        <f>IFERROR(K230/J230,0)</f>
        <v/>
      </c>
      <c r="M230" s="148" t="n">
        <v>0.465795761947701</v>
      </c>
      <c r="N230" s="148" t="n">
        <v>1.22675834084761</v>
      </c>
      <c r="O230" s="151">
        <f>IFERROR(N230/M230,0)</f>
        <v/>
      </c>
      <c r="P230" s="148">
        <f>J230+M230</f>
        <v/>
      </c>
      <c r="Q230" s="148">
        <f>K230+N230</f>
        <v/>
      </c>
      <c r="R230" s="151">
        <f>IFERROR(Q230/P230,0)</f>
        <v/>
      </c>
      <c r="S230" s="150">
        <f>IFERROR(P230/SUMIF($A:$A,A230,$P:$P),0)</f>
        <v/>
      </c>
      <c r="T230" s="150">
        <f>IFERROR(P230/E230,0)</f>
        <v/>
      </c>
      <c r="U230" s="148">
        <f>E230-Q230</f>
        <v/>
      </c>
      <c r="V230" s="150">
        <f>IFERROR(U230/E230,0)</f>
        <v/>
      </c>
      <c r="W230" s="148">
        <f>IFERROR(VLOOKUP(A230,周报其他费用!$A:$B,2,FALSE)*H230,0)</f>
        <v/>
      </c>
      <c r="X230" s="148" t="n">
        <v>3.826</v>
      </c>
      <c r="Y230" s="150">
        <f>IFERROR(X230/F230,0)</f>
        <v/>
      </c>
      <c r="Z230" s="148">
        <f>X230-J230/1.06</f>
        <v/>
      </c>
      <c r="AA230" s="150">
        <f>IFERROR(Z230/F230,0)</f>
        <v/>
      </c>
      <c r="AB230" s="148">
        <f>X230-(P230+W230)/1.06</f>
        <v/>
      </c>
      <c r="AC230" s="150">
        <f>IFERROR(AB230/F230,0)</f>
        <v/>
      </c>
    </row>
    <row r="231" ht="14.25" customHeight="1" s="65">
      <c r="A231" s="140" t="inlineStr">
        <is>
          <t>7.6-7.12</t>
        </is>
      </c>
      <c r="B231" s="141" t="n">
        <v>976467954327</v>
      </c>
      <c r="C231" s="140" t="inlineStr">
        <is>
          <t>十全十美</t>
        </is>
      </c>
      <c r="D231" s="140" t="inlineStr">
        <is>
          <t>营多捞面多口味袋装泡面拌面速食面干拌面方便面速食宵夜宿舍旅行</t>
        </is>
      </c>
      <c r="E231" s="142" t="n">
        <v>9.41</v>
      </c>
      <c r="F231" s="142">
        <f>IFERROR(E231/1.13,0)</f>
        <v/>
      </c>
      <c r="G231" s="143" t="n">
        <v>1</v>
      </c>
      <c r="H231" s="144">
        <f>IFERROR(G231/SUMIF($A:$A,A231,$G:$G),0)</f>
        <v/>
      </c>
      <c r="I231" s="142">
        <f>IFERROR(E231/G231,0)</f>
        <v/>
      </c>
      <c r="J231" s="142" t="n">
        <v>0.171967989179442</v>
      </c>
      <c r="K231" s="142" t="n">
        <v>0.8311541929666429</v>
      </c>
      <c r="L231" s="145">
        <f>IFERROR(K231/J231,0)</f>
        <v/>
      </c>
      <c r="M231" s="142" t="n">
        <v>0.465795761947701</v>
      </c>
      <c r="N231" s="142" t="n">
        <v>1.22675834084761</v>
      </c>
      <c r="O231" s="145">
        <f>IFERROR(N231/M231,0)</f>
        <v/>
      </c>
      <c r="P231" s="142">
        <f>J231+M231</f>
        <v/>
      </c>
      <c r="Q231" s="142">
        <f>K231+N231</f>
        <v/>
      </c>
      <c r="R231" s="145">
        <f>IFERROR(Q231/P231,0)</f>
        <v/>
      </c>
      <c r="S231" s="144">
        <f>IFERROR(P231/SUMIF($A:$A,A231,$P:$P),0)</f>
        <v/>
      </c>
      <c r="T231" s="144">
        <f>IFERROR(P231/E231,0)</f>
        <v/>
      </c>
      <c r="U231" s="142">
        <f>E231-Q231</f>
        <v/>
      </c>
      <c r="V231" s="144">
        <f>IFERROR(U231/E231,0)</f>
        <v/>
      </c>
      <c r="W231" s="142">
        <f>IFERROR(VLOOKUP(A231,周报其他费用!$A:$B,2,FALSE)*H231,0)</f>
        <v/>
      </c>
      <c r="X231" s="142" t="n">
        <v>-1.761</v>
      </c>
      <c r="Y231" s="144">
        <f>IFERROR(X231/F231,0)</f>
        <v/>
      </c>
      <c r="Z231" s="142">
        <f>X231-J231/1.06</f>
        <v/>
      </c>
      <c r="AA231" s="144">
        <f>IFERROR(Z231/F231,0)</f>
        <v/>
      </c>
      <c r="AB231" s="142">
        <f>X231-(P231+W231)/1.06</f>
        <v/>
      </c>
      <c r="AC231" s="144">
        <f>IFERROR(AB231/F231,0)</f>
        <v/>
      </c>
    </row>
    <row r="232" ht="14.25" customHeight="1" s="65">
      <c r="A232" s="146" t="inlineStr">
        <is>
          <t>7.6-7.12</t>
        </is>
      </c>
      <c r="B232" s="147" t="n">
        <v>976466902934</v>
      </c>
      <c r="C232" s="146" t="inlineStr">
        <is>
          <t>日韩杯面</t>
        </is>
      </c>
      <c r="D232" s="146" t="inlineStr">
        <is>
          <t>【天猫U选】indomie营多捞面辣火鸡味日式鸡肉原味杯面</t>
        </is>
      </c>
      <c r="E232" s="148" t="n">
        <v>7.6</v>
      </c>
      <c r="F232" s="148">
        <f>IFERROR(E232/1.13,0)</f>
        <v/>
      </c>
      <c r="G232" s="149" t="n">
        <v>1</v>
      </c>
      <c r="H232" s="150">
        <f>IFERROR(G232/SUMIF($A:$A,A232,$G:$G),0)</f>
        <v/>
      </c>
      <c r="I232" s="148">
        <f>IFERROR(E232/G232,0)</f>
        <v/>
      </c>
      <c r="J232" s="148" t="n">
        <v>0.171967989179442</v>
      </c>
      <c r="K232" s="148" t="n">
        <v>0.8311541929666429</v>
      </c>
      <c r="L232" s="151">
        <f>IFERROR(K232/J232,0)</f>
        <v/>
      </c>
      <c r="M232" s="148" t="n">
        <v>0.465795761947701</v>
      </c>
      <c r="N232" s="148" t="n">
        <v>1.22675834084761</v>
      </c>
      <c r="O232" s="151">
        <f>IFERROR(N232/M232,0)</f>
        <v/>
      </c>
      <c r="P232" s="148">
        <f>J232+M232</f>
        <v/>
      </c>
      <c r="Q232" s="148">
        <f>K232+N232</f>
        <v/>
      </c>
      <c r="R232" s="151">
        <f>IFERROR(Q232/P232,0)</f>
        <v/>
      </c>
      <c r="S232" s="150">
        <f>IFERROR(P232/SUMIF($A:$A,A232,$P:$P),0)</f>
        <v/>
      </c>
      <c r="T232" s="150">
        <f>IFERROR(P232/E232,0)</f>
        <v/>
      </c>
      <c r="U232" s="148">
        <f>E232-Q232</f>
        <v/>
      </c>
      <c r="V232" s="150">
        <f>IFERROR(U232/E232,0)</f>
        <v/>
      </c>
      <c r="W232" s="148">
        <f>IFERROR(VLOOKUP(A232,周报其他费用!$A:$B,2,FALSE)*H232,0)</f>
        <v/>
      </c>
      <c r="X232" s="148" t="n">
        <v>-3.241</v>
      </c>
      <c r="Y232" s="150">
        <f>IFERROR(X232/F232,0)</f>
        <v/>
      </c>
      <c r="Z232" s="148">
        <f>X232-J232/1.06</f>
        <v/>
      </c>
      <c r="AA232" s="150">
        <f>IFERROR(Z232/F232,0)</f>
        <v/>
      </c>
      <c r="AB232" s="148">
        <f>X232-(P232+W232)/1.06</f>
        <v/>
      </c>
      <c r="AC232" s="150">
        <f>IFERROR(AB232/F232,0)</f>
        <v/>
      </c>
    </row>
    <row r="233" ht="14.25" customHeight="1" s="65">
      <c r="A233" s="140" t="inlineStr">
        <is>
          <t>7.6-7.12</t>
        </is>
      </c>
      <c r="B233" s="141" t="n">
        <v>949962665617</v>
      </c>
      <c r="C233" s="140" t="inlineStr">
        <is>
          <t>韩式袋面</t>
        </is>
      </c>
      <c r="D233" s="140" t="inlineStr">
        <is>
          <t>营多捞面韩式火鸡面辣蘑菇汤面袋装泡面辣味速食方便面宿舍宵夜面</t>
        </is>
      </c>
      <c r="E233" s="142" t="n">
        <v>28.9</v>
      </c>
      <c r="F233" s="142">
        <f>IFERROR(E233/1.13,0)</f>
        <v/>
      </c>
      <c r="G233" s="143" t="n">
        <v>1</v>
      </c>
      <c r="H233" s="144">
        <f>IFERROR(G233/SUMIF($A:$A,A233,$G:$G),0)</f>
        <v/>
      </c>
      <c r="I233" s="142">
        <f>IFERROR(E233/G233,0)</f>
        <v/>
      </c>
      <c r="J233" s="142" t="n">
        <v>25.8919679891794</v>
      </c>
      <c r="K233" s="142" t="n">
        <v>55.0211541929666</v>
      </c>
      <c r="L233" s="145">
        <f>IFERROR(K233/J233,0)</f>
        <v/>
      </c>
      <c r="M233" s="142" t="n">
        <v>0.465795761947701</v>
      </c>
      <c r="N233" s="142" t="n">
        <v>1.22675834084761</v>
      </c>
      <c r="O233" s="145">
        <f>IFERROR(N233/M233,0)</f>
        <v/>
      </c>
      <c r="P233" s="142">
        <f>J233+M233</f>
        <v/>
      </c>
      <c r="Q233" s="142">
        <f>K233+N233</f>
        <v/>
      </c>
      <c r="R233" s="145">
        <f>IFERROR(Q233/P233,0)</f>
        <v/>
      </c>
      <c r="S233" s="144">
        <f>IFERROR(P233/SUMIF($A:$A,A233,$P:$P),0)</f>
        <v/>
      </c>
      <c r="T233" s="144">
        <f>IFERROR(P233/E233,0)</f>
        <v/>
      </c>
      <c r="U233" s="142">
        <f>E233-Q233</f>
        <v/>
      </c>
      <c r="V233" s="144">
        <f>IFERROR(U233/E233,0)</f>
        <v/>
      </c>
      <c r="W233" s="142">
        <f>IFERROR(VLOOKUP(A233,周报其他费用!$A:$B,2,FALSE)*H233,0)</f>
        <v/>
      </c>
      <c r="X233" s="142" t="n">
        <v>4.577</v>
      </c>
      <c r="Y233" s="144">
        <f>IFERROR(X233/F233,0)</f>
        <v/>
      </c>
      <c r="Z233" s="142">
        <f>X233-J233/1.06</f>
        <v/>
      </c>
      <c r="AA233" s="144">
        <f>IFERROR(Z233/F233,0)</f>
        <v/>
      </c>
      <c r="AB233" s="142">
        <f>X233-(P233+W233)/1.06</f>
        <v/>
      </c>
      <c r="AC233" s="144">
        <f>IFERROR(AB233/F233,0)</f>
        <v/>
      </c>
    </row>
    <row r="234" ht="14.25" customHeight="1" s="65">
      <c r="A234" s="146" t="inlineStr">
        <is>
          <t>7.6-7.12</t>
        </is>
      </c>
      <c r="B234" s="147" t="n">
        <v>898120785283</v>
      </c>
      <c r="C234" s="146" t="inlineStr">
        <is>
          <t>韩式袋面</t>
        </is>
      </c>
      <c r="D234" s="146" t="inlineStr">
        <is>
          <t>营多韩式火鸡面袋装拌面干拌面泡面方便面速食面宿舍宵夜旅行</t>
        </is>
      </c>
      <c r="E234" s="148" t="n">
        <v>12.92</v>
      </c>
      <c r="F234" s="148">
        <f>IFERROR(E234/1.13,0)</f>
        <v/>
      </c>
      <c r="G234" s="149" t="n">
        <v>1</v>
      </c>
      <c r="H234" s="150">
        <f>IFERROR(G234/SUMIF($A:$A,A234,$G:$G),0)</f>
        <v/>
      </c>
      <c r="I234" s="148">
        <f>IFERROR(E234/G234,0)</f>
        <v/>
      </c>
      <c r="J234" s="148" t="n">
        <v>0.431967989179442</v>
      </c>
      <c r="K234" s="148" t="n">
        <v>0.8311541929666429</v>
      </c>
      <c r="L234" s="151">
        <f>IFERROR(K234/J234,0)</f>
        <v/>
      </c>
      <c r="M234" s="148" t="n">
        <v>0.465795761947701</v>
      </c>
      <c r="N234" s="148" t="n">
        <v>1.22675834084761</v>
      </c>
      <c r="O234" s="151">
        <f>IFERROR(N234/M234,0)</f>
        <v/>
      </c>
      <c r="P234" s="148">
        <f>J234+M234</f>
        <v/>
      </c>
      <c r="Q234" s="148">
        <f>K234+N234</f>
        <v/>
      </c>
      <c r="R234" s="151">
        <f>IFERROR(Q234/P234,0)</f>
        <v/>
      </c>
      <c r="S234" s="150">
        <f>IFERROR(P234/SUMIF($A:$A,A234,$P:$P),0)</f>
        <v/>
      </c>
      <c r="T234" s="150">
        <f>IFERROR(P234/E234,0)</f>
        <v/>
      </c>
      <c r="U234" s="148">
        <f>E234-Q234</f>
        <v/>
      </c>
      <c r="V234" s="150">
        <f>IFERROR(U234/E234,0)</f>
        <v/>
      </c>
      <c r="W234" s="148">
        <f>IFERROR(VLOOKUP(A234,周报其他费用!$A:$B,2,FALSE)*H234,0)</f>
        <v/>
      </c>
      <c r="X234" s="148" t="n">
        <v>-0.289</v>
      </c>
      <c r="Y234" s="150">
        <f>IFERROR(X234/F234,0)</f>
        <v/>
      </c>
      <c r="Z234" s="148">
        <f>X234-J234/1.06</f>
        <v/>
      </c>
      <c r="AA234" s="150">
        <f>IFERROR(Z234/F234,0)</f>
        <v/>
      </c>
      <c r="AB234" s="148">
        <f>X234-(P234+W234)/1.06</f>
        <v/>
      </c>
      <c r="AC234" s="150">
        <f>IFERROR(AB234/F234,0)</f>
        <v/>
      </c>
    </row>
    <row r="235" ht="14.25" customHeight="1" s="65">
      <c r="A235" s="140" t="inlineStr">
        <is>
          <t>7.13-7.19</t>
        </is>
      </c>
      <c r="B235" s="141" t="n">
        <v>668566625747</v>
      </c>
      <c r="C235" s="140" t="inlineStr">
        <is>
          <t>袋面主链接</t>
        </is>
      </c>
      <c r="D235" s="140" t="inlineStr">
        <is>
          <t>印尼营多捞面进口网红泡面袋装方便面速食食品拉面火鸡面拌面整箱</t>
        </is>
      </c>
      <c r="E235" s="142" t="n">
        <v>36984.4400000008</v>
      </c>
      <c r="F235" s="142">
        <f>IFERROR(E235/1.13,0)</f>
        <v/>
      </c>
      <c r="G235" s="143" t="n">
        <v>1501</v>
      </c>
      <c r="H235" s="144">
        <f>IFERROR(G235/SUMIF($A:$A,A235,$G:$G),0)</f>
        <v/>
      </c>
      <c r="I235" s="142">
        <f>IFERROR(E235/G235,0)</f>
        <v/>
      </c>
      <c r="J235" s="142" t="n">
        <v>5014.63370010504</v>
      </c>
      <c r="K235" s="142" t="n">
        <v>28818.5743881303</v>
      </c>
      <c r="L235" s="145">
        <f>IFERROR(K235/J235,0)</f>
        <v/>
      </c>
      <c r="M235" s="142" t="n">
        <v>795.261964285714</v>
      </c>
      <c r="N235" s="142" t="n">
        <v>1730.86427521008</v>
      </c>
      <c r="O235" s="145">
        <f>IFERROR(N235/M235,0)</f>
        <v/>
      </c>
      <c r="P235" s="142">
        <f>J235+M235</f>
        <v/>
      </c>
      <c r="Q235" s="142">
        <f>K235+N235</f>
        <v/>
      </c>
      <c r="R235" s="145">
        <f>IFERROR(Q235/P235,0)</f>
        <v/>
      </c>
      <c r="S235" s="144">
        <f>IFERROR(P235/SUMIF($A:$A,A235,$P:$P),0)</f>
        <v/>
      </c>
      <c r="T235" s="144">
        <f>IFERROR(P235/E235,0)</f>
        <v/>
      </c>
      <c r="U235" s="142">
        <f>E235-Q235</f>
        <v/>
      </c>
      <c r="V235" s="144">
        <f>IFERROR(U235/E235,0)</f>
        <v/>
      </c>
      <c r="W235" s="142">
        <f>IFERROR(VLOOKUP(A235,周报其他费用!$A:$B,2,FALSE)*H235,0)</f>
        <v/>
      </c>
      <c r="X235" s="142" t="n">
        <v>4797.53600000005</v>
      </c>
      <c r="Y235" s="144">
        <f>IFERROR(X235/F235,0)</f>
        <v/>
      </c>
      <c r="Z235" s="142">
        <f>X235-J235/1.06</f>
        <v/>
      </c>
      <c r="AA235" s="144">
        <f>IFERROR(Z235/F235,0)</f>
        <v/>
      </c>
      <c r="AB235" s="142">
        <f>X235-(P235+W235)/1.06</f>
        <v/>
      </c>
      <c r="AC235" s="144">
        <f>IFERROR(AB235/F235,0)</f>
        <v/>
      </c>
    </row>
    <row r="236" ht="14.25" customHeight="1" s="65">
      <c r="A236" s="146" t="inlineStr">
        <is>
          <t>7.13-7.19</t>
        </is>
      </c>
      <c r="B236" s="147" t="n">
        <v>649361890551</v>
      </c>
      <c r="C236" s="146" t="inlineStr">
        <is>
          <t>袋面次链接</t>
        </is>
      </c>
      <c r="D236" s="146" t="inlineStr">
        <is>
          <t>营多捞面印尼进口Indomie网红夜宵早餐方便面火鸡面泡面拌面</t>
        </is>
      </c>
      <c r="E236" s="148" t="n">
        <v>14291.7099999999</v>
      </c>
      <c r="F236" s="148">
        <f>IFERROR(E236/1.13,0)</f>
        <v/>
      </c>
      <c r="G236" s="149" t="n">
        <v>768</v>
      </c>
      <c r="H236" s="150">
        <f>IFERROR(G236/SUMIF($A:$A,A236,$G:$G),0)</f>
        <v/>
      </c>
      <c r="I236" s="148">
        <f>IFERROR(E236/G236,0)</f>
        <v/>
      </c>
      <c r="J236" s="148" t="n">
        <v>2013.89605042017</v>
      </c>
      <c r="K236" s="148" t="n">
        <v>9309.94630252101</v>
      </c>
      <c r="L236" s="151">
        <f>IFERROR(K236/J236,0)</f>
        <v/>
      </c>
      <c r="M236" s="148" t="n">
        <v>406.902857142857</v>
      </c>
      <c r="N236" s="148" t="n">
        <v>885.612100840336</v>
      </c>
      <c r="O236" s="151">
        <f>IFERROR(N236/M236,0)</f>
        <v/>
      </c>
      <c r="P236" s="148">
        <f>J236+M236</f>
        <v/>
      </c>
      <c r="Q236" s="148">
        <f>K236+N236</f>
        <v/>
      </c>
      <c r="R236" s="151">
        <f>IFERROR(Q236/P236,0)</f>
        <v/>
      </c>
      <c r="S236" s="150">
        <f>IFERROR(P236/SUMIF($A:$A,A236,$P:$P),0)</f>
        <v/>
      </c>
      <c r="T236" s="150">
        <f>IFERROR(P236/E236,0)</f>
        <v/>
      </c>
      <c r="U236" s="148">
        <f>E236-Q236</f>
        <v/>
      </c>
      <c r="V236" s="150">
        <f>IFERROR(U236/E236,0)</f>
        <v/>
      </c>
      <c r="W236" s="148">
        <f>IFERROR(VLOOKUP(A236,周报其他费用!$A:$B,2,FALSE)*H236,0)</f>
        <v/>
      </c>
      <c r="X236" s="148" t="n">
        <v>1294.14099999999</v>
      </c>
      <c r="Y236" s="150">
        <f>IFERROR(X236/F236,0)</f>
        <v/>
      </c>
      <c r="Z236" s="148">
        <f>X236-J236/1.06</f>
        <v/>
      </c>
      <c r="AA236" s="150">
        <f>IFERROR(Z236/F236,0)</f>
        <v/>
      </c>
      <c r="AB236" s="148">
        <f>X236-(P236+W236)/1.06</f>
        <v/>
      </c>
      <c r="AC236" s="150">
        <f>IFERROR(AB236/F236,0)</f>
        <v/>
      </c>
    </row>
    <row r="237" ht="14.25" customHeight="1" s="65">
      <c r="A237" s="140" t="inlineStr">
        <is>
          <t>7.13-7.19</t>
        </is>
      </c>
      <c r="B237" s="141" t="n">
        <v>649735171438</v>
      </c>
      <c r="C237" s="140" t="inlineStr">
        <is>
          <t>杯面主链接</t>
        </is>
      </c>
      <c r="D237" s="140" t="inlineStr">
        <is>
          <t>印尼进口indomie营多捞面杯面速食泡面干拌面盒桶装方便面火鸡面</t>
        </is>
      </c>
      <c r="E237" s="142" t="n">
        <v>13724.93</v>
      </c>
      <c r="F237" s="142">
        <f>IFERROR(E237/1.13,0)</f>
        <v/>
      </c>
      <c r="G237" s="143" t="n">
        <v>532</v>
      </c>
      <c r="H237" s="144">
        <f>IFERROR(G237/SUMIF($A:$A,A237,$G:$G),0)</f>
        <v/>
      </c>
      <c r="I237" s="142">
        <f>IFERROR(E237/G237,0)</f>
        <v/>
      </c>
      <c r="J237" s="142" t="n">
        <v>2040.81169117647</v>
      </c>
      <c r="K237" s="142" t="n">
        <v>8420.14889705882</v>
      </c>
      <c r="L237" s="145">
        <f>IFERROR(K237/J237,0)</f>
        <v/>
      </c>
      <c r="M237" s="142" t="n">
        <v>281.865</v>
      </c>
      <c r="N237" s="142" t="n">
        <v>613.470882352941</v>
      </c>
      <c r="O237" s="145">
        <f>IFERROR(N237/M237,0)</f>
        <v/>
      </c>
      <c r="P237" s="142">
        <f>J237+M237</f>
        <v/>
      </c>
      <c r="Q237" s="142">
        <f>K237+N237</f>
        <v/>
      </c>
      <c r="R237" s="145">
        <f>IFERROR(Q237/P237,0)</f>
        <v/>
      </c>
      <c r="S237" s="144">
        <f>IFERROR(P237/SUMIF($A:$A,A237,$P:$P),0)</f>
        <v/>
      </c>
      <c r="T237" s="144">
        <f>IFERROR(P237/E237,0)</f>
        <v/>
      </c>
      <c r="U237" s="142">
        <f>E237-Q237</f>
        <v/>
      </c>
      <c r="V237" s="144">
        <f>IFERROR(U237/E237,0)</f>
        <v/>
      </c>
      <c r="W237" s="142">
        <f>IFERROR(VLOOKUP(A237,周报其他费用!$A:$B,2,FALSE)*H237,0)</f>
        <v/>
      </c>
      <c r="X237" s="142" t="n">
        <v>1545.435</v>
      </c>
      <c r="Y237" s="144">
        <f>IFERROR(X237/F237,0)</f>
        <v/>
      </c>
      <c r="Z237" s="142">
        <f>X237-J237/1.06</f>
        <v/>
      </c>
      <c r="AA237" s="144">
        <f>IFERROR(Z237/F237,0)</f>
        <v/>
      </c>
      <c r="AB237" s="142">
        <f>X237-(P237+W237)/1.06</f>
        <v/>
      </c>
      <c r="AC237" s="144">
        <f>IFERROR(AB237/F237,0)</f>
        <v/>
      </c>
    </row>
    <row r="238" ht="14.25" customHeight="1" s="65">
      <c r="A238" s="146" t="inlineStr">
        <is>
          <t>7.13-7.19</t>
        </is>
      </c>
      <c r="B238" s="147" t="n">
        <v>1057479227624</v>
      </c>
      <c r="C238" s="146" t="inlineStr">
        <is>
          <t>巴东牛肉</t>
        </is>
      </c>
      <c r="D238" s="146" t="inlineStr">
        <is>
          <t>【新口味】印尼进口营多捞面巴东炖牛肉味泡面方便面宿舍速食宵夜</t>
        </is>
      </c>
      <c r="E238" s="148" t="n">
        <v>2425.45</v>
      </c>
      <c r="F238" s="148">
        <f>IFERROR(E238/1.13,0)</f>
        <v/>
      </c>
      <c r="G238" s="149" t="n">
        <v>140</v>
      </c>
      <c r="H238" s="150">
        <f>IFERROR(G238/SUMIF($A:$A,A238,$G:$G),0)</f>
        <v/>
      </c>
      <c r="I238" s="148">
        <f>IFERROR(E238/G238,0)</f>
        <v/>
      </c>
      <c r="J238" s="148" t="n">
        <v>817.473602941176</v>
      </c>
      <c r="K238" s="148" t="n">
        <v>3686.15286764706</v>
      </c>
      <c r="L238" s="151">
        <f>IFERROR(K238/J238,0)</f>
        <v/>
      </c>
      <c r="M238" s="148" t="n">
        <v>74.175</v>
      </c>
      <c r="N238" s="148" t="n">
        <v>161.439705882353</v>
      </c>
      <c r="O238" s="151">
        <f>IFERROR(N238/M238,0)</f>
        <v/>
      </c>
      <c r="P238" s="148">
        <f>J238+M238</f>
        <v/>
      </c>
      <c r="Q238" s="148">
        <f>K238+N238</f>
        <v/>
      </c>
      <c r="R238" s="151">
        <f>IFERROR(Q238/P238,0)</f>
        <v/>
      </c>
      <c r="S238" s="150">
        <f>IFERROR(P238/SUMIF($A:$A,A238,$P:$P),0)</f>
        <v/>
      </c>
      <c r="T238" s="150">
        <f>IFERROR(P238/E238,0)</f>
        <v/>
      </c>
      <c r="U238" s="148">
        <f>E238-Q238</f>
        <v/>
      </c>
      <c r="V238" s="150">
        <f>IFERROR(U238/E238,0)</f>
        <v/>
      </c>
      <c r="W238" s="148">
        <f>IFERROR(VLOOKUP(A238,周报其他费用!$A:$B,2,FALSE)*H238,0)</f>
        <v/>
      </c>
      <c r="X238" s="148" t="n">
        <v>250.574</v>
      </c>
      <c r="Y238" s="150">
        <f>IFERROR(X238/F238,0)</f>
        <v/>
      </c>
      <c r="Z238" s="148">
        <f>X238-J238/1.06</f>
        <v/>
      </c>
      <c r="AA238" s="150">
        <f>IFERROR(Z238/F238,0)</f>
        <v/>
      </c>
      <c r="AB238" s="148">
        <f>X238-(P238+W238)/1.06</f>
        <v/>
      </c>
      <c r="AC238" s="150">
        <f>IFERROR(AB238/F238,0)</f>
        <v/>
      </c>
    </row>
    <row r="239" ht="14.25" customHeight="1" s="65">
      <c r="A239" s="140" t="inlineStr">
        <is>
          <t>7.13-7.19</t>
        </is>
      </c>
      <c r="B239" s="141" t="n">
        <v>1058280415678</v>
      </c>
      <c r="C239" s="140" t="inlineStr">
        <is>
          <t>巴东牛肉</t>
        </is>
      </c>
      <c r="D239" s="140" t="inlineStr">
        <is>
          <t>【新口味】印尼进口营多捞面巴东炖牛肉味泡面方便面宿舍速食宵夜</t>
        </is>
      </c>
      <c r="E239" s="142" t="n">
        <v>3341.78</v>
      </c>
      <c r="F239" s="142">
        <f>IFERROR(E239/1.13,0)</f>
        <v/>
      </c>
      <c r="G239" s="143" t="n">
        <v>120</v>
      </c>
      <c r="H239" s="144">
        <f>IFERROR(G239/SUMIF($A:$A,A239,$G:$G),0)</f>
        <v/>
      </c>
      <c r="I239" s="142">
        <f>IFERROR(E239/G239,0)</f>
        <v/>
      </c>
      <c r="J239" s="142" t="n">
        <v>559.055945378151</v>
      </c>
      <c r="K239" s="142" t="n">
        <v>3162.31817226891</v>
      </c>
      <c r="L239" s="145">
        <f>IFERROR(K239/J239,0)</f>
        <v/>
      </c>
      <c r="M239" s="142" t="n">
        <v>63.5785714285714</v>
      </c>
      <c r="N239" s="142" t="n">
        <v>138.376890756303</v>
      </c>
      <c r="O239" s="145">
        <f>IFERROR(N239/M239,0)</f>
        <v/>
      </c>
      <c r="P239" s="142">
        <f>J239+M239</f>
        <v/>
      </c>
      <c r="Q239" s="142">
        <f>K239+N239</f>
        <v/>
      </c>
      <c r="R239" s="145">
        <f>IFERROR(Q239/P239,0)</f>
        <v/>
      </c>
      <c r="S239" s="144">
        <f>IFERROR(P239/SUMIF($A:$A,A239,$P:$P),0)</f>
        <v/>
      </c>
      <c r="T239" s="144">
        <f>IFERROR(P239/E239,0)</f>
        <v/>
      </c>
      <c r="U239" s="142">
        <f>E239-Q239</f>
        <v/>
      </c>
      <c r="V239" s="144">
        <f>IFERROR(U239/E239,0)</f>
        <v/>
      </c>
      <c r="W239" s="142">
        <f>IFERROR(VLOOKUP(A239,周报其他费用!$A:$B,2,FALSE)*H239,0)</f>
        <v/>
      </c>
      <c r="X239" s="142" t="n">
        <v>710.569000000001</v>
      </c>
      <c r="Y239" s="144">
        <f>IFERROR(X239/F239,0)</f>
        <v/>
      </c>
      <c r="Z239" s="142">
        <f>X239-J239/1.06</f>
        <v/>
      </c>
      <c r="AA239" s="144">
        <f>IFERROR(Z239/F239,0)</f>
        <v/>
      </c>
      <c r="AB239" s="142">
        <f>X239-(P239+W239)/1.06</f>
        <v/>
      </c>
      <c r="AC239" s="144">
        <f>IFERROR(AB239/F239,0)</f>
        <v/>
      </c>
    </row>
    <row r="240" ht="14.25" customHeight="1" s="65">
      <c r="A240" s="146" t="inlineStr">
        <is>
          <t>7.13-7.19</t>
        </is>
      </c>
      <c r="B240" s="147" t="n">
        <v>649369494424</v>
      </c>
      <c r="C240" s="146" t="inlineStr">
        <is>
          <t>24包经典/牛系列</t>
        </is>
      </c>
      <c r="D240" s="146" t="inlineStr">
        <is>
          <t>营多捞面干拌面一整箱24袋装批发泡面混搭宿舍速食方便面火鸡面</t>
        </is>
      </c>
      <c r="E240" s="148" t="n">
        <v>5758.78</v>
      </c>
      <c r="F240" s="148">
        <f>IFERROR(E240/1.13,0)</f>
        <v/>
      </c>
      <c r="G240" s="149" t="n">
        <v>104</v>
      </c>
      <c r="H240" s="150">
        <f>IFERROR(G240/SUMIF($A:$A,A240,$G:$G),0)</f>
        <v/>
      </c>
      <c r="I240" s="148">
        <f>IFERROR(E240/G240,0)</f>
        <v/>
      </c>
      <c r="J240" s="148" t="n">
        <v>767.8658193277309</v>
      </c>
      <c r="K240" s="148" t="n">
        <v>3786.22241596639</v>
      </c>
      <c r="L240" s="151">
        <f>IFERROR(K240/J240,0)</f>
        <v/>
      </c>
      <c r="M240" s="148" t="n">
        <v>55.1014285714286</v>
      </c>
      <c r="N240" s="148" t="n">
        <v>119.926638655462</v>
      </c>
      <c r="O240" s="151">
        <f>IFERROR(N240/M240,0)</f>
        <v/>
      </c>
      <c r="P240" s="148">
        <f>J240+M240</f>
        <v/>
      </c>
      <c r="Q240" s="148">
        <f>K240+N240</f>
        <v/>
      </c>
      <c r="R240" s="151">
        <f>IFERROR(Q240/P240,0)</f>
        <v/>
      </c>
      <c r="S240" s="150">
        <f>IFERROR(P240/SUMIF($A:$A,A240,$P:$P),0)</f>
        <v/>
      </c>
      <c r="T240" s="150">
        <f>IFERROR(P240/E240,0)</f>
        <v/>
      </c>
      <c r="U240" s="148">
        <f>E240-Q240</f>
        <v/>
      </c>
      <c r="V240" s="150">
        <f>IFERROR(U240/E240,0)</f>
        <v/>
      </c>
      <c r="W240" s="148">
        <f>IFERROR(VLOOKUP(A240,周报其他费用!$A:$B,2,FALSE)*H240,0)</f>
        <v/>
      </c>
      <c r="X240" s="148" t="n">
        <v>1085.147</v>
      </c>
      <c r="Y240" s="150">
        <f>IFERROR(X240/F240,0)</f>
        <v/>
      </c>
      <c r="Z240" s="148">
        <f>X240-J240/1.06</f>
        <v/>
      </c>
      <c r="AA240" s="150">
        <f>IFERROR(Z240/F240,0)</f>
        <v/>
      </c>
      <c r="AB240" s="148">
        <f>X240-(P240+W240)/1.06</f>
        <v/>
      </c>
      <c r="AC240" s="150">
        <f>IFERROR(AB240/F240,0)</f>
        <v/>
      </c>
    </row>
    <row r="241" ht="14.25" customHeight="1" s="65">
      <c r="A241" s="140" t="inlineStr">
        <is>
          <t>7.13-7.19</t>
        </is>
      </c>
      <c r="B241" s="141" t="n">
        <v>648600900806</v>
      </c>
      <c r="C241" s="140" t="inlineStr">
        <is>
          <t>30包</t>
        </is>
      </c>
      <c r="D241" s="140" t="inlineStr">
        <is>
          <t>进口营多捞面一整箱30包网红速食方便面宿舍速食泡面干拌面拉面</t>
        </is>
      </c>
      <c r="E241" s="142" t="n">
        <v>6834.31</v>
      </c>
      <c r="F241" s="142">
        <f>IFERROR(E241/1.13,0)</f>
        <v/>
      </c>
      <c r="G241" s="143" t="n">
        <v>101</v>
      </c>
      <c r="H241" s="144">
        <f>IFERROR(G241/SUMIF($A:$A,A241,$G:$G),0)</f>
        <v/>
      </c>
      <c r="I241" s="142">
        <f>IFERROR(E241/G241,0)</f>
        <v/>
      </c>
      <c r="J241" s="142" t="n">
        <v>1417.99767069328</v>
      </c>
      <c r="K241" s="142" t="n">
        <v>6253.45571165966</v>
      </c>
      <c r="L241" s="145">
        <f>IFERROR(K241/J241,0)</f>
        <v/>
      </c>
      <c r="M241" s="142" t="n">
        <v>53.5119642857143</v>
      </c>
      <c r="N241" s="142" t="n">
        <v>116.467216386555</v>
      </c>
      <c r="O241" s="145">
        <f>IFERROR(N241/M241,0)</f>
        <v/>
      </c>
      <c r="P241" s="142">
        <f>J241+M241</f>
        <v/>
      </c>
      <c r="Q241" s="142">
        <f>K241+N241</f>
        <v/>
      </c>
      <c r="R241" s="145">
        <f>IFERROR(Q241/P241,0)</f>
        <v/>
      </c>
      <c r="S241" s="144">
        <f>IFERROR(P241/SUMIF($A:$A,A241,$P:$P),0)</f>
        <v/>
      </c>
      <c r="T241" s="144">
        <f>IFERROR(P241/E241,0)</f>
        <v/>
      </c>
      <c r="U241" s="142">
        <f>E241-Q241</f>
        <v/>
      </c>
      <c r="V241" s="144">
        <f>IFERROR(U241/E241,0)</f>
        <v/>
      </c>
      <c r="W241" s="142">
        <f>IFERROR(VLOOKUP(A241,周报其他费用!$A:$B,2,FALSE)*H241,0)</f>
        <v/>
      </c>
      <c r="X241" s="142" t="n">
        <v>1246.154</v>
      </c>
      <c r="Y241" s="144">
        <f>IFERROR(X241/F241,0)</f>
        <v/>
      </c>
      <c r="Z241" s="142">
        <f>X241-J241/1.06</f>
        <v/>
      </c>
      <c r="AA241" s="144">
        <f>IFERROR(Z241/F241,0)</f>
        <v/>
      </c>
      <c r="AB241" s="142">
        <f>X241-(P241+W241)/1.06</f>
        <v/>
      </c>
      <c r="AC241" s="144">
        <f>IFERROR(AB241/F241,0)</f>
        <v/>
      </c>
    </row>
    <row r="242" ht="14.25" customHeight="1" s="65">
      <c r="A242" s="146" t="inlineStr">
        <is>
          <t>7.13-7.19</t>
        </is>
      </c>
      <c r="B242" s="147" t="n">
        <v>649014937782</v>
      </c>
      <c r="C242" s="146" t="inlineStr">
        <is>
          <t>24包</t>
        </is>
      </c>
      <c r="D242" s="146" t="inlineStr">
        <is>
          <t>印尼营多捞面干拌面一整箱24袋装批发泡面宿舍速食方便面火鸡面</t>
        </is>
      </c>
      <c r="E242" s="148" t="n">
        <v>4410.05</v>
      </c>
      <c r="F242" s="148">
        <f>IFERROR(E242/1.13,0)</f>
        <v/>
      </c>
      <c r="G242" s="149" t="n">
        <v>80</v>
      </c>
      <c r="H242" s="150">
        <f>IFERROR(G242/SUMIF($A:$A,A242,$G:$G),0)</f>
        <v/>
      </c>
      <c r="I242" s="148">
        <f>IFERROR(E242/G242,0)</f>
        <v/>
      </c>
      <c r="J242" s="148" t="n">
        <v>836.600630252101</v>
      </c>
      <c r="K242" s="148" t="n">
        <v>3057.04878151261</v>
      </c>
      <c r="L242" s="151">
        <f>IFERROR(K242/J242,0)</f>
        <v/>
      </c>
      <c r="M242" s="148" t="n">
        <v>42.3857142857143</v>
      </c>
      <c r="N242" s="148" t="n">
        <v>92.2512605042017</v>
      </c>
      <c r="O242" s="151">
        <f>IFERROR(N242/M242,0)</f>
        <v/>
      </c>
      <c r="P242" s="148">
        <f>J242+M242</f>
        <v/>
      </c>
      <c r="Q242" s="148">
        <f>K242+N242</f>
        <v/>
      </c>
      <c r="R242" s="151">
        <f>IFERROR(Q242/P242,0)</f>
        <v/>
      </c>
      <c r="S242" s="150">
        <f>IFERROR(P242/SUMIF($A:$A,A242,$P:$P),0)</f>
        <v/>
      </c>
      <c r="T242" s="150">
        <f>IFERROR(P242/E242,0)</f>
        <v/>
      </c>
      <c r="U242" s="148">
        <f>E242-Q242</f>
        <v/>
      </c>
      <c r="V242" s="150">
        <f>IFERROR(U242/E242,0)</f>
        <v/>
      </c>
      <c r="W242" s="148">
        <f>IFERROR(VLOOKUP(A242,周报其他费用!$A:$B,2,FALSE)*H242,0)</f>
        <v/>
      </c>
      <c r="X242" s="148" t="n">
        <v>814.107</v>
      </c>
      <c r="Y242" s="150">
        <f>IFERROR(X242/F242,0)</f>
        <v/>
      </c>
      <c r="Z242" s="148">
        <f>X242-J242/1.06</f>
        <v/>
      </c>
      <c r="AA242" s="150">
        <f>IFERROR(Z242/F242,0)</f>
        <v/>
      </c>
      <c r="AB242" s="148">
        <f>X242-(P242+W242)/1.06</f>
        <v/>
      </c>
      <c r="AC242" s="150">
        <f>IFERROR(AB242/F242,0)</f>
        <v/>
      </c>
    </row>
    <row r="243" ht="14.25" customHeight="1" s="65">
      <c r="A243" s="140" t="inlineStr">
        <is>
          <t>7.13-7.19</t>
        </is>
      </c>
      <c r="B243" s="141" t="n">
        <v>1060999732877</v>
      </c>
      <c r="C243" s="140" t="inlineStr">
        <is>
          <t>原味大包</t>
        </is>
      </c>
      <c r="D243" s="140" t="inlineStr">
        <is>
          <t>indomie印尼进口营多原味大大包129g捞面方便面速食食品宵夜小吃</t>
        </is>
      </c>
      <c r="E243" s="142" t="n">
        <v>2081.11</v>
      </c>
      <c r="F243" s="142">
        <f>IFERROR(E243/1.13,0)</f>
        <v/>
      </c>
      <c r="G243" s="143" t="n">
        <v>79</v>
      </c>
      <c r="H243" s="144">
        <f>IFERROR(G243/SUMIF($A:$A,A243,$G:$G),0)</f>
        <v/>
      </c>
      <c r="I243" s="142">
        <f>IFERROR(E243/G243,0)</f>
        <v/>
      </c>
      <c r="J243" s="142" t="n">
        <v>410.281247373949</v>
      </c>
      <c r="K243" s="142" t="n">
        <v>2025.4465467437</v>
      </c>
      <c r="L243" s="145">
        <f>IFERROR(K243/J243,0)</f>
        <v/>
      </c>
      <c r="M243" s="142" t="n">
        <v>41.8558928571429</v>
      </c>
      <c r="N243" s="142" t="n">
        <v>91.0981197478991</v>
      </c>
      <c r="O243" s="145">
        <f>IFERROR(N243/M243,0)</f>
        <v/>
      </c>
      <c r="P243" s="142">
        <f>J243+M243</f>
        <v/>
      </c>
      <c r="Q243" s="142">
        <f>K243+N243</f>
        <v/>
      </c>
      <c r="R243" s="145">
        <f>IFERROR(Q243/P243,0)</f>
        <v/>
      </c>
      <c r="S243" s="144">
        <f>IFERROR(P243/SUMIF($A:$A,A243,$P:$P),0)</f>
        <v/>
      </c>
      <c r="T243" s="144">
        <f>IFERROR(P243/E243,0)</f>
        <v/>
      </c>
      <c r="U243" s="142">
        <f>E243-Q243</f>
        <v/>
      </c>
      <c r="V243" s="144">
        <f>IFERROR(U243/E243,0)</f>
        <v/>
      </c>
      <c r="W243" s="142">
        <f>IFERROR(VLOOKUP(A243,周报其他费用!$A:$B,2,FALSE)*H243,0)</f>
        <v/>
      </c>
      <c r="X243" s="142" t="n">
        <v>429.475</v>
      </c>
      <c r="Y243" s="144">
        <f>IFERROR(X243/F243,0)</f>
        <v/>
      </c>
      <c r="Z243" s="142">
        <f>X243-J243/1.06</f>
        <v/>
      </c>
      <c r="AA243" s="144">
        <f>IFERROR(Z243/F243,0)</f>
        <v/>
      </c>
      <c r="AB243" s="142">
        <f>X243-(P243+W243)/1.06</f>
        <v/>
      </c>
      <c r="AC243" s="144">
        <f>IFERROR(AB243/F243,0)</f>
        <v/>
      </c>
    </row>
    <row r="244" ht="14.25" customHeight="1" s="65">
      <c r="A244" s="146" t="inlineStr">
        <is>
          <t>7.13-7.19</t>
        </is>
      </c>
      <c r="B244" s="147" t="n">
        <v>648598580775</v>
      </c>
      <c r="C244" s="146" t="inlineStr">
        <is>
          <t>15包</t>
        </is>
      </c>
      <c r="D244" s="146" t="inlineStr">
        <is>
          <t>进口营多捞面15包Indomie方便面干拌面夜宵方便速食五连包85g*5</t>
        </is>
      </c>
      <c r="E244" s="148" t="n">
        <v>2576.83</v>
      </c>
      <c r="F244" s="148">
        <f>IFERROR(E244/1.13,0)</f>
        <v/>
      </c>
      <c r="G244" s="149" t="n">
        <v>71</v>
      </c>
      <c r="H244" s="150">
        <f>IFERROR(G244/SUMIF($A:$A,A244,$G:$G),0)</f>
        <v/>
      </c>
      <c r="I244" s="148">
        <f>IFERROR(E244/G244,0)</f>
        <v/>
      </c>
      <c r="J244" s="148" t="n">
        <v>426.046184348739</v>
      </c>
      <c r="K244" s="148" t="n">
        <v>1938.47866859244</v>
      </c>
      <c r="L244" s="151">
        <f>IFERROR(K244/J244,0)</f>
        <v/>
      </c>
      <c r="M244" s="148" t="n">
        <v>37.6173214285714</v>
      </c>
      <c r="N244" s="148" t="n">
        <v>81.872993697479</v>
      </c>
      <c r="O244" s="151">
        <f>IFERROR(N244/M244,0)</f>
        <v/>
      </c>
      <c r="P244" s="148">
        <f>J244+M244</f>
        <v/>
      </c>
      <c r="Q244" s="148">
        <f>K244+N244</f>
        <v/>
      </c>
      <c r="R244" s="151">
        <f>IFERROR(Q244/P244,0)</f>
        <v/>
      </c>
      <c r="S244" s="150">
        <f>IFERROR(P244/SUMIF($A:$A,A244,$P:$P),0)</f>
        <v/>
      </c>
      <c r="T244" s="150">
        <f>IFERROR(P244/E244,0)</f>
        <v/>
      </c>
      <c r="U244" s="148">
        <f>E244-Q244</f>
        <v/>
      </c>
      <c r="V244" s="150">
        <f>IFERROR(U244/E244,0)</f>
        <v/>
      </c>
      <c r="W244" s="148">
        <f>IFERROR(VLOOKUP(A244,周报其他费用!$A:$B,2,FALSE)*H244,0)</f>
        <v/>
      </c>
      <c r="X244" s="148" t="n">
        <v>443.09</v>
      </c>
      <c r="Y244" s="150">
        <f>IFERROR(X244/F244,0)</f>
        <v/>
      </c>
      <c r="Z244" s="148">
        <f>X244-J244/1.06</f>
        <v/>
      </c>
      <c r="AA244" s="150">
        <f>IFERROR(Z244/F244,0)</f>
        <v/>
      </c>
      <c r="AB244" s="148">
        <f>X244-(P244+W244)/1.06</f>
        <v/>
      </c>
      <c r="AC244" s="150">
        <f>IFERROR(AB244/F244,0)</f>
        <v/>
      </c>
    </row>
    <row r="245" ht="14.25" customHeight="1" s="65">
      <c r="A245" s="140" t="inlineStr">
        <is>
          <t>7.13-7.19</t>
        </is>
      </c>
      <c r="B245" s="141" t="n">
        <v>1013887677295</v>
      </c>
      <c r="C245" s="140" t="inlineStr">
        <is>
          <t>混搭5杯</t>
        </is>
      </c>
      <c r="D245" s="140" t="inlineStr">
        <is>
          <t>进口营多原味杯面日式杯面韩式杯面泡面方便面汤面宿舍速食夜宵</t>
        </is>
      </c>
      <c r="E245" s="142" t="n">
        <v>1260.68</v>
      </c>
      <c r="F245" s="142">
        <f>IFERROR(E245/1.13,0)</f>
        <v/>
      </c>
      <c r="G245" s="143" t="n">
        <v>49</v>
      </c>
      <c r="H245" s="144">
        <f>IFERROR(G245/SUMIF($A:$A,A245,$G:$G),0)</f>
        <v/>
      </c>
      <c r="I245" s="142">
        <f>IFERROR(E245/G245,0)</f>
        <v/>
      </c>
      <c r="J245" s="142" t="n">
        <v>256.539761029412</v>
      </c>
      <c r="K245" s="142" t="n">
        <v>738.549503676471</v>
      </c>
      <c r="L245" s="145">
        <f>IFERROR(K245/J245,0)</f>
        <v/>
      </c>
      <c r="M245" s="142" t="n">
        <v>25.96125</v>
      </c>
      <c r="N245" s="142" t="n">
        <v>56.5038970588235</v>
      </c>
      <c r="O245" s="145">
        <f>IFERROR(N245/M245,0)</f>
        <v/>
      </c>
      <c r="P245" s="142">
        <f>J245+M245</f>
        <v/>
      </c>
      <c r="Q245" s="142">
        <f>K245+N245</f>
        <v/>
      </c>
      <c r="R245" s="145">
        <f>IFERROR(Q245/P245,0)</f>
        <v/>
      </c>
      <c r="S245" s="144">
        <f>IFERROR(P245/SUMIF($A:$A,A245,$P:$P),0)</f>
        <v/>
      </c>
      <c r="T245" s="144">
        <f>IFERROR(P245/E245,0)</f>
        <v/>
      </c>
      <c r="U245" s="142">
        <f>E245-Q245</f>
        <v/>
      </c>
      <c r="V245" s="144">
        <f>IFERROR(U245/E245,0)</f>
        <v/>
      </c>
      <c r="W245" s="142">
        <f>IFERROR(VLOOKUP(A245,周报其他费用!$A:$B,2,FALSE)*H245,0)</f>
        <v/>
      </c>
      <c r="X245" s="142" t="n">
        <v>121.911</v>
      </c>
      <c r="Y245" s="144">
        <f>IFERROR(X245/F245,0)</f>
        <v/>
      </c>
      <c r="Z245" s="142">
        <f>X245-J245/1.06</f>
        <v/>
      </c>
      <c r="AA245" s="144">
        <f>IFERROR(Z245/F245,0)</f>
        <v/>
      </c>
      <c r="AB245" s="142">
        <f>X245-(P245+W245)/1.06</f>
        <v/>
      </c>
      <c r="AC245" s="144">
        <f>IFERROR(AB245/F245,0)</f>
        <v/>
      </c>
    </row>
    <row r="246" ht="14.25" customHeight="1" s="65">
      <c r="A246" s="146" t="inlineStr">
        <is>
          <t>7.13-7.19</t>
        </is>
      </c>
      <c r="B246" s="147" t="n">
        <v>1059563993918</v>
      </c>
      <c r="C246" s="146" t="inlineStr">
        <is>
          <t>原味大包</t>
        </is>
      </c>
      <c r="D246" s="146" t="inlineStr">
        <is>
          <t>indomie印尼进口营多原味大大包129g捞面方便面速食食品宵夜小吃</t>
        </is>
      </c>
      <c r="E246" s="148" t="n">
        <v>540.67</v>
      </c>
      <c r="F246" s="148">
        <f>IFERROR(E246/1.13,0)</f>
        <v/>
      </c>
      <c r="G246" s="149" t="n">
        <v>36</v>
      </c>
      <c r="H246" s="150">
        <f>IFERROR(G246/SUMIF($A:$A,A246,$G:$G),0)</f>
        <v/>
      </c>
      <c r="I246" s="148">
        <f>IFERROR(E246/G246,0)</f>
        <v/>
      </c>
      <c r="J246" s="148" t="n">
        <v>74.82778361344531</v>
      </c>
      <c r="K246" s="148" t="n">
        <v>404.720451680672</v>
      </c>
      <c r="L246" s="151">
        <f>IFERROR(K246/J246,0)</f>
        <v/>
      </c>
      <c r="M246" s="148" t="n">
        <v>19.0735714285714</v>
      </c>
      <c r="N246" s="148" t="n">
        <v>41.5130672268908</v>
      </c>
      <c r="O246" s="151">
        <f>IFERROR(N246/M246,0)</f>
        <v/>
      </c>
      <c r="P246" s="148">
        <f>J246+M246</f>
        <v/>
      </c>
      <c r="Q246" s="148">
        <f>K246+N246</f>
        <v/>
      </c>
      <c r="R246" s="151">
        <f>IFERROR(Q246/P246,0)</f>
        <v/>
      </c>
      <c r="S246" s="150">
        <f>IFERROR(P246/SUMIF($A:$A,A246,$P:$P),0)</f>
        <v/>
      </c>
      <c r="T246" s="150">
        <f>IFERROR(P246/E246,0)</f>
        <v/>
      </c>
      <c r="U246" s="148">
        <f>E246-Q246</f>
        <v/>
      </c>
      <c r="V246" s="150">
        <f>IFERROR(U246/E246,0)</f>
        <v/>
      </c>
      <c r="W246" s="148">
        <f>IFERROR(VLOOKUP(A246,周报其他费用!$A:$B,2,FALSE)*H246,0)</f>
        <v/>
      </c>
      <c r="X246" s="148" t="n">
        <v>-5.07499999999999</v>
      </c>
      <c r="Y246" s="150">
        <f>IFERROR(X246/F246,0)</f>
        <v/>
      </c>
      <c r="Z246" s="148">
        <f>X246-J246/1.06</f>
        <v/>
      </c>
      <c r="AA246" s="150">
        <f>IFERROR(Z246/F246,0)</f>
        <v/>
      </c>
      <c r="AB246" s="148">
        <f>X246-(P246+W246)/1.06</f>
        <v/>
      </c>
      <c r="AC246" s="150">
        <f>IFERROR(AB246/F246,0)</f>
        <v/>
      </c>
    </row>
    <row r="247" ht="14.25" customHeight="1" s="65">
      <c r="A247" s="140" t="inlineStr">
        <is>
          <t>7.13-7.19</t>
        </is>
      </c>
      <c r="B247" s="141" t="n">
        <v>648681860568</v>
      </c>
      <c r="C247" s="140" t="inlineStr">
        <is>
          <t>杯面次链接</t>
        </is>
      </c>
      <c r="D247" s="140" t="inlineStr">
        <is>
          <t>营多捞面杯装方便面泡面速食干拌面原味整箱批发印尼进口桶装拌面</t>
        </is>
      </c>
      <c r="E247" s="142" t="n">
        <v>841.6799999999999</v>
      </c>
      <c r="F247" s="142">
        <f>IFERROR(E247/1.13,0)</f>
        <v/>
      </c>
      <c r="G247" s="143" t="n">
        <v>36</v>
      </c>
      <c r="H247" s="144">
        <f>IFERROR(G247/SUMIF($A:$A,A247,$G:$G),0)</f>
        <v/>
      </c>
      <c r="I247" s="142">
        <f>IFERROR(E247/G247,0)</f>
        <v/>
      </c>
      <c r="J247" s="142" t="n">
        <v>141.077783613445</v>
      </c>
      <c r="K247" s="142" t="n">
        <v>830.9104516806721</v>
      </c>
      <c r="L247" s="145">
        <f>IFERROR(K247/J247,0)</f>
        <v/>
      </c>
      <c r="M247" s="142" t="n">
        <v>19.0735714285714</v>
      </c>
      <c r="N247" s="142" t="n">
        <v>41.5130672268908</v>
      </c>
      <c r="O247" s="145">
        <f>IFERROR(N247/M247,0)</f>
        <v/>
      </c>
      <c r="P247" s="142">
        <f>J247+M247</f>
        <v/>
      </c>
      <c r="Q247" s="142">
        <f>K247+N247</f>
        <v/>
      </c>
      <c r="R247" s="145">
        <f>IFERROR(Q247/P247,0)</f>
        <v/>
      </c>
      <c r="S247" s="144">
        <f>IFERROR(P247/SUMIF($A:$A,A247,$P:$P),0)</f>
        <v/>
      </c>
      <c r="T247" s="144">
        <f>IFERROR(P247/E247,0)</f>
        <v/>
      </c>
      <c r="U247" s="142">
        <f>E247-Q247</f>
        <v/>
      </c>
      <c r="V247" s="144">
        <f>IFERROR(U247/E247,0)</f>
        <v/>
      </c>
      <c r="W247" s="142">
        <f>IFERROR(VLOOKUP(A247,周报其他费用!$A:$B,2,FALSE)*H247,0)</f>
        <v/>
      </c>
      <c r="X247" s="142" t="n">
        <v>72.681</v>
      </c>
      <c r="Y247" s="144">
        <f>IFERROR(X247/F247,0)</f>
        <v/>
      </c>
      <c r="Z247" s="142">
        <f>X247-J247/1.06</f>
        <v/>
      </c>
      <c r="AA247" s="144">
        <f>IFERROR(Z247/F247,0)</f>
        <v/>
      </c>
      <c r="AB247" s="142">
        <f>X247-(P247+W247)/1.06</f>
        <v/>
      </c>
      <c r="AC247" s="144">
        <f>IFERROR(AB247/F247,0)</f>
        <v/>
      </c>
    </row>
    <row r="248" ht="14.25" customHeight="1" s="65">
      <c r="A248" s="146" t="inlineStr">
        <is>
          <t>7.13-7.19</t>
        </is>
      </c>
      <c r="B248" s="147" t="n">
        <v>735014804839</v>
      </c>
      <c r="C248" s="146" t="inlineStr">
        <is>
          <t>24/30包</t>
        </is>
      </c>
      <c r="D248" s="146" t="inlineStr">
        <is>
          <t>进口营多捞面多口味Indomie网红方便面干拌面泡面30包整箱批发面</t>
        </is>
      </c>
      <c r="E248" s="148" t="n">
        <v>1857.12</v>
      </c>
      <c r="F248" s="148">
        <f>IFERROR(E248/1.13,0)</f>
        <v/>
      </c>
      <c r="G248" s="149" t="n">
        <v>27</v>
      </c>
      <c r="H248" s="150">
        <f>IFERROR(G248/SUMIF($A:$A,A248,$G:$G),0)</f>
        <v/>
      </c>
      <c r="I248" s="148">
        <f>IFERROR(E248/G248,0)</f>
        <v/>
      </c>
      <c r="J248" s="148" t="n">
        <v>278.083337710084</v>
      </c>
      <c r="K248" s="148" t="n">
        <v>1360.8103387605</v>
      </c>
      <c r="L248" s="151">
        <f>IFERROR(K248/J248,0)</f>
        <v/>
      </c>
      <c r="M248" s="148" t="n">
        <v>14.3051785714286</v>
      </c>
      <c r="N248" s="148" t="n">
        <v>31.1348004201681</v>
      </c>
      <c r="O248" s="151">
        <f>IFERROR(N248/M248,0)</f>
        <v/>
      </c>
      <c r="P248" s="148">
        <f>J248+M248</f>
        <v/>
      </c>
      <c r="Q248" s="148">
        <f>K248+N248</f>
        <v/>
      </c>
      <c r="R248" s="151">
        <f>IFERROR(Q248/P248,0)</f>
        <v/>
      </c>
      <c r="S248" s="150">
        <f>IFERROR(P248/SUMIF($A:$A,A248,$P:$P),0)</f>
        <v/>
      </c>
      <c r="T248" s="150">
        <f>IFERROR(P248/E248,0)</f>
        <v/>
      </c>
      <c r="U248" s="148">
        <f>E248-Q248</f>
        <v/>
      </c>
      <c r="V248" s="150">
        <f>IFERROR(U248/E248,0)</f>
        <v/>
      </c>
      <c r="W248" s="148">
        <f>IFERROR(VLOOKUP(A248,周报其他费用!$A:$B,2,FALSE)*H248,0)</f>
        <v/>
      </c>
      <c r="X248" s="148" t="n">
        <v>370.62</v>
      </c>
      <c r="Y248" s="150">
        <f>IFERROR(X248/F248,0)</f>
        <v/>
      </c>
      <c r="Z248" s="148">
        <f>X248-J248/1.06</f>
        <v/>
      </c>
      <c r="AA248" s="150">
        <f>IFERROR(Z248/F248,0)</f>
        <v/>
      </c>
      <c r="AB248" s="148">
        <f>X248-(P248+W248)/1.06</f>
        <v/>
      </c>
      <c r="AC248" s="150">
        <f>IFERROR(AB248/F248,0)</f>
        <v/>
      </c>
    </row>
    <row r="249" ht="14.25" customHeight="1" s="65">
      <c r="A249" s="140" t="inlineStr">
        <is>
          <t>7.13-7.19</t>
        </is>
      </c>
      <c r="B249" s="141" t="n">
        <v>929504658691</v>
      </c>
      <c r="C249" s="140" t="inlineStr">
        <is>
          <t>日式袋面</t>
        </is>
      </c>
      <c r="D249" s="140" t="inlineStr">
        <is>
          <t>营多捞面日式鸡肉汤面原味辛辣味袋装泡面方便面速食宿舍夜宵食品</t>
        </is>
      </c>
      <c r="E249" s="142" t="n">
        <v>652.4299999999999</v>
      </c>
      <c r="F249" s="142">
        <f>IFERROR(E249/1.13,0)</f>
        <v/>
      </c>
      <c r="G249" s="143" t="n">
        <v>26</v>
      </c>
      <c r="H249" s="144">
        <f>IFERROR(G249/SUMIF($A:$A,A249,$G:$G),0)</f>
        <v/>
      </c>
      <c r="I249" s="142">
        <f>IFERROR(E249/G249,0)</f>
        <v/>
      </c>
      <c r="J249" s="142" t="n">
        <v>142.713954831933</v>
      </c>
      <c r="K249" s="142" t="n">
        <v>470.598103991597</v>
      </c>
      <c r="L249" s="145">
        <f>IFERROR(K249/J249,0)</f>
        <v/>
      </c>
      <c r="M249" s="142" t="n">
        <v>13.7753571428571</v>
      </c>
      <c r="N249" s="142" t="n">
        <v>29.9816596638655</v>
      </c>
      <c r="O249" s="145">
        <f>IFERROR(N249/M249,0)</f>
        <v/>
      </c>
      <c r="P249" s="142">
        <f>J249+M249</f>
        <v/>
      </c>
      <c r="Q249" s="142">
        <f>K249+N249</f>
        <v/>
      </c>
      <c r="R249" s="145">
        <f>IFERROR(Q249/P249,0)</f>
        <v/>
      </c>
      <c r="S249" s="144">
        <f>IFERROR(P249/SUMIF($A:$A,A249,$P:$P),0)</f>
        <v/>
      </c>
      <c r="T249" s="144">
        <f>IFERROR(P249/E249,0)</f>
        <v/>
      </c>
      <c r="U249" s="142">
        <f>E249-Q249</f>
        <v/>
      </c>
      <c r="V249" s="144">
        <f>IFERROR(U249/E249,0)</f>
        <v/>
      </c>
      <c r="W249" s="142">
        <f>IFERROR(VLOOKUP(A249,周报其他费用!$A:$B,2,FALSE)*H249,0)</f>
        <v/>
      </c>
      <c r="X249" s="142" t="n">
        <v>114.322</v>
      </c>
      <c r="Y249" s="144">
        <f>IFERROR(X249/F249,0)</f>
        <v/>
      </c>
      <c r="Z249" s="142">
        <f>X249-J249/1.06</f>
        <v/>
      </c>
      <c r="AA249" s="144">
        <f>IFERROR(Z249/F249,0)</f>
        <v/>
      </c>
      <c r="AB249" s="142">
        <f>X249-(P249+W249)/1.06</f>
        <v/>
      </c>
      <c r="AC249" s="144">
        <f>IFERROR(AB249/F249,0)</f>
        <v/>
      </c>
    </row>
    <row r="250" ht="14.25" customHeight="1" s="65">
      <c r="A250" s="146" t="inlineStr">
        <is>
          <t>7.13-7.19</t>
        </is>
      </c>
      <c r="B250" s="147" t="n">
        <v>744317232690</v>
      </c>
      <c r="C250" s="146" t="inlineStr">
        <is>
          <t>多规格</t>
        </is>
      </c>
      <c r="D250" s="146" t="inlineStr">
        <is>
          <t>营多捞面汤面清香牛肉味方便面泡面速食食品泡面拉面整箱旅行宿舍</t>
        </is>
      </c>
      <c r="E250" s="148" t="n">
        <v>461.75</v>
      </c>
      <c r="F250" s="148">
        <f>IFERROR(E250/1.13,0)</f>
        <v/>
      </c>
      <c r="G250" s="149" t="n">
        <v>22</v>
      </c>
      <c r="H250" s="150">
        <f>IFERROR(G250/SUMIF($A:$A,A250,$G:$G),0)</f>
        <v/>
      </c>
      <c r="I250" s="148">
        <f>IFERROR(E250/G250,0)</f>
        <v/>
      </c>
      <c r="J250" s="148" t="n">
        <v>41.4764233193277</v>
      </c>
      <c r="K250" s="148" t="n">
        <v>213.309164915966</v>
      </c>
      <c r="L250" s="151">
        <f>IFERROR(K250/J250,0)</f>
        <v/>
      </c>
      <c r="M250" s="148" t="n">
        <v>11.6560714285714</v>
      </c>
      <c r="N250" s="148" t="n">
        <v>25.3690966386555</v>
      </c>
      <c r="O250" s="151">
        <f>IFERROR(N250/M250,0)</f>
        <v/>
      </c>
      <c r="P250" s="148">
        <f>J250+M250</f>
        <v/>
      </c>
      <c r="Q250" s="148">
        <f>K250+N250</f>
        <v/>
      </c>
      <c r="R250" s="151">
        <f>IFERROR(Q250/P250,0)</f>
        <v/>
      </c>
      <c r="S250" s="150">
        <f>IFERROR(P250/SUMIF($A:$A,A250,$P:$P),0)</f>
        <v/>
      </c>
      <c r="T250" s="150">
        <f>IFERROR(P250/E250,0)</f>
        <v/>
      </c>
      <c r="U250" s="148">
        <f>E250-Q250</f>
        <v/>
      </c>
      <c r="V250" s="150">
        <f>IFERROR(U250/E250,0)</f>
        <v/>
      </c>
      <c r="W250" s="148">
        <f>IFERROR(VLOOKUP(A250,周报其他费用!$A:$B,2,FALSE)*H250,0)</f>
        <v/>
      </c>
      <c r="X250" s="148" t="n">
        <v>53.033</v>
      </c>
      <c r="Y250" s="150">
        <f>IFERROR(X250/F250,0)</f>
        <v/>
      </c>
      <c r="Z250" s="148">
        <f>X250-J250/1.06</f>
        <v/>
      </c>
      <c r="AA250" s="150">
        <f>IFERROR(Z250/F250,0)</f>
        <v/>
      </c>
      <c r="AB250" s="148">
        <f>X250-(P250+W250)/1.06</f>
        <v/>
      </c>
      <c r="AC250" s="150">
        <f>IFERROR(AB250/F250,0)</f>
        <v/>
      </c>
    </row>
    <row r="251" ht="14.25" customHeight="1" s="65">
      <c r="A251" s="140" t="inlineStr">
        <is>
          <t>7.13-7.19</t>
        </is>
      </c>
      <c r="B251" s="141" t="n">
        <v>969423151512</v>
      </c>
      <c r="C251" s="140" t="inlineStr">
        <is>
          <t>日韩混搭</t>
        </is>
      </c>
      <c r="D251" s="140" t="inlineStr">
        <is>
          <t>营多捞面甜辣炸鸡火鸡面辣蘑菇泡面方便面速食干拌面宿舍宵夜旅行</t>
        </is>
      </c>
      <c r="E251" s="142" t="n">
        <v>365.92</v>
      </c>
      <c r="F251" s="142">
        <f>IFERROR(E251/1.13,0)</f>
        <v/>
      </c>
      <c r="G251" s="143" t="n">
        <v>17</v>
      </c>
      <c r="H251" s="144">
        <f>IFERROR(G251/SUMIF($A:$A,A251,$G:$G),0)</f>
        <v/>
      </c>
      <c r="I251" s="142">
        <f>IFERROR(E251/G251,0)</f>
        <v/>
      </c>
      <c r="J251" s="142" t="n">
        <v>64.5595089285714</v>
      </c>
      <c r="K251" s="142" t="n">
        <v>292.947991071429</v>
      </c>
      <c r="L251" s="145">
        <f>IFERROR(K251/J251,0)</f>
        <v/>
      </c>
      <c r="M251" s="142" t="n">
        <v>9.006964285714281</v>
      </c>
      <c r="N251" s="142" t="n">
        <v>19.6033928571429</v>
      </c>
      <c r="O251" s="145">
        <f>IFERROR(N251/M251,0)</f>
        <v/>
      </c>
      <c r="P251" s="142">
        <f>J251+M251</f>
        <v/>
      </c>
      <c r="Q251" s="142">
        <f>K251+N251</f>
        <v/>
      </c>
      <c r="R251" s="145">
        <f>IFERROR(Q251/P251,0)</f>
        <v/>
      </c>
      <c r="S251" s="144">
        <f>IFERROR(P251/SUMIF($A:$A,A251,$P:$P),0)</f>
        <v/>
      </c>
      <c r="T251" s="144">
        <f>IFERROR(P251/E251,0)</f>
        <v/>
      </c>
      <c r="U251" s="142">
        <f>E251-Q251</f>
        <v/>
      </c>
      <c r="V251" s="144">
        <f>IFERROR(U251/E251,0)</f>
        <v/>
      </c>
      <c r="W251" s="142">
        <f>IFERROR(VLOOKUP(A251,周报其他费用!$A:$B,2,FALSE)*H251,0)</f>
        <v/>
      </c>
      <c r="X251" s="142" t="n">
        <v>53.776</v>
      </c>
      <c r="Y251" s="144">
        <f>IFERROR(X251/F251,0)</f>
        <v/>
      </c>
      <c r="Z251" s="142">
        <f>X251-J251/1.06</f>
        <v/>
      </c>
      <c r="AA251" s="144">
        <f>IFERROR(Z251/F251,0)</f>
        <v/>
      </c>
      <c r="AB251" s="142">
        <f>X251-(P251+W251)/1.06</f>
        <v/>
      </c>
      <c r="AC251" s="144">
        <f>IFERROR(AB251/F251,0)</f>
        <v/>
      </c>
    </row>
    <row r="252" ht="14.25" customHeight="1" s="65">
      <c r="A252" s="146" t="inlineStr">
        <is>
          <t>7.13-7.19</t>
        </is>
      </c>
      <c r="B252" s="147" t="n">
        <v>766165464414</v>
      </c>
      <c r="C252" s="146" t="inlineStr">
        <is>
          <t>12包</t>
        </is>
      </c>
      <c r="D252" s="146" t="inlineStr">
        <is>
          <t>营多印尼进口营多捞面方便面火鸡面干拌面12包宿舍速食泡面夜宵</t>
        </is>
      </c>
      <c r="E252" s="148" t="n">
        <v>483.08</v>
      </c>
      <c r="F252" s="148">
        <f>IFERROR(E252/1.13,0)</f>
        <v/>
      </c>
      <c r="G252" s="149" t="n">
        <v>17</v>
      </c>
      <c r="H252" s="150">
        <f>IFERROR(G252/SUMIF($A:$A,A252,$G:$G),0)</f>
        <v/>
      </c>
      <c r="I252" s="148">
        <f>IFERROR(E252/G252,0)</f>
        <v/>
      </c>
      <c r="J252" s="148" t="n">
        <v>30.3295089285714</v>
      </c>
      <c r="K252" s="148" t="n">
        <v>127.737991071429</v>
      </c>
      <c r="L252" s="151">
        <f>IFERROR(K252/J252,0)</f>
        <v/>
      </c>
      <c r="M252" s="148" t="n">
        <v>9.006964285714281</v>
      </c>
      <c r="N252" s="148" t="n">
        <v>19.6033928571429</v>
      </c>
      <c r="O252" s="151">
        <f>IFERROR(N252/M252,0)</f>
        <v/>
      </c>
      <c r="P252" s="148">
        <f>J252+M252</f>
        <v/>
      </c>
      <c r="Q252" s="148">
        <f>K252+N252</f>
        <v/>
      </c>
      <c r="R252" s="151">
        <f>IFERROR(Q252/P252,0)</f>
        <v/>
      </c>
      <c r="S252" s="150">
        <f>IFERROR(P252/SUMIF($A:$A,A252,$P:$P),0)</f>
        <v/>
      </c>
      <c r="T252" s="150">
        <f>IFERROR(P252/E252,0)</f>
        <v/>
      </c>
      <c r="U252" s="148">
        <f>E252-Q252</f>
        <v/>
      </c>
      <c r="V252" s="150">
        <f>IFERROR(U252/E252,0)</f>
        <v/>
      </c>
      <c r="W252" s="148">
        <f>IFERROR(VLOOKUP(A252,周报其他费用!$A:$B,2,FALSE)*H252,0)</f>
        <v/>
      </c>
      <c r="X252" s="148" t="n">
        <v>57.048</v>
      </c>
      <c r="Y252" s="150">
        <f>IFERROR(X252/F252,0)</f>
        <v/>
      </c>
      <c r="Z252" s="148">
        <f>X252-J252/1.06</f>
        <v/>
      </c>
      <c r="AA252" s="150">
        <f>IFERROR(Z252/F252,0)</f>
        <v/>
      </c>
      <c r="AB252" s="148">
        <f>X252-(P252+W252)/1.06</f>
        <v/>
      </c>
      <c r="AC252" s="150">
        <f>IFERROR(AB252/F252,0)</f>
        <v/>
      </c>
    </row>
    <row r="253" ht="14.25" customHeight="1" s="65">
      <c r="A253" s="140" t="inlineStr">
        <is>
          <t>7.13-7.19</t>
        </is>
      </c>
      <c r="B253" s="141" t="n">
        <v>886856687067</v>
      </c>
      <c r="C253" s="140" t="inlineStr">
        <is>
          <t>大骨</t>
        </is>
      </c>
      <c r="D253" s="140" t="inlineStr">
        <is>
          <t>营多捞面牛系列大骨牛肉味方便面食品泡面拉面汤面宿舍宵夜旅行</t>
        </is>
      </c>
      <c r="E253" s="142" t="n">
        <v>292.02</v>
      </c>
      <c r="F253" s="142">
        <f>IFERROR(E253/1.13,0)</f>
        <v/>
      </c>
      <c r="G253" s="143" t="n">
        <v>12</v>
      </c>
      <c r="H253" s="144">
        <f>IFERROR(G253/SUMIF($A:$A,A253,$G:$G),0)</f>
        <v/>
      </c>
      <c r="I253" s="142">
        <f>IFERROR(E253/G253,0)</f>
        <v/>
      </c>
      <c r="J253" s="142" t="n">
        <v>9.952594537815109</v>
      </c>
      <c r="K253" s="142" t="n">
        <v>37.4468172268908</v>
      </c>
      <c r="L253" s="145">
        <f>IFERROR(K253/J253,0)</f>
        <v/>
      </c>
      <c r="M253" s="142" t="n">
        <v>6.35785714285714</v>
      </c>
      <c r="N253" s="142" t="n">
        <v>13.8376890756303</v>
      </c>
      <c r="O253" s="145">
        <f>IFERROR(N253/M253,0)</f>
        <v/>
      </c>
      <c r="P253" s="142">
        <f>J253+M253</f>
        <v/>
      </c>
      <c r="Q253" s="142">
        <f>K253+N253</f>
        <v/>
      </c>
      <c r="R253" s="145">
        <f>IFERROR(Q253/P253,0)</f>
        <v/>
      </c>
      <c r="S253" s="144">
        <f>IFERROR(P253/SUMIF($A:$A,A253,$P:$P),0)</f>
        <v/>
      </c>
      <c r="T253" s="144">
        <f>IFERROR(P253/E253,0)</f>
        <v/>
      </c>
      <c r="U253" s="142">
        <f>E253-Q253</f>
        <v/>
      </c>
      <c r="V253" s="144">
        <f>IFERROR(U253/E253,0)</f>
        <v/>
      </c>
      <c r="W253" s="142">
        <f>IFERROR(VLOOKUP(A253,周报其他费用!$A:$B,2,FALSE)*H253,0)</f>
        <v/>
      </c>
      <c r="X253" s="142" t="n">
        <v>52.838</v>
      </c>
      <c r="Y253" s="144">
        <f>IFERROR(X253/F253,0)</f>
        <v/>
      </c>
      <c r="Z253" s="142">
        <f>X253-J253/1.06</f>
        <v/>
      </c>
      <c r="AA253" s="144">
        <f>IFERROR(Z253/F253,0)</f>
        <v/>
      </c>
      <c r="AB253" s="142">
        <f>X253-(P253+W253)/1.06</f>
        <v/>
      </c>
      <c r="AC253" s="144">
        <f>IFERROR(AB253/F253,0)</f>
        <v/>
      </c>
    </row>
    <row r="254" ht="14.25" customHeight="1" s="65">
      <c r="A254" s="146" t="inlineStr">
        <is>
          <t>7.13-7.19</t>
        </is>
      </c>
      <c r="B254" s="147" t="n">
        <v>898076297965</v>
      </c>
      <c r="C254" s="146" t="inlineStr">
        <is>
          <t>番茄牛肉</t>
        </is>
      </c>
      <c r="D254" s="146" t="inlineStr">
        <is>
          <t>进口正品意面风味奶香番茄牛肉味意式拌面营多捞面早餐儿童宝妈餐</t>
        </is>
      </c>
      <c r="E254" s="148" t="n">
        <v>176.42</v>
      </c>
      <c r="F254" s="148">
        <f>IFERROR(E254/1.13,0)</f>
        <v/>
      </c>
      <c r="G254" s="149" t="n">
        <v>10</v>
      </c>
      <c r="H254" s="150">
        <f>IFERROR(G254/SUMIF($A:$A,A254,$G:$G),0)</f>
        <v/>
      </c>
      <c r="I254" s="148">
        <f>IFERROR(E254/G254,0)</f>
        <v/>
      </c>
      <c r="J254" s="148" t="n">
        <v>16.5338287815126</v>
      </c>
      <c r="K254" s="148" t="n">
        <v>62.6723476890756</v>
      </c>
      <c r="L254" s="151">
        <f>IFERROR(K254/J254,0)</f>
        <v/>
      </c>
      <c r="M254" s="148" t="n">
        <v>5.29821428571429</v>
      </c>
      <c r="N254" s="148" t="n">
        <v>11.5314075630252</v>
      </c>
      <c r="O254" s="151">
        <f>IFERROR(N254/M254,0)</f>
        <v/>
      </c>
      <c r="P254" s="148">
        <f>J254+M254</f>
        <v/>
      </c>
      <c r="Q254" s="148">
        <f>K254+N254</f>
        <v/>
      </c>
      <c r="R254" s="151">
        <f>IFERROR(Q254/P254,0)</f>
        <v/>
      </c>
      <c r="S254" s="150">
        <f>IFERROR(P254/SUMIF($A:$A,A254,$P:$P),0)</f>
        <v/>
      </c>
      <c r="T254" s="150">
        <f>IFERROR(P254/E254,0)</f>
        <v/>
      </c>
      <c r="U254" s="148">
        <f>E254-Q254</f>
        <v/>
      </c>
      <c r="V254" s="150">
        <f>IFERROR(U254/E254,0)</f>
        <v/>
      </c>
      <c r="W254" s="148">
        <f>IFERROR(VLOOKUP(A254,周报其他费用!$A:$B,2,FALSE)*H254,0)</f>
        <v/>
      </c>
      <c r="X254" s="148" t="n">
        <v>10.553</v>
      </c>
      <c r="Y254" s="150">
        <f>IFERROR(X254/F254,0)</f>
        <v/>
      </c>
      <c r="Z254" s="148">
        <f>X254-J254/1.06</f>
        <v/>
      </c>
      <c r="AA254" s="150">
        <f>IFERROR(Z254/F254,0)</f>
        <v/>
      </c>
      <c r="AB254" s="148">
        <f>X254-(P254+W254)/1.06</f>
        <v/>
      </c>
      <c r="AC254" s="150">
        <f>IFERROR(AB254/F254,0)</f>
        <v/>
      </c>
    </row>
    <row r="255" ht="14.25" customHeight="1" s="65">
      <c r="A255" s="140" t="inlineStr">
        <is>
          <t>7.13-7.19</t>
        </is>
      </c>
      <c r="B255" s="141" t="n">
        <v>937005385662</v>
      </c>
      <c r="C255" s="140" t="inlineStr">
        <is>
          <t>日式袋面</t>
        </is>
      </c>
      <c r="D255" s="140" t="inlineStr">
        <is>
          <t>进口营多正品捞面日式鸡肉鸡汤辛辣味袋装泡面辣味速食方便面汤面</t>
        </is>
      </c>
      <c r="E255" s="142" t="n">
        <v>210.86</v>
      </c>
      <c r="F255" s="142">
        <f>IFERROR(E255/1.13,0)</f>
        <v/>
      </c>
      <c r="G255" s="143" t="n">
        <v>9</v>
      </c>
      <c r="H255" s="144">
        <f>IFERROR(G255/SUMIF($A:$A,A255,$G:$G),0)</f>
        <v/>
      </c>
      <c r="I255" s="142">
        <f>IFERROR(E255/G255,0)</f>
        <v/>
      </c>
      <c r="J255" s="142" t="n">
        <v>33.5844459033613</v>
      </c>
      <c r="K255" s="142" t="n">
        <v>120.980112920168</v>
      </c>
      <c r="L255" s="145">
        <f>IFERROR(K255/J255,0)</f>
        <v/>
      </c>
      <c r="M255" s="142" t="n">
        <v>4.76839285714286</v>
      </c>
      <c r="N255" s="142" t="n">
        <v>10.3782668067227</v>
      </c>
      <c r="O255" s="145">
        <f>IFERROR(N255/M255,0)</f>
        <v/>
      </c>
      <c r="P255" s="142">
        <f>J255+M255</f>
        <v/>
      </c>
      <c r="Q255" s="142">
        <f>K255+N255</f>
        <v/>
      </c>
      <c r="R255" s="145">
        <f>IFERROR(Q255/P255,0)</f>
        <v/>
      </c>
      <c r="S255" s="144">
        <f>IFERROR(P255/SUMIF($A:$A,A255,$P:$P),0)</f>
        <v/>
      </c>
      <c r="T255" s="144">
        <f>IFERROR(P255/E255,0)</f>
        <v/>
      </c>
      <c r="U255" s="142">
        <f>E255-Q255</f>
        <v/>
      </c>
      <c r="V255" s="144">
        <f>IFERROR(U255/E255,0)</f>
        <v/>
      </c>
      <c r="W255" s="142">
        <f>IFERROR(VLOOKUP(A255,周报其他费用!$A:$B,2,FALSE)*H255,0)</f>
        <v/>
      </c>
      <c r="X255" s="142" t="n">
        <v>28.344</v>
      </c>
      <c r="Y255" s="144">
        <f>IFERROR(X255/F255,0)</f>
        <v/>
      </c>
      <c r="Z255" s="142">
        <f>X255-J255/1.06</f>
        <v/>
      </c>
      <c r="AA255" s="144">
        <f>IFERROR(Z255/F255,0)</f>
        <v/>
      </c>
      <c r="AB255" s="142">
        <f>X255-(P255+W255)/1.06</f>
        <v/>
      </c>
      <c r="AC255" s="144">
        <f>IFERROR(AB255/F255,0)</f>
        <v/>
      </c>
    </row>
    <row r="256" ht="14.25" customHeight="1" s="65">
      <c r="A256" s="146" t="inlineStr">
        <is>
          <t>7.13-7.19</t>
        </is>
      </c>
      <c r="B256" s="147" t="n">
        <v>932687928859</v>
      </c>
      <c r="C256" s="146" t="inlineStr">
        <is>
          <t>8包组合</t>
        </is>
      </c>
      <c r="D256" s="146" t="inlineStr">
        <is>
          <t>营多捞面八口味袋装泡面拌面速食面干拌面方便面宿舍宵夜速食家用</t>
        </is>
      </c>
      <c r="E256" s="148" t="n">
        <v>127.58</v>
      </c>
      <c r="F256" s="148">
        <f>IFERROR(E256/1.13,0)</f>
        <v/>
      </c>
      <c r="G256" s="149" t="n">
        <v>5</v>
      </c>
      <c r="H256" s="150">
        <f>IFERROR(G256/SUMIF($A:$A,A256,$G:$G),0)</f>
        <v/>
      </c>
      <c r="I256" s="148">
        <f>IFERROR(E256/G256,0)</f>
        <v/>
      </c>
      <c r="J256" s="148" t="n">
        <v>16.7669143907563</v>
      </c>
      <c r="K256" s="148" t="n">
        <v>4.81117384453782</v>
      </c>
      <c r="L256" s="151">
        <f>IFERROR(K256/J256,0)</f>
        <v/>
      </c>
      <c r="M256" s="148" t="n">
        <v>2.64910714285714</v>
      </c>
      <c r="N256" s="148" t="n">
        <v>5.76570378151261</v>
      </c>
      <c r="O256" s="151">
        <f>IFERROR(N256/M256,0)</f>
        <v/>
      </c>
      <c r="P256" s="148">
        <f>J256+M256</f>
        <v/>
      </c>
      <c r="Q256" s="148">
        <f>K256+N256</f>
        <v/>
      </c>
      <c r="R256" s="151">
        <f>IFERROR(Q256/P256,0)</f>
        <v/>
      </c>
      <c r="S256" s="150">
        <f>IFERROR(P256/SUMIF($A:$A,A256,$P:$P),0)</f>
        <v/>
      </c>
      <c r="T256" s="150">
        <f>IFERROR(P256/E256,0)</f>
        <v/>
      </c>
      <c r="U256" s="148">
        <f>E256-Q256</f>
        <v/>
      </c>
      <c r="V256" s="150">
        <f>IFERROR(U256/E256,0)</f>
        <v/>
      </c>
      <c r="W256" s="148">
        <f>IFERROR(VLOOKUP(A256,周报其他费用!$A:$B,2,FALSE)*H256,0)</f>
        <v/>
      </c>
      <c r="X256" s="148" t="n">
        <v>18.928</v>
      </c>
      <c r="Y256" s="150">
        <f>IFERROR(X256/F256,0)</f>
        <v/>
      </c>
      <c r="Z256" s="148">
        <f>X256-J256/1.06</f>
        <v/>
      </c>
      <c r="AA256" s="150">
        <f>IFERROR(Z256/F256,0)</f>
        <v/>
      </c>
      <c r="AB256" s="148">
        <f>X256-(P256+W256)/1.06</f>
        <v/>
      </c>
      <c r="AC256" s="150">
        <f>IFERROR(AB256/F256,0)</f>
        <v/>
      </c>
    </row>
    <row r="257" ht="14.25" customHeight="1" s="65">
      <c r="A257" s="140" t="inlineStr">
        <is>
          <t>7.13-7.19</t>
        </is>
      </c>
      <c r="B257" s="141" t="n">
        <v>976479938842</v>
      </c>
      <c r="C257" s="140" t="inlineStr">
        <is>
          <t>【U选】原味5</t>
        </is>
      </c>
      <c r="D257" s="140" t="inlineStr">
        <is>
          <t>【天猫U选】indomie营多大骨牛肉味捞面拌面5包</t>
        </is>
      </c>
      <c r="E257" s="142" t="n">
        <v>47.05</v>
      </c>
      <c r="F257" s="142">
        <f>IFERROR(E257/1.13,0)</f>
        <v/>
      </c>
      <c r="G257" s="143" t="n">
        <v>5</v>
      </c>
      <c r="H257" s="144">
        <f>IFERROR(G257/SUMIF($A:$A,A257,$G:$G),0)</f>
        <v/>
      </c>
      <c r="I257" s="142">
        <f>IFERROR(E257/G257,0)</f>
        <v/>
      </c>
      <c r="J257" s="142" t="n">
        <v>1.0969143907563</v>
      </c>
      <c r="K257" s="142" t="n">
        <v>4.81117384453782</v>
      </c>
      <c r="L257" s="145">
        <f>IFERROR(K257/J257,0)</f>
        <v/>
      </c>
      <c r="M257" s="142" t="n">
        <v>2.64910714285714</v>
      </c>
      <c r="N257" s="142" t="n">
        <v>5.76570378151261</v>
      </c>
      <c r="O257" s="145">
        <f>IFERROR(N257/M257,0)</f>
        <v/>
      </c>
      <c r="P257" s="142">
        <f>J257+M257</f>
        <v/>
      </c>
      <c r="Q257" s="142">
        <f>K257+N257</f>
        <v/>
      </c>
      <c r="R257" s="145">
        <f>IFERROR(Q257/P257,0)</f>
        <v/>
      </c>
      <c r="S257" s="144">
        <f>IFERROR(P257/SUMIF($A:$A,A257,$P:$P),0)</f>
        <v/>
      </c>
      <c r="T257" s="144">
        <f>IFERROR(P257/E257,0)</f>
        <v/>
      </c>
      <c r="U257" s="142">
        <f>E257-Q257</f>
        <v/>
      </c>
      <c r="V257" s="144">
        <f>IFERROR(U257/E257,0)</f>
        <v/>
      </c>
      <c r="W257" s="142">
        <f>IFERROR(VLOOKUP(A257,周报其他费用!$A:$B,2,FALSE)*H257,0)</f>
        <v/>
      </c>
      <c r="X257" s="142" t="n">
        <v>-15.825</v>
      </c>
      <c r="Y257" s="144">
        <f>IFERROR(X257/F257,0)</f>
        <v/>
      </c>
      <c r="Z257" s="142">
        <f>X257-J257/1.06</f>
        <v/>
      </c>
      <c r="AA257" s="144">
        <f>IFERROR(Z257/F257,0)</f>
        <v/>
      </c>
      <c r="AB257" s="142">
        <f>X257-(P257+W257)/1.06</f>
        <v/>
      </c>
      <c r="AC257" s="144">
        <f>IFERROR(AB257/F257,0)</f>
        <v/>
      </c>
    </row>
    <row r="258" ht="14.25" customHeight="1" s="65">
      <c r="A258" s="146" t="inlineStr">
        <is>
          <t>7.13-7.19</t>
        </is>
      </c>
      <c r="B258" s="147" t="n">
        <v>969433743398</v>
      </c>
      <c r="C258" s="146" t="inlineStr">
        <is>
          <t>韩蘑菇</t>
        </is>
      </c>
      <c r="D258" s="146" t="inlineStr">
        <is>
          <t>新品营多捞面韩式辣蘑菇汤面泡面方便面速食干拌面宿舍宵夜旅行</t>
        </is>
      </c>
      <c r="E258" s="148" t="n">
        <v>85.18000000000001</v>
      </c>
      <c r="F258" s="148">
        <f>IFERROR(E258/1.13,0)</f>
        <v/>
      </c>
      <c r="G258" s="149" t="n">
        <v>5</v>
      </c>
      <c r="H258" s="150">
        <f>IFERROR(G258/SUMIF($A:$A,A258,$G:$G),0)</f>
        <v/>
      </c>
      <c r="I258" s="148">
        <f>IFERROR(E258/G258,0)</f>
        <v/>
      </c>
      <c r="J258" s="148" t="n">
        <v>7.2869143907563</v>
      </c>
      <c r="K258" s="148" t="n">
        <v>36.8511738445378</v>
      </c>
      <c r="L258" s="151">
        <f>IFERROR(K258/J258,0)</f>
        <v/>
      </c>
      <c r="M258" s="148" t="n">
        <v>2.64910714285714</v>
      </c>
      <c r="N258" s="148" t="n">
        <v>5.76570378151261</v>
      </c>
      <c r="O258" s="151">
        <f>IFERROR(N258/M258,0)</f>
        <v/>
      </c>
      <c r="P258" s="148">
        <f>J258+M258</f>
        <v/>
      </c>
      <c r="Q258" s="148">
        <f>K258+N258</f>
        <v/>
      </c>
      <c r="R258" s="151">
        <f>IFERROR(Q258/P258,0)</f>
        <v/>
      </c>
      <c r="S258" s="150">
        <f>IFERROR(P258/SUMIF($A:$A,A258,$P:$P),0)</f>
        <v/>
      </c>
      <c r="T258" s="150">
        <f>IFERROR(P258/E258,0)</f>
        <v/>
      </c>
      <c r="U258" s="148">
        <f>E258-Q258</f>
        <v/>
      </c>
      <c r="V258" s="150">
        <f>IFERROR(U258/E258,0)</f>
        <v/>
      </c>
      <c r="W258" s="148">
        <f>IFERROR(VLOOKUP(A258,周报其他费用!$A:$B,2,FALSE)*H258,0)</f>
        <v/>
      </c>
      <c r="X258" s="148" t="n">
        <v>7.255</v>
      </c>
      <c r="Y258" s="150">
        <f>IFERROR(X258/F258,0)</f>
        <v/>
      </c>
      <c r="Z258" s="148">
        <f>X258-J258/1.06</f>
        <v/>
      </c>
      <c r="AA258" s="150">
        <f>IFERROR(Z258/F258,0)</f>
        <v/>
      </c>
      <c r="AB258" s="148">
        <f>X258-(P258+W258)/1.06</f>
        <v/>
      </c>
      <c r="AC258" s="150">
        <f>IFERROR(AB258/F258,0)</f>
        <v/>
      </c>
    </row>
    <row r="259" ht="14.25" customHeight="1" s="65">
      <c r="A259" s="140" t="inlineStr">
        <is>
          <t>7.13-7.19</t>
        </is>
      </c>
      <c r="B259" s="141" t="n">
        <v>885645733215</v>
      </c>
      <c r="C259" s="140" t="inlineStr">
        <is>
          <t>大骨牛肉</t>
        </is>
      </c>
      <c r="D259" s="140" t="inlineStr">
        <is>
          <t>进口营多大骨番茄牛肉味营多捞面意式泡面宿舍宿舍宵夜速食方便面</t>
        </is>
      </c>
      <c r="E259" s="142" t="n">
        <v>76.73</v>
      </c>
      <c r="F259" s="142">
        <f>IFERROR(E259/1.13,0)</f>
        <v/>
      </c>
      <c r="G259" s="143" t="n">
        <v>5</v>
      </c>
      <c r="H259" s="144">
        <f>IFERROR(G259/SUMIF($A:$A,A259,$G:$G),0)</f>
        <v/>
      </c>
      <c r="I259" s="142">
        <f>IFERROR(E259/G259,0)</f>
        <v/>
      </c>
      <c r="J259" s="142" t="n">
        <v>4.0369143907563</v>
      </c>
      <c r="K259" s="142" t="n">
        <v>26.5811738445378</v>
      </c>
      <c r="L259" s="145">
        <f>IFERROR(K259/J259,0)</f>
        <v/>
      </c>
      <c r="M259" s="142" t="n">
        <v>2.64910714285714</v>
      </c>
      <c r="N259" s="142" t="n">
        <v>5.76570378151261</v>
      </c>
      <c r="O259" s="145">
        <f>IFERROR(N259/M259,0)</f>
        <v/>
      </c>
      <c r="P259" s="142">
        <f>J259+M259</f>
        <v/>
      </c>
      <c r="Q259" s="142">
        <f>K259+N259</f>
        <v/>
      </c>
      <c r="R259" s="145">
        <f>IFERROR(Q259/P259,0)</f>
        <v/>
      </c>
      <c r="S259" s="144">
        <f>IFERROR(P259/SUMIF($A:$A,A259,$P:$P),0)</f>
        <v/>
      </c>
      <c r="T259" s="144">
        <f>IFERROR(P259/E259,0)</f>
        <v/>
      </c>
      <c r="U259" s="142">
        <f>E259-Q259</f>
        <v/>
      </c>
      <c r="V259" s="144">
        <f>IFERROR(U259/E259,0)</f>
        <v/>
      </c>
      <c r="W259" s="142">
        <f>IFERROR(VLOOKUP(A259,周报其他费用!$A:$B,2,FALSE)*H259,0)</f>
        <v/>
      </c>
      <c r="X259" s="142" t="n">
        <v>2.205</v>
      </c>
      <c r="Y259" s="144">
        <f>IFERROR(X259/F259,0)</f>
        <v/>
      </c>
      <c r="Z259" s="142">
        <f>X259-J259/1.06</f>
        <v/>
      </c>
      <c r="AA259" s="144">
        <f>IFERROR(Z259/F259,0)</f>
        <v/>
      </c>
      <c r="AB259" s="142">
        <f>X259-(P259+W259)/1.06</f>
        <v/>
      </c>
      <c r="AC259" s="144">
        <f>IFERROR(AB259/F259,0)</f>
        <v/>
      </c>
    </row>
    <row r="260" ht="14.25" customHeight="1" s="65">
      <c r="A260" s="146" t="inlineStr">
        <is>
          <t>7.13-7.19</t>
        </is>
      </c>
      <c r="B260" s="147" t="n">
        <v>971242260371</v>
      </c>
      <c r="C260" s="146" t="inlineStr">
        <is>
          <t>韩式袋面</t>
        </is>
      </c>
      <c r="D260" s="146" t="inlineStr">
        <is>
          <t>新品营多捞面韩式辣蘑菇汤面泡面方便面速食干拌面宿舍宵夜旅行</t>
        </is>
      </c>
      <c r="E260" s="148" t="n">
        <v>108.22</v>
      </c>
      <c r="F260" s="148">
        <f>IFERROR(E260/1.13,0)</f>
        <v/>
      </c>
      <c r="G260" s="149" t="n">
        <v>4</v>
      </c>
      <c r="H260" s="150">
        <f>IFERROR(G260/SUMIF($A:$A,A260,$G:$G),0)</f>
        <v/>
      </c>
      <c r="I260" s="148">
        <f>IFERROR(E260/G260,0)</f>
        <v/>
      </c>
      <c r="J260" s="148" t="n">
        <v>37.727531512605</v>
      </c>
      <c r="K260" s="148" t="n">
        <v>116.87893907563</v>
      </c>
      <c r="L260" s="151">
        <f>IFERROR(K260/J260,0)</f>
        <v/>
      </c>
      <c r="M260" s="148" t="n">
        <v>2.11928571428571</v>
      </c>
      <c r="N260" s="148" t="n">
        <v>4.61256302521008</v>
      </c>
      <c r="O260" s="151">
        <f>IFERROR(N260/M260,0)</f>
        <v/>
      </c>
      <c r="P260" s="148">
        <f>J260+M260</f>
        <v/>
      </c>
      <c r="Q260" s="148">
        <f>K260+N260</f>
        <v/>
      </c>
      <c r="R260" s="151">
        <f>IFERROR(Q260/P260,0)</f>
        <v/>
      </c>
      <c r="S260" s="150">
        <f>IFERROR(P260/SUMIF($A:$A,A260,$P:$P),0)</f>
        <v/>
      </c>
      <c r="T260" s="150">
        <f>IFERROR(P260/E260,0)</f>
        <v/>
      </c>
      <c r="U260" s="148">
        <f>E260-Q260</f>
        <v/>
      </c>
      <c r="V260" s="150">
        <f>IFERROR(U260/E260,0)</f>
        <v/>
      </c>
      <c r="W260" s="148">
        <f>IFERROR(VLOOKUP(A260,周报其他费用!$A:$B,2,FALSE)*H260,0)</f>
        <v/>
      </c>
      <c r="X260" s="148" t="n">
        <v>18.723</v>
      </c>
      <c r="Y260" s="150">
        <f>IFERROR(X260/F260,0)</f>
        <v/>
      </c>
      <c r="Z260" s="148">
        <f>X260-J260/1.06</f>
        <v/>
      </c>
      <c r="AA260" s="150">
        <f>IFERROR(Z260/F260,0)</f>
        <v/>
      </c>
      <c r="AB260" s="148">
        <f>X260-(P260+W260)/1.06</f>
        <v/>
      </c>
      <c r="AC260" s="150">
        <f>IFERROR(AB260/F260,0)</f>
        <v/>
      </c>
    </row>
    <row r="261" ht="14.25" customHeight="1" s="65">
      <c r="A261" s="140" t="inlineStr">
        <is>
          <t>7.13-7.19</t>
        </is>
      </c>
      <c r="B261" s="141" t="n">
        <v>775016827115</v>
      </c>
      <c r="C261" s="140" t="inlineStr">
        <is>
          <t>杯面混搭</t>
        </is>
      </c>
      <c r="D261" s="140" t="inlineStr">
        <is>
          <t>进口营多原味杯面日式杯面韩式杯面泡面方便面汤面宿舍速食夜宵</t>
        </is>
      </c>
      <c r="E261" s="142" t="n">
        <v>110.95</v>
      </c>
      <c r="F261" s="142">
        <f>IFERROR(E261/1.13,0)</f>
        <v/>
      </c>
      <c r="G261" s="143" t="n">
        <v>4</v>
      </c>
      <c r="H261" s="144">
        <f>IFERROR(G261/SUMIF($A:$A,A261,$G:$G),0)</f>
        <v/>
      </c>
      <c r="I261" s="142">
        <f>IFERROR(E261/G261,0)</f>
        <v/>
      </c>
      <c r="J261" s="142" t="n">
        <v>6.90753151260504</v>
      </c>
      <c r="K261" s="142" t="n">
        <v>31.7489390756303</v>
      </c>
      <c r="L261" s="145">
        <f>IFERROR(K261/J261,0)</f>
        <v/>
      </c>
      <c r="M261" s="142" t="n">
        <v>2.11928571428571</v>
      </c>
      <c r="N261" s="142" t="n">
        <v>4.61256302521008</v>
      </c>
      <c r="O261" s="145">
        <f>IFERROR(N261/M261,0)</f>
        <v/>
      </c>
      <c r="P261" s="142">
        <f>J261+M261</f>
        <v/>
      </c>
      <c r="Q261" s="142">
        <f>K261+N261</f>
        <v/>
      </c>
      <c r="R261" s="145">
        <f>IFERROR(Q261/P261,0)</f>
        <v/>
      </c>
      <c r="S261" s="144">
        <f>IFERROR(P261/SUMIF($A:$A,A261,$P:$P),0)</f>
        <v/>
      </c>
      <c r="T261" s="144">
        <f>IFERROR(P261/E261,0)</f>
        <v/>
      </c>
      <c r="U261" s="142">
        <f>E261-Q261</f>
        <v/>
      </c>
      <c r="V261" s="144">
        <f>IFERROR(U261/E261,0)</f>
        <v/>
      </c>
      <c r="W261" s="142">
        <f>IFERROR(VLOOKUP(A261,周报其他费用!$A:$B,2,FALSE)*H261,0)</f>
        <v/>
      </c>
      <c r="X261" s="142" t="n">
        <v>14.068</v>
      </c>
      <c r="Y261" s="144">
        <f>IFERROR(X261/F261,0)</f>
        <v/>
      </c>
      <c r="Z261" s="142">
        <f>X261-J261/1.06</f>
        <v/>
      </c>
      <c r="AA261" s="144">
        <f>IFERROR(Z261/F261,0)</f>
        <v/>
      </c>
      <c r="AB261" s="142">
        <f>X261-(P261+W261)/1.06</f>
        <v/>
      </c>
      <c r="AC261" s="144">
        <f>IFERROR(AB261/F261,0)</f>
        <v/>
      </c>
    </row>
    <row r="262" ht="14.25" customHeight="1" s="65">
      <c r="A262" s="146" t="inlineStr">
        <is>
          <t>7.13-7.19</t>
        </is>
      </c>
      <c r="B262" s="147" t="n">
        <v>649731447266</v>
      </c>
      <c r="C262" s="146" t="inlineStr">
        <is>
          <t>20包经典/牛系列</t>
        </is>
      </c>
      <c r="D262" s="146" t="inlineStr">
        <is>
          <t>营多印尼进口营多捞面方便面火鸡面干拌面20包宿舍速食泡面夜宵</t>
        </is>
      </c>
      <c r="E262" s="148" t="n">
        <v>193.3</v>
      </c>
      <c r="F262" s="148">
        <f>IFERROR(E262/1.13,0)</f>
        <v/>
      </c>
      <c r="G262" s="149" t="n">
        <v>4</v>
      </c>
      <c r="H262" s="150">
        <f>IFERROR(G262/SUMIF($A:$A,A262,$G:$G),0)</f>
        <v/>
      </c>
      <c r="I262" s="148">
        <f>IFERROR(E262/G262,0)</f>
        <v/>
      </c>
      <c r="J262" s="148" t="n">
        <v>14.027531512605</v>
      </c>
      <c r="K262" s="148" t="n">
        <v>67.6489390756303</v>
      </c>
      <c r="L262" s="151">
        <f>IFERROR(K262/J262,0)</f>
        <v/>
      </c>
      <c r="M262" s="148" t="n">
        <v>2.11928571428571</v>
      </c>
      <c r="N262" s="148" t="n">
        <v>4.61256302521008</v>
      </c>
      <c r="O262" s="151">
        <f>IFERROR(N262/M262,0)</f>
        <v/>
      </c>
      <c r="P262" s="148">
        <f>J262+M262</f>
        <v/>
      </c>
      <c r="Q262" s="148">
        <f>K262+N262</f>
        <v/>
      </c>
      <c r="R262" s="151">
        <f>IFERROR(Q262/P262,0)</f>
        <v/>
      </c>
      <c r="S262" s="150">
        <f>IFERROR(P262/SUMIF($A:$A,A262,$P:$P),0)</f>
        <v/>
      </c>
      <c r="T262" s="150">
        <f>IFERROR(P262/E262,0)</f>
        <v/>
      </c>
      <c r="U262" s="148">
        <f>E262-Q262</f>
        <v/>
      </c>
      <c r="V262" s="150">
        <f>IFERROR(U262/E262,0)</f>
        <v/>
      </c>
      <c r="W262" s="148">
        <f>IFERROR(VLOOKUP(A262,周报其他费用!$A:$B,2,FALSE)*H262,0)</f>
        <v/>
      </c>
      <c r="X262" s="148" t="n">
        <v>39.086</v>
      </c>
      <c r="Y262" s="150">
        <f>IFERROR(X262/F262,0)</f>
        <v/>
      </c>
      <c r="Z262" s="148">
        <f>X262-J262/1.06</f>
        <v/>
      </c>
      <c r="AA262" s="150">
        <f>IFERROR(Z262/F262,0)</f>
        <v/>
      </c>
      <c r="AB262" s="148">
        <f>X262-(P262+W262)/1.06</f>
        <v/>
      </c>
      <c r="AC262" s="150">
        <f>IFERROR(AB262/F262,0)</f>
        <v/>
      </c>
    </row>
    <row r="263" ht="14.25" customHeight="1" s="65">
      <c r="A263" s="140" t="inlineStr">
        <is>
          <t>7.13-7.19</t>
        </is>
      </c>
      <c r="B263" s="141" t="n">
        <v>648604228786</v>
      </c>
      <c r="C263" s="140" t="inlineStr">
        <is>
          <t>杯面混搭</t>
        </is>
      </c>
      <c r="D263" s="140" t="inlineStr">
        <is>
          <t>INDOMIE营多日式杯面原味经典泡面整箱批发速食宿舍旅行宵夜宿舍</t>
        </is>
      </c>
      <c r="E263" s="142" t="n">
        <v>100.7</v>
      </c>
      <c r="F263" s="142">
        <f>IFERROR(E263/1.13,0)</f>
        <v/>
      </c>
      <c r="G263" s="143" t="n">
        <v>4</v>
      </c>
      <c r="H263" s="144">
        <f>IFERROR(G263/SUMIF($A:$A,A263,$G:$G),0)</f>
        <v/>
      </c>
      <c r="I263" s="142">
        <f>IFERROR(E263/G263,0)</f>
        <v/>
      </c>
      <c r="J263" s="142" t="n">
        <v>23.707531512605</v>
      </c>
      <c r="K263" s="142" t="n">
        <v>310.52893907563</v>
      </c>
      <c r="L263" s="145">
        <f>IFERROR(K263/J263,0)</f>
        <v/>
      </c>
      <c r="M263" s="142" t="n">
        <v>2.11928571428571</v>
      </c>
      <c r="N263" s="142" t="n">
        <v>4.61256302521008</v>
      </c>
      <c r="O263" s="145">
        <f>IFERROR(N263/M263,0)</f>
        <v/>
      </c>
      <c r="P263" s="142">
        <f>J263+M263</f>
        <v/>
      </c>
      <c r="Q263" s="142">
        <f>K263+N263</f>
        <v/>
      </c>
      <c r="R263" s="145">
        <f>IFERROR(Q263/P263,0)</f>
        <v/>
      </c>
      <c r="S263" s="144">
        <f>IFERROR(P263/SUMIF($A:$A,A263,$P:$P),0)</f>
        <v/>
      </c>
      <c r="T263" s="144">
        <f>IFERROR(P263/E263,0)</f>
        <v/>
      </c>
      <c r="U263" s="142">
        <f>E263-Q263</f>
        <v/>
      </c>
      <c r="V263" s="144">
        <f>IFERROR(U263/E263,0)</f>
        <v/>
      </c>
      <c r="W263" s="142">
        <f>IFERROR(VLOOKUP(A263,周报其他费用!$A:$B,2,FALSE)*H263,0)</f>
        <v/>
      </c>
      <c r="X263" s="142" t="n">
        <v>12.023</v>
      </c>
      <c r="Y263" s="144">
        <f>IFERROR(X263/F263,0)</f>
        <v/>
      </c>
      <c r="Z263" s="142">
        <f>X263-J263/1.06</f>
        <v/>
      </c>
      <c r="AA263" s="144">
        <f>IFERROR(Z263/F263,0)</f>
        <v/>
      </c>
      <c r="AB263" s="142">
        <f>X263-(P263+W263)/1.06</f>
        <v/>
      </c>
      <c r="AC263" s="144">
        <f>IFERROR(AB263/F263,0)</f>
        <v/>
      </c>
    </row>
    <row r="264" ht="14.25" customHeight="1" s="65">
      <c r="A264" s="146" t="inlineStr">
        <is>
          <t>7.13-7.19</t>
        </is>
      </c>
      <c r="B264" s="147" t="n">
        <v>1028450344901</v>
      </c>
      <c r="C264" s="146" t="inlineStr">
        <is>
          <t>韩式火鸡</t>
        </is>
      </c>
      <c r="D264" s="146" t="inlineStr">
        <is>
          <t>营多韩式火鸡面袋装拌面干拌面泡面方便面速食面宿舍宵夜旅行</t>
        </is>
      </c>
      <c r="E264" s="148" t="n">
        <v>85.05</v>
      </c>
      <c r="F264" s="148">
        <f>IFERROR(E264/1.13,0)</f>
        <v/>
      </c>
      <c r="G264" s="149" t="n">
        <v>4</v>
      </c>
      <c r="H264" s="150">
        <f>IFERROR(G264/SUMIF($A:$A,A264,$G:$G),0)</f>
        <v/>
      </c>
      <c r="I264" s="148">
        <f>IFERROR(E264/G264,0)</f>
        <v/>
      </c>
      <c r="J264" s="148" t="n">
        <v>12.597531512605</v>
      </c>
      <c r="K264" s="148" t="n">
        <v>64.4389390756303</v>
      </c>
      <c r="L264" s="151">
        <f>IFERROR(K264/J264,0)</f>
        <v/>
      </c>
      <c r="M264" s="148" t="n">
        <v>2.11928571428571</v>
      </c>
      <c r="N264" s="148" t="n">
        <v>4.61256302521008</v>
      </c>
      <c r="O264" s="151">
        <f>IFERROR(N264/M264,0)</f>
        <v/>
      </c>
      <c r="P264" s="148">
        <f>J264+M264</f>
        <v/>
      </c>
      <c r="Q264" s="148">
        <f>K264+N264</f>
        <v/>
      </c>
      <c r="R264" s="151">
        <f>IFERROR(Q264/P264,0)</f>
        <v/>
      </c>
      <c r="S264" s="150">
        <f>IFERROR(P264/SUMIF($A:$A,A264,$P:$P),0)</f>
        <v/>
      </c>
      <c r="T264" s="150">
        <f>IFERROR(P264/E264,0)</f>
        <v/>
      </c>
      <c r="U264" s="148">
        <f>E264-Q264</f>
        <v/>
      </c>
      <c r="V264" s="150">
        <f>IFERROR(U264/E264,0)</f>
        <v/>
      </c>
      <c r="W264" s="148">
        <f>IFERROR(VLOOKUP(A264,周报其他费用!$A:$B,2,FALSE)*H264,0)</f>
        <v/>
      </c>
      <c r="X264" s="148" t="n">
        <v>8.378</v>
      </c>
      <c r="Y264" s="150">
        <f>IFERROR(X264/F264,0)</f>
        <v/>
      </c>
      <c r="Z264" s="148">
        <f>X264-J264/1.06</f>
        <v/>
      </c>
      <c r="AA264" s="150">
        <f>IFERROR(Z264/F264,0)</f>
        <v/>
      </c>
      <c r="AB264" s="148">
        <f>X264-(P264+W264)/1.06</f>
        <v/>
      </c>
      <c r="AC264" s="150">
        <f>IFERROR(AB264/F264,0)</f>
        <v/>
      </c>
    </row>
    <row r="265" ht="14.25" customHeight="1" s="65">
      <c r="A265" s="140" t="inlineStr">
        <is>
          <t>7.13-7.19</t>
        </is>
      </c>
      <c r="B265" s="141" t="n">
        <v>649729851594</v>
      </c>
      <c r="C265" s="140" t="inlineStr">
        <is>
          <t>小规格</t>
        </is>
      </c>
      <c r="D265" s="140" t="inlineStr">
        <is>
          <t>营多捞面袋装8包装泡面宿舍速食面热干面干拌面方便面火鸡面食品</t>
        </is>
      </c>
      <c r="E265" s="142" t="n">
        <v>64.27</v>
      </c>
      <c r="F265" s="142">
        <f>IFERROR(E265/1.13,0)</f>
        <v/>
      </c>
      <c r="G265" s="143" t="n">
        <v>3</v>
      </c>
      <c r="H265" s="144">
        <f>IFERROR(G265/SUMIF($A:$A,A265,$G:$G),0)</f>
        <v/>
      </c>
      <c r="I265" s="142">
        <f>IFERROR(E265/G265,0)</f>
        <v/>
      </c>
      <c r="J265" s="142" t="n">
        <v>6.96814863445378</v>
      </c>
      <c r="K265" s="142" t="n">
        <v>25.2467043067227</v>
      </c>
      <c r="L265" s="145">
        <f>IFERROR(K265/J265,0)</f>
        <v/>
      </c>
      <c r="M265" s="142" t="n">
        <v>1.58946428571429</v>
      </c>
      <c r="N265" s="142" t="n">
        <v>3.45942226890756</v>
      </c>
      <c r="O265" s="145">
        <f>IFERROR(N265/M265,0)</f>
        <v/>
      </c>
      <c r="P265" s="142">
        <f>J265+M265</f>
        <v/>
      </c>
      <c r="Q265" s="142">
        <f>K265+N265</f>
        <v/>
      </c>
      <c r="R265" s="145">
        <f>IFERROR(Q265/P265,0)</f>
        <v/>
      </c>
      <c r="S265" s="144">
        <f>IFERROR(P265/SUMIF($A:$A,A265,$P:$P),0)</f>
        <v/>
      </c>
      <c r="T265" s="144">
        <f>IFERROR(P265/E265,0)</f>
        <v/>
      </c>
      <c r="U265" s="142">
        <f>E265-Q265</f>
        <v/>
      </c>
      <c r="V265" s="144">
        <f>IFERROR(U265/E265,0)</f>
        <v/>
      </c>
      <c r="W265" s="142">
        <f>IFERROR(VLOOKUP(A265,周报其他费用!$A:$B,2,FALSE)*H265,0)</f>
        <v/>
      </c>
      <c r="X265" s="142" t="n">
        <v>8.381</v>
      </c>
      <c r="Y265" s="144">
        <f>IFERROR(X265/F265,0)</f>
        <v/>
      </c>
      <c r="Z265" s="142">
        <f>X265-J265/1.06</f>
        <v/>
      </c>
      <c r="AA265" s="144">
        <f>IFERROR(Z265/F265,0)</f>
        <v/>
      </c>
      <c r="AB265" s="142">
        <f>X265-(P265+W265)/1.06</f>
        <v/>
      </c>
      <c r="AC265" s="144">
        <f>IFERROR(AB265/F265,0)</f>
        <v/>
      </c>
    </row>
    <row r="266" ht="14.25" customHeight="1" s="65">
      <c r="A266" s="146" t="inlineStr">
        <is>
          <t>7.13-7.19</t>
        </is>
      </c>
      <c r="B266" s="147" t="n">
        <v>903183018417</v>
      </c>
      <c r="C266" s="146" t="inlineStr">
        <is>
          <t>七口味混搭</t>
        </is>
      </c>
      <c r="D266" s="146" t="inlineStr">
        <is>
          <t>进口营多捞面汤面拌面七口味混合方便面速拉面宿舍拌面泡面食食品</t>
        </is>
      </c>
      <c r="E266" s="148" t="n">
        <v>39.31</v>
      </c>
      <c r="F266" s="148">
        <f>IFERROR(E266/1.13,0)</f>
        <v/>
      </c>
      <c r="G266" s="149" t="n">
        <v>2</v>
      </c>
      <c r="H266" s="150">
        <f>IFERROR(G266/SUMIF($A:$A,A266,$G:$G),0)</f>
        <v/>
      </c>
      <c r="I266" s="148">
        <f>IFERROR(E266/G266,0)</f>
        <v/>
      </c>
      <c r="J266" s="148" t="n">
        <v>10.9787657563025</v>
      </c>
      <c r="K266" s="148" t="n">
        <v>47.6244695378151</v>
      </c>
      <c r="L266" s="151">
        <f>IFERROR(K266/J266,0)</f>
        <v/>
      </c>
      <c r="M266" s="148" t="n">
        <v>1.05964285714286</v>
      </c>
      <c r="N266" s="148" t="n">
        <v>2.30628151260504</v>
      </c>
      <c r="O266" s="151">
        <f>IFERROR(N266/M266,0)</f>
        <v/>
      </c>
      <c r="P266" s="148">
        <f>J266+M266</f>
        <v/>
      </c>
      <c r="Q266" s="148">
        <f>K266+N266</f>
        <v/>
      </c>
      <c r="R266" s="151">
        <f>IFERROR(Q266/P266,0)</f>
        <v/>
      </c>
      <c r="S266" s="150">
        <f>IFERROR(P266/SUMIF($A:$A,A266,$P:$P),0)</f>
        <v/>
      </c>
      <c r="T266" s="150">
        <f>IFERROR(P266/E266,0)</f>
        <v/>
      </c>
      <c r="U266" s="148">
        <f>E266-Q266</f>
        <v/>
      </c>
      <c r="V266" s="150">
        <f>IFERROR(U266/E266,0)</f>
        <v/>
      </c>
      <c r="W266" s="148">
        <f>IFERROR(VLOOKUP(A266,周报其他费用!$A:$B,2,FALSE)*H266,0)</f>
        <v/>
      </c>
      <c r="X266" s="148" t="n">
        <v>3.461</v>
      </c>
      <c r="Y266" s="150">
        <f>IFERROR(X266/F266,0)</f>
        <v/>
      </c>
      <c r="Z266" s="148">
        <f>X266-J266/1.06</f>
        <v/>
      </c>
      <c r="AA266" s="150">
        <f>IFERROR(Z266/F266,0)</f>
        <v/>
      </c>
      <c r="AB266" s="148">
        <f>X266-(P266+W266)/1.06</f>
        <v/>
      </c>
      <c r="AC266" s="150">
        <f>IFERROR(AB266/F266,0)</f>
        <v/>
      </c>
    </row>
    <row r="267" ht="14.25" customHeight="1" s="65">
      <c r="A267" s="140" t="inlineStr">
        <is>
          <t>7.13-7.19</t>
        </is>
      </c>
      <c r="B267" s="141" t="n">
        <v>916072786304</v>
      </c>
      <c r="C267" s="140" t="inlineStr">
        <is>
          <t>小规格</t>
        </is>
      </c>
      <c r="D267" s="140" t="inlineStr">
        <is>
          <t>营多印尼进口营多捞面方便面火鸡面干拌面10包宿舍速食泡面夜宵</t>
        </is>
      </c>
      <c r="E267" s="142" t="n">
        <v>11.59</v>
      </c>
      <c r="F267" s="142">
        <f>IFERROR(E267/1.13,0)</f>
        <v/>
      </c>
      <c r="G267" s="143" t="n">
        <v>1</v>
      </c>
      <c r="H267" s="144">
        <f>IFERROR(G267/SUMIF($A:$A,A267,$G:$G),0)</f>
        <v/>
      </c>
      <c r="I267" s="142">
        <f>IFERROR(E267/G267,0)</f>
        <v/>
      </c>
      <c r="J267" s="142" t="n">
        <v>0.8993828781512599</v>
      </c>
      <c r="K267" s="142" t="n">
        <v>0.962234768907564</v>
      </c>
      <c r="L267" s="145">
        <f>IFERROR(K267/J267,0)</f>
        <v/>
      </c>
      <c r="M267" s="142" t="n">
        <v>0.529821428571429</v>
      </c>
      <c r="N267" s="142" t="n">
        <v>1.15314075630252</v>
      </c>
      <c r="O267" s="145">
        <f>IFERROR(N267/M267,0)</f>
        <v/>
      </c>
      <c r="P267" s="142">
        <f>J267+M267</f>
        <v/>
      </c>
      <c r="Q267" s="142">
        <f>K267+N267</f>
        <v/>
      </c>
      <c r="R267" s="145">
        <f>IFERROR(Q267/P267,0)</f>
        <v/>
      </c>
      <c r="S267" s="144">
        <f>IFERROR(P267/SUMIF($A:$A,A267,$P:$P),0)</f>
        <v/>
      </c>
      <c r="T267" s="144">
        <f>IFERROR(P267/E267,0)</f>
        <v/>
      </c>
      <c r="U267" s="142">
        <f>E267-Q267</f>
        <v/>
      </c>
      <c r="V267" s="144">
        <f>IFERROR(U267/E267,0)</f>
        <v/>
      </c>
      <c r="W267" s="142">
        <f>IFERROR(VLOOKUP(A267,周报其他费用!$A:$B,2,FALSE)*H267,0)</f>
        <v/>
      </c>
      <c r="X267" s="142" t="n">
        <v>-1.379</v>
      </c>
      <c r="Y267" s="144">
        <f>IFERROR(X267/F267,0)</f>
        <v/>
      </c>
      <c r="Z267" s="142">
        <f>X267-J267/1.06</f>
        <v/>
      </c>
      <c r="AA267" s="144">
        <f>IFERROR(Z267/F267,0)</f>
        <v/>
      </c>
      <c r="AB267" s="142">
        <f>X267-(P267+W267)/1.06</f>
        <v/>
      </c>
      <c r="AC267" s="144">
        <f>IFERROR(AB267/F267,0)</f>
        <v/>
      </c>
    </row>
    <row r="268" ht="14.25" customHeight="1" s="65">
      <c r="A268" s="146" t="inlineStr">
        <is>
          <t>7.13-7.19</t>
        </is>
      </c>
      <c r="B268" s="147" t="n">
        <v>1019572719528</v>
      </c>
      <c r="C268" s="146" t="inlineStr">
        <is>
          <t>日韩袋面</t>
        </is>
      </c>
      <c r="D268" s="146" t="inlineStr">
        <is>
          <t>新品营多捞面韩式辣蘑菇汤面泡面方便面速食干拌面宿舍宵夜旅行</t>
        </is>
      </c>
      <c r="E268" s="148" t="n">
        <v>17.9</v>
      </c>
      <c r="F268" s="148">
        <f>IFERROR(E268/1.13,0)</f>
        <v/>
      </c>
      <c r="G268" s="149" t="n">
        <v>1</v>
      </c>
      <c r="H268" s="150">
        <f>IFERROR(G268/SUMIF($A:$A,A268,$G:$G),0)</f>
        <v/>
      </c>
      <c r="I268" s="148">
        <f>IFERROR(E268/G268,0)</f>
        <v/>
      </c>
      <c r="J268" s="148" t="n">
        <v>0.31938287815126</v>
      </c>
      <c r="K268" s="148" t="n">
        <v>0.962234768907564</v>
      </c>
      <c r="L268" s="151">
        <f>IFERROR(K268/J268,0)</f>
        <v/>
      </c>
      <c r="M268" s="148" t="n">
        <v>0.529821428571429</v>
      </c>
      <c r="N268" s="148" t="n">
        <v>1.15314075630252</v>
      </c>
      <c r="O268" s="151">
        <f>IFERROR(N268/M268,0)</f>
        <v/>
      </c>
      <c r="P268" s="148">
        <f>J268+M268</f>
        <v/>
      </c>
      <c r="Q268" s="148">
        <f>K268+N268</f>
        <v/>
      </c>
      <c r="R268" s="151">
        <f>IFERROR(Q268/P268,0)</f>
        <v/>
      </c>
      <c r="S268" s="150">
        <f>IFERROR(P268/SUMIF($A:$A,A268,$P:$P),0)</f>
        <v/>
      </c>
      <c r="T268" s="150">
        <f>IFERROR(P268/E268,0)</f>
        <v/>
      </c>
      <c r="U268" s="148">
        <f>E268-Q268</f>
        <v/>
      </c>
      <c r="V268" s="150">
        <f>IFERROR(U268/E268,0)</f>
        <v/>
      </c>
      <c r="W268" s="148">
        <f>IFERROR(VLOOKUP(A268,周报其他费用!$A:$B,2,FALSE)*H268,0)</f>
        <v/>
      </c>
      <c r="X268" s="148" t="n">
        <v>3.149</v>
      </c>
      <c r="Y268" s="150">
        <f>IFERROR(X268/F268,0)</f>
        <v/>
      </c>
      <c r="Z268" s="148">
        <f>X268-J268/1.06</f>
        <v/>
      </c>
      <c r="AA268" s="150">
        <f>IFERROR(Z268/F268,0)</f>
        <v/>
      </c>
      <c r="AB268" s="148">
        <f>X268-(P268+W268)/1.06</f>
        <v/>
      </c>
      <c r="AC268" s="150">
        <f>IFERROR(AB268/F268,0)</f>
        <v/>
      </c>
    </row>
    <row r="269" ht="14.25" customHeight="1" s="65">
      <c r="A269" s="140" t="inlineStr">
        <is>
          <t>7.13-7.19</t>
        </is>
      </c>
      <c r="B269" s="141" t="n">
        <v>976467954327</v>
      </c>
      <c r="C269" s="140" t="inlineStr">
        <is>
          <t>日韩杯面</t>
        </is>
      </c>
      <c r="D269" s="140" t="inlineStr">
        <is>
          <t>【天猫U选】indomie营多捞面辣蘑菇味日式辣味杯面</t>
        </is>
      </c>
      <c r="E269" s="142" t="n">
        <v>9.9</v>
      </c>
      <c r="F269" s="142">
        <f>IFERROR(E269/1.13,0)</f>
        <v/>
      </c>
      <c r="G269" s="143" t="n">
        <v>1</v>
      </c>
      <c r="H269" s="144">
        <f>IFERROR(G269/SUMIF($A:$A,A269,$G:$G),0)</f>
        <v/>
      </c>
      <c r="I269" s="142">
        <f>IFERROR(E269/G269,0)</f>
        <v/>
      </c>
      <c r="J269" s="142" t="n">
        <v>0.21938287815126</v>
      </c>
      <c r="K269" s="142" t="n">
        <v>0.962234768907564</v>
      </c>
      <c r="L269" s="145">
        <f>IFERROR(K269/J269,0)</f>
        <v/>
      </c>
      <c r="M269" s="142" t="n">
        <v>0.529821428571429</v>
      </c>
      <c r="N269" s="142" t="n">
        <v>1.15314075630252</v>
      </c>
      <c r="O269" s="145">
        <f>IFERROR(N269/M269,0)</f>
        <v/>
      </c>
      <c r="P269" s="142">
        <f>J269+M269</f>
        <v/>
      </c>
      <c r="Q269" s="142">
        <f>K269+N269</f>
        <v/>
      </c>
      <c r="R269" s="145">
        <f>IFERROR(Q269/P269,0)</f>
        <v/>
      </c>
      <c r="S269" s="144">
        <f>IFERROR(P269/SUMIF($A:$A,A269,$P:$P),0)</f>
        <v/>
      </c>
      <c r="T269" s="144">
        <f>IFERROR(P269/E269,0)</f>
        <v/>
      </c>
      <c r="U269" s="142">
        <f>E269-Q269</f>
        <v/>
      </c>
      <c r="V269" s="144">
        <f>IFERROR(U269/E269,0)</f>
        <v/>
      </c>
      <c r="W269" s="142">
        <f>IFERROR(VLOOKUP(A269,周报其他费用!$A:$B,2,FALSE)*H269,0)</f>
        <v/>
      </c>
      <c r="X269" s="142" t="n">
        <v>-1.359</v>
      </c>
      <c r="Y269" s="144">
        <f>IFERROR(X269/F269,0)</f>
        <v/>
      </c>
      <c r="Z269" s="142">
        <f>X269-J269/1.06</f>
        <v/>
      </c>
      <c r="AA269" s="144">
        <f>IFERROR(Z269/F269,0)</f>
        <v/>
      </c>
      <c r="AB269" s="142">
        <f>X269-(P269+W269)/1.06</f>
        <v/>
      </c>
      <c r="AC269" s="144">
        <f>IFERROR(AB269/F269,0)</f>
        <v/>
      </c>
    </row>
    <row r="270" ht="14.25" customHeight="1" s="65">
      <c r="A270" s="146" t="inlineStr">
        <is>
          <t>7.13-7.19</t>
        </is>
      </c>
      <c r="B270" s="147" t="n">
        <v>976466902934</v>
      </c>
      <c r="C270" s="146" t="inlineStr">
        <is>
          <t>杯面混搭</t>
        </is>
      </c>
      <c r="D270" s="146" t="inlineStr">
        <is>
          <t>营多捞面韩式甜辣炸鸡辣蘑菇杯面方便面拌面泡面宿舍速食面</t>
        </is>
      </c>
      <c r="E270" s="148" t="n">
        <v>8.949999999999999</v>
      </c>
      <c r="F270" s="148">
        <f>IFERROR(E270/1.13,0)</f>
        <v/>
      </c>
      <c r="G270" s="149" t="n">
        <v>1</v>
      </c>
      <c r="H270" s="150">
        <f>IFERROR(G270/SUMIF($A:$A,A270,$G:$G),0)</f>
        <v/>
      </c>
      <c r="I270" s="148">
        <f>IFERROR(E270/G270,0)</f>
        <v/>
      </c>
      <c r="J270" s="148" t="n">
        <v>0.21938287815126</v>
      </c>
      <c r="K270" s="148" t="n">
        <v>0.962234768907564</v>
      </c>
      <c r="L270" s="151">
        <f>IFERROR(K270/J270,0)</f>
        <v/>
      </c>
      <c r="M270" s="148" t="n">
        <v>0.529821428571429</v>
      </c>
      <c r="N270" s="148" t="n">
        <v>1.15314075630252</v>
      </c>
      <c r="O270" s="151">
        <f>IFERROR(N270/M270,0)</f>
        <v/>
      </c>
      <c r="P270" s="148">
        <f>J270+M270</f>
        <v/>
      </c>
      <c r="Q270" s="148">
        <f>K270+N270</f>
        <v/>
      </c>
      <c r="R270" s="151">
        <f>IFERROR(Q270/P270,0)</f>
        <v/>
      </c>
      <c r="S270" s="150">
        <f>IFERROR(P270/SUMIF($A:$A,A270,$P:$P),0)</f>
        <v/>
      </c>
      <c r="T270" s="150">
        <f>IFERROR(P270/E270,0)</f>
        <v/>
      </c>
      <c r="U270" s="148">
        <f>E270-Q270</f>
        <v/>
      </c>
      <c r="V270" s="150">
        <f>IFERROR(U270/E270,0)</f>
        <v/>
      </c>
      <c r="W270" s="148">
        <f>IFERROR(VLOOKUP(A270,周报其他费用!$A:$B,2,FALSE)*H270,0)</f>
        <v/>
      </c>
      <c r="X270" s="148" t="n">
        <v>-2.137</v>
      </c>
      <c r="Y270" s="150">
        <f>IFERROR(X270/F270,0)</f>
        <v/>
      </c>
      <c r="Z270" s="148">
        <f>X270-J270/1.06</f>
        <v/>
      </c>
      <c r="AA270" s="150">
        <f>IFERROR(Z270/F270,0)</f>
        <v/>
      </c>
      <c r="AB270" s="148">
        <f>X270-(P270+W270)/1.06</f>
        <v/>
      </c>
      <c r="AC270" s="150">
        <f>IFERROR(AB270/F270,0)</f>
        <v/>
      </c>
    </row>
    <row r="271" ht="14.25" customHeight="1" s="65">
      <c r="A271" s="140" t="inlineStr">
        <is>
          <t>7.13-7.19</t>
        </is>
      </c>
      <c r="B271" s="141" t="n">
        <v>947413291596</v>
      </c>
      <c r="C271" s="140" t="inlineStr">
        <is>
          <t>杯面混搭</t>
        </is>
      </c>
      <c r="D271" s="140" t="inlineStr">
        <is>
          <t>印尼进口营多捞面杯面原味甜辣蘑菇味整箱速食拌面拉面泡面方便面</t>
        </is>
      </c>
      <c r="E271" s="142" t="n">
        <v>27.25</v>
      </c>
      <c r="F271" s="142">
        <f>IFERROR(E271/1.13,0)</f>
        <v/>
      </c>
      <c r="G271" s="143" t="n">
        <v>1</v>
      </c>
      <c r="H271" s="144">
        <f>IFERROR(G271/SUMIF($A:$A,A271,$G:$G),0)</f>
        <v/>
      </c>
      <c r="I271" s="142">
        <f>IFERROR(E271/G271,0)</f>
        <v/>
      </c>
      <c r="J271" s="142" t="n">
        <v>12.8293828781513</v>
      </c>
      <c r="K271" s="142" t="n">
        <v>74.2022347689076</v>
      </c>
      <c r="L271" s="145">
        <f>IFERROR(K271/J271,0)</f>
        <v/>
      </c>
      <c r="M271" s="142" t="n">
        <v>0.529821428571429</v>
      </c>
      <c r="N271" s="142" t="n">
        <v>1.15314075630252</v>
      </c>
      <c r="O271" s="145">
        <f>IFERROR(N271/M271,0)</f>
        <v/>
      </c>
      <c r="P271" s="142">
        <f>J271+M271</f>
        <v/>
      </c>
      <c r="Q271" s="142">
        <f>K271+N271</f>
        <v/>
      </c>
      <c r="R271" s="145">
        <f>IFERROR(Q271/P271,0)</f>
        <v/>
      </c>
      <c r="S271" s="144">
        <f>IFERROR(P271/SUMIF($A:$A,A271,$P:$P),0)</f>
        <v/>
      </c>
      <c r="T271" s="144">
        <f>IFERROR(P271/E271,0)</f>
        <v/>
      </c>
      <c r="U271" s="142">
        <f>E271-Q271</f>
        <v/>
      </c>
      <c r="V271" s="144">
        <f>IFERROR(U271/E271,0)</f>
        <v/>
      </c>
      <c r="W271" s="142">
        <f>IFERROR(VLOOKUP(A271,周报其他费用!$A:$B,2,FALSE)*H271,0)</f>
        <v/>
      </c>
      <c r="X271" s="142" t="n">
        <v>3.118</v>
      </c>
      <c r="Y271" s="144">
        <f>IFERROR(X271/F271,0)</f>
        <v/>
      </c>
      <c r="Z271" s="142">
        <f>X271-J271/1.06</f>
        <v/>
      </c>
      <c r="AA271" s="144">
        <f>IFERROR(Z271/F271,0)</f>
        <v/>
      </c>
      <c r="AB271" s="142">
        <f>X271-(P271+W271)/1.06</f>
        <v/>
      </c>
      <c r="AC271" s="144">
        <f>IFERROR(AB271/F271,0)</f>
        <v/>
      </c>
    </row>
    <row r="272" ht="14.25" customHeight="1" s="65">
      <c r="A272" s="146" t="inlineStr">
        <is>
          <t>7.13-7.19</t>
        </is>
      </c>
      <c r="B272" s="147" t="n">
        <v>898120785283</v>
      </c>
      <c r="C272" s="146" t="inlineStr">
        <is>
          <t>十全十美</t>
        </is>
      </c>
      <c r="D272" s="146" t="inlineStr">
        <is>
          <t>营多捞面多口味袋装泡面拌面速食面干拌面方便面速食宵夜宿舍旅行</t>
        </is>
      </c>
      <c r="E272" s="148" t="n">
        <v>12.08</v>
      </c>
      <c r="F272" s="148">
        <f>IFERROR(E272/1.13,0)</f>
        <v/>
      </c>
      <c r="G272" s="149" t="n">
        <v>1</v>
      </c>
      <c r="H272" s="150">
        <f>IFERROR(G272/SUMIF($A:$A,A272,$G:$G),0)</f>
        <v/>
      </c>
      <c r="I272" s="148">
        <f>IFERROR(E272/G272,0)</f>
        <v/>
      </c>
      <c r="J272" s="148" t="n">
        <v>1.99938287815126</v>
      </c>
      <c r="K272" s="148" t="n">
        <v>0.962234768907564</v>
      </c>
      <c r="L272" s="151">
        <f>IFERROR(K272/J272,0)</f>
        <v/>
      </c>
      <c r="M272" s="148" t="n">
        <v>0.529821428571429</v>
      </c>
      <c r="N272" s="148" t="n">
        <v>1.15314075630252</v>
      </c>
      <c r="O272" s="151">
        <f>IFERROR(N272/M272,0)</f>
        <v/>
      </c>
      <c r="P272" s="148">
        <f>J272+M272</f>
        <v/>
      </c>
      <c r="Q272" s="148">
        <f>K272+N272</f>
        <v/>
      </c>
      <c r="R272" s="151">
        <f>IFERROR(Q272/P272,0)</f>
        <v/>
      </c>
      <c r="S272" s="150">
        <f>IFERROR(P272/SUMIF($A:$A,A272,$P:$P),0)</f>
        <v/>
      </c>
      <c r="T272" s="150">
        <f>IFERROR(P272/E272,0)</f>
        <v/>
      </c>
      <c r="U272" s="148">
        <f>E272-Q272</f>
        <v/>
      </c>
      <c r="V272" s="150">
        <f>IFERROR(U272/E272,0)</f>
        <v/>
      </c>
      <c r="W272" s="148">
        <f>IFERROR(VLOOKUP(A272,周报其他费用!$A:$B,2,FALSE)*H272,0)</f>
        <v/>
      </c>
      <c r="X272" s="148" t="n">
        <v>-0.978</v>
      </c>
      <c r="Y272" s="150">
        <f>IFERROR(X272/F272,0)</f>
        <v/>
      </c>
      <c r="Z272" s="148">
        <f>X272-J272/1.06</f>
        <v/>
      </c>
      <c r="AA272" s="150">
        <f>IFERROR(Z272/F272,0)</f>
        <v/>
      </c>
      <c r="AB272" s="148">
        <f>X272-(P272+W272)/1.06</f>
        <v/>
      </c>
      <c r="AC272" s="150">
        <f>IFERROR(AB272/F272,0)</f>
        <v/>
      </c>
    </row>
    <row r="273" ht="14.25" customHeight="1" s="65">
      <c r="A273" s="140" t="inlineStr">
        <is>
          <t>7.20-7.26</t>
        </is>
      </c>
      <c r="B273" s="141" t="n">
        <v>668566625747</v>
      </c>
      <c r="C273" s="140" t="inlineStr">
        <is>
          <t>袋面主链接</t>
        </is>
      </c>
      <c r="D273" s="140" t="inlineStr">
        <is>
          <t>印尼营多捞面进口网红泡面袋装方便面速食食品拉面火鸡面拌面整箱</t>
        </is>
      </c>
      <c r="E273" s="142" t="n">
        <v>35489.7100000007</v>
      </c>
      <c r="F273" s="142">
        <f>IFERROR(E273/1.13,0)</f>
        <v/>
      </c>
      <c r="G273" s="143" t="n">
        <v>1459</v>
      </c>
      <c r="H273" s="144">
        <f>IFERROR(G273/SUMIF($A:$A,A273,$G:$G),0)</f>
        <v/>
      </c>
      <c r="I273" s="142">
        <f>IFERROR(E273/G273,0)</f>
        <v/>
      </c>
      <c r="J273" s="142" t="n">
        <v>4867.81691435393</v>
      </c>
      <c r="K273" s="142" t="n">
        <v>26920.4484840346</v>
      </c>
      <c r="L273" s="145">
        <f>IFERROR(K273/J273,0)</f>
        <v/>
      </c>
      <c r="M273" s="142" t="n">
        <v>787.992306774097</v>
      </c>
      <c r="N273" s="142" t="n">
        <v>1840.00239331543</v>
      </c>
      <c r="O273" s="145">
        <f>IFERROR(N273/M273,0)</f>
        <v/>
      </c>
      <c r="P273" s="142">
        <f>J273+M273</f>
        <v/>
      </c>
      <c r="Q273" s="142">
        <f>K273+N273</f>
        <v/>
      </c>
      <c r="R273" s="145">
        <f>IFERROR(Q273/P273,0)</f>
        <v/>
      </c>
      <c r="S273" s="144">
        <f>IFERROR(P273/SUMIF($A:$A,A273,$P:$P),0)</f>
        <v/>
      </c>
      <c r="T273" s="144">
        <f>IFERROR(P273/E273,0)</f>
        <v/>
      </c>
      <c r="U273" s="142">
        <f>E273-Q273</f>
        <v/>
      </c>
      <c r="V273" s="144">
        <f>IFERROR(U273/E273,0)</f>
        <v/>
      </c>
      <c r="W273" s="142">
        <f>IFERROR(VLOOKUP(A273,周报其他费用!$A:$B,2,FALSE)*H273,0)</f>
        <v/>
      </c>
      <c r="X273" s="142" t="n">
        <v>4654.98200000005</v>
      </c>
      <c r="Y273" s="144">
        <f>IFERROR(X273/F273,0)</f>
        <v/>
      </c>
      <c r="Z273" s="142">
        <f>X273-J273/1.06</f>
        <v/>
      </c>
      <c r="AA273" s="144">
        <f>IFERROR(Z273/F273,0)</f>
        <v/>
      </c>
      <c r="AB273" s="142">
        <f>X273-(P273+W273)/1.06</f>
        <v/>
      </c>
      <c r="AC273" s="144">
        <f>IFERROR(AB273/F273,0)</f>
        <v/>
      </c>
    </row>
    <row r="274" ht="14.25" customHeight="1" s="65">
      <c r="A274" s="146" t="inlineStr">
        <is>
          <t>7.20-7.26</t>
        </is>
      </c>
      <c r="B274" s="147" t="n">
        <v>649361890551</v>
      </c>
      <c r="C274" s="146" t="inlineStr">
        <is>
          <t>袋面次链接</t>
        </is>
      </c>
      <c r="D274" s="146" t="inlineStr">
        <is>
          <t>营多捞面印尼进口Indomie网红夜宵早餐方便面火鸡面泡面拌面</t>
        </is>
      </c>
      <c r="E274" s="148" t="n">
        <v>15638.2099999999</v>
      </c>
      <c r="F274" s="148">
        <f>IFERROR(E274/1.13,0)</f>
        <v/>
      </c>
      <c r="G274" s="149" t="n">
        <v>805</v>
      </c>
      <c r="H274" s="150">
        <f>IFERROR(G274/SUMIF($A:$A,A274,$G:$G),0)</f>
        <v/>
      </c>
      <c r="I274" s="148">
        <f>IFERROR(E274/G274,0)</f>
        <v/>
      </c>
      <c r="J274" s="148" t="n">
        <v>2527.81816472695</v>
      </c>
      <c r="K274" s="148" t="n">
        <v>14419.7489435989</v>
      </c>
      <c r="L274" s="151">
        <f>IFERROR(K274/J274,0)</f>
        <v/>
      </c>
      <c r="M274" s="148" t="n">
        <v>421.750859444942</v>
      </c>
      <c r="N274" s="148" t="n">
        <v>984.809856759176</v>
      </c>
      <c r="O274" s="151">
        <f>IFERROR(N274/M274,0)</f>
        <v/>
      </c>
      <c r="P274" s="148">
        <f>J274+M274</f>
        <v/>
      </c>
      <c r="Q274" s="148">
        <f>K274+N274</f>
        <v/>
      </c>
      <c r="R274" s="151">
        <f>IFERROR(Q274/P274,0)</f>
        <v/>
      </c>
      <c r="S274" s="150">
        <f>IFERROR(P274/SUMIF($A:$A,A274,$P:$P),0)</f>
        <v/>
      </c>
      <c r="T274" s="150">
        <f>IFERROR(P274/E274,0)</f>
        <v/>
      </c>
      <c r="U274" s="148">
        <f>E274-Q274</f>
        <v/>
      </c>
      <c r="V274" s="150">
        <f>IFERROR(U274/E274,0)</f>
        <v/>
      </c>
      <c r="W274" s="148">
        <f>IFERROR(VLOOKUP(A274,周报其他费用!$A:$B,2,FALSE)*H274,0)</f>
        <v/>
      </c>
      <c r="X274" s="148" t="n">
        <v>1488.97699999999</v>
      </c>
      <c r="Y274" s="150">
        <f>IFERROR(X274/F274,0)</f>
        <v/>
      </c>
      <c r="Z274" s="148">
        <f>X274-J274/1.06</f>
        <v/>
      </c>
      <c r="AA274" s="150">
        <f>IFERROR(Z274/F274,0)</f>
        <v/>
      </c>
      <c r="AB274" s="148">
        <f>X274-(P274+W274)/1.06</f>
        <v/>
      </c>
      <c r="AC274" s="150">
        <f>IFERROR(AB274/F274,0)</f>
        <v/>
      </c>
    </row>
    <row r="275" ht="14.25" customHeight="1" s="65">
      <c r="A275" s="140" t="inlineStr">
        <is>
          <t>7.20-7.26</t>
        </is>
      </c>
      <c r="B275" s="141" t="n">
        <v>649735171438</v>
      </c>
      <c r="C275" s="140" t="inlineStr">
        <is>
          <t>杯面主链接</t>
        </is>
      </c>
      <c r="D275" s="140" t="inlineStr">
        <is>
          <t>印尼进口indomie营多捞面杯面速食泡面干拌面盒桶装方便面火鸡面</t>
        </is>
      </c>
      <c r="E275" s="142" t="n">
        <v>13258.64</v>
      </c>
      <c r="F275" s="142">
        <f>IFERROR(E275/1.13,0)</f>
        <v/>
      </c>
      <c r="G275" s="143" t="n">
        <v>523</v>
      </c>
      <c r="H275" s="144">
        <f>IFERROR(G275/SUMIF($A:$A,A275,$G:$G),0)</f>
        <v/>
      </c>
      <c r="I275" s="142">
        <f>IFERROR(E275/G275,0)</f>
        <v/>
      </c>
      <c r="J275" s="142" t="n">
        <v>2029.66672336616</v>
      </c>
      <c r="K275" s="142" t="n">
        <v>9236.47318710832</v>
      </c>
      <c r="L275" s="145">
        <f>IFERROR(K275/J275,0)</f>
        <v/>
      </c>
      <c r="M275" s="142" t="n">
        <v>269.703339301701</v>
      </c>
      <c r="N275" s="142" t="n">
        <v>629.7711101163831</v>
      </c>
      <c r="O275" s="145">
        <f>IFERROR(N275/M275,0)</f>
        <v/>
      </c>
      <c r="P275" s="142">
        <f>J275+M275</f>
        <v/>
      </c>
      <c r="Q275" s="142">
        <f>K275+N275</f>
        <v/>
      </c>
      <c r="R275" s="145">
        <f>IFERROR(Q275/P275,0)</f>
        <v/>
      </c>
      <c r="S275" s="144">
        <f>IFERROR(P275/SUMIF($A:$A,A275,$P:$P),0)</f>
        <v/>
      </c>
      <c r="T275" s="144">
        <f>IFERROR(P275/E275,0)</f>
        <v/>
      </c>
      <c r="U275" s="142">
        <f>E275-Q275</f>
        <v/>
      </c>
      <c r="V275" s="144">
        <f>IFERROR(U275/E275,0)</f>
        <v/>
      </c>
      <c r="W275" s="142">
        <f>IFERROR(VLOOKUP(A275,周报其他费用!$A:$B,2,FALSE)*H275,0)</f>
        <v/>
      </c>
      <c r="X275" s="142" t="n">
        <v>1448.007</v>
      </c>
      <c r="Y275" s="144">
        <f>IFERROR(X275/F275,0)</f>
        <v/>
      </c>
      <c r="Z275" s="142">
        <f>X275-J275/1.06</f>
        <v/>
      </c>
      <c r="AA275" s="144">
        <f>IFERROR(Z275/F275,0)</f>
        <v/>
      </c>
      <c r="AB275" s="142">
        <f>X275-(P275+W275)/1.06</f>
        <v/>
      </c>
      <c r="AC275" s="144">
        <f>IFERROR(AB275/F275,0)</f>
        <v/>
      </c>
    </row>
    <row r="276" ht="14.25" customHeight="1" s="65">
      <c r="A276" s="146" t="inlineStr">
        <is>
          <t>7.20-7.26</t>
        </is>
      </c>
      <c r="B276" s="147" t="n">
        <v>1057479227624</v>
      </c>
      <c r="C276" s="146" t="inlineStr">
        <is>
          <t>巴东牛肉</t>
        </is>
      </c>
      <c r="D276" s="146" t="inlineStr">
        <is>
          <t>【新口味】印尼进口营多捞面巴东炖牛肉味泡面方便面宿舍速食宵夜</t>
        </is>
      </c>
      <c r="E276" s="148" t="n">
        <v>3300.04000000001</v>
      </c>
      <c r="F276" s="148">
        <f>IFERROR(E276/1.13,0)</f>
        <v/>
      </c>
      <c r="G276" s="149" t="n">
        <v>176</v>
      </c>
      <c r="H276" s="150">
        <f>IFERROR(G276/SUMIF($A:$A,A276,$G:$G),0)</f>
        <v/>
      </c>
      <c r="I276" s="148">
        <f>IFERROR(E276/G276,0)</f>
        <v/>
      </c>
      <c r="J276" s="148" t="n">
        <v>944.234225604297</v>
      </c>
      <c r="K276" s="148" t="n">
        <v>4698.32594449418</v>
      </c>
      <c r="L276" s="151">
        <f>IFERROR(K276/J276,0)</f>
        <v/>
      </c>
      <c r="M276" s="148" t="n">
        <v>94.12465532676811</v>
      </c>
      <c r="N276" s="148" t="n">
        <v>219.785890778872</v>
      </c>
      <c r="O276" s="151">
        <f>IFERROR(N276/M276,0)</f>
        <v/>
      </c>
      <c r="P276" s="148">
        <f>J276+M276</f>
        <v/>
      </c>
      <c r="Q276" s="148">
        <f>K276+N276</f>
        <v/>
      </c>
      <c r="R276" s="151">
        <f>IFERROR(Q276/P276,0)</f>
        <v/>
      </c>
      <c r="S276" s="150">
        <f>IFERROR(P276/SUMIF($A:$A,A276,$P:$P),0)</f>
        <v/>
      </c>
      <c r="T276" s="150">
        <f>IFERROR(P276/E276,0)</f>
        <v/>
      </c>
      <c r="U276" s="148">
        <f>E276-Q276</f>
        <v/>
      </c>
      <c r="V276" s="150">
        <f>IFERROR(U276/E276,0)</f>
        <v/>
      </c>
      <c r="W276" s="148">
        <f>IFERROR(VLOOKUP(A276,周报其他费用!$A:$B,2,FALSE)*H276,0)</f>
        <v/>
      </c>
      <c r="X276" s="148" t="n">
        <v>393.462</v>
      </c>
      <c r="Y276" s="150">
        <f>IFERROR(X276/F276,0)</f>
        <v/>
      </c>
      <c r="Z276" s="148">
        <f>X276-J276/1.06</f>
        <v/>
      </c>
      <c r="AA276" s="150">
        <f>IFERROR(Z276/F276,0)</f>
        <v/>
      </c>
      <c r="AB276" s="148">
        <f>X276-(P276+W276)/1.06</f>
        <v/>
      </c>
      <c r="AC276" s="150">
        <f>IFERROR(AB276/F276,0)</f>
        <v/>
      </c>
    </row>
    <row r="277" ht="14.25" customHeight="1" s="65">
      <c r="A277" s="140" t="inlineStr">
        <is>
          <t>7.20-7.26</t>
        </is>
      </c>
      <c r="B277" s="141" t="n">
        <v>1058280415678</v>
      </c>
      <c r="C277" s="140" t="inlineStr">
        <is>
          <t>巴东牛肉</t>
        </is>
      </c>
      <c r="D277" s="140" t="inlineStr">
        <is>
          <t>【新口味】印尼进口营多捞面巴东炖牛肉味泡面方便面宿舍速食宵夜</t>
        </is>
      </c>
      <c r="E277" s="142" t="n">
        <v>4379.9</v>
      </c>
      <c r="F277" s="142">
        <f>IFERROR(E277/1.13,0)</f>
        <v/>
      </c>
      <c r="G277" s="143" t="n">
        <v>152</v>
      </c>
      <c r="H277" s="144">
        <f>IFERROR(G277/SUMIF($A:$A,A277,$G:$G),0)</f>
        <v/>
      </c>
      <c r="I277" s="142">
        <f>IFERROR(E277/G277,0)</f>
        <v/>
      </c>
      <c r="J277" s="142" t="n">
        <v>687.759122649955</v>
      </c>
      <c r="K277" s="142" t="n">
        <v>4094.49910474485</v>
      </c>
      <c r="L277" s="145">
        <f>IFERROR(K277/J277,0)</f>
        <v/>
      </c>
      <c r="M277" s="142" t="n">
        <v>83.26411817367951</v>
      </c>
      <c r="N277" s="142" t="n">
        <v>194.425980304387</v>
      </c>
      <c r="O277" s="145">
        <f>IFERROR(N277/M277,0)</f>
        <v/>
      </c>
      <c r="P277" s="142">
        <f>J277+M277</f>
        <v/>
      </c>
      <c r="Q277" s="142">
        <f>K277+N277</f>
        <v/>
      </c>
      <c r="R277" s="145">
        <f>IFERROR(Q277/P277,0)</f>
        <v/>
      </c>
      <c r="S277" s="144">
        <f>IFERROR(P277/SUMIF($A:$A,A277,$P:$P),0)</f>
        <v/>
      </c>
      <c r="T277" s="144">
        <f>IFERROR(P277/E277,0)</f>
        <v/>
      </c>
      <c r="U277" s="142">
        <f>E277-Q277</f>
        <v/>
      </c>
      <c r="V277" s="144">
        <f>IFERROR(U277/E277,0)</f>
        <v/>
      </c>
      <c r="W277" s="142">
        <f>IFERROR(VLOOKUP(A277,周报其他费用!$A:$B,2,FALSE)*H277,0)</f>
        <v/>
      </c>
      <c r="X277" s="142" t="n">
        <v>953.344000000001</v>
      </c>
      <c r="Y277" s="144">
        <f>IFERROR(X277/F277,0)</f>
        <v/>
      </c>
      <c r="Z277" s="142">
        <f>X277-J277/1.06</f>
        <v/>
      </c>
      <c r="AA277" s="144">
        <f>IFERROR(Z277/F277,0)</f>
        <v/>
      </c>
      <c r="AB277" s="142">
        <f>X277-(P277+W277)/1.06</f>
        <v/>
      </c>
      <c r="AC277" s="144">
        <f>IFERROR(AB277/F277,0)</f>
        <v/>
      </c>
    </row>
    <row r="278" ht="14.25" customHeight="1" s="65">
      <c r="A278" s="146" t="inlineStr">
        <is>
          <t>7.20-7.26</t>
        </is>
      </c>
      <c r="B278" s="147" t="n">
        <v>648600900806</v>
      </c>
      <c r="C278" s="146" t="inlineStr">
        <is>
          <t>30包</t>
        </is>
      </c>
      <c r="D278" s="146" t="inlineStr">
        <is>
          <t>进口营多捞面一整箱30包网红速食方便面宿舍速食泡面干拌面拉面</t>
        </is>
      </c>
      <c r="E278" s="148" t="n">
        <v>6719.46</v>
      </c>
      <c r="F278" s="148">
        <f>IFERROR(E278/1.13,0)</f>
        <v/>
      </c>
      <c r="G278" s="149" t="n">
        <v>99</v>
      </c>
      <c r="H278" s="150">
        <f>IFERROR(G278/SUMIF($A:$A,A278,$G:$G),0)</f>
        <v/>
      </c>
      <c r="I278" s="148">
        <f>IFERROR(E278/G278,0)</f>
        <v/>
      </c>
      <c r="J278" s="148" t="n">
        <v>1736.87211280215</v>
      </c>
      <c r="K278" s="148" t="n">
        <v>7156.73297224709</v>
      </c>
      <c r="L278" s="151">
        <f>IFERROR(K278/J278,0)</f>
        <v/>
      </c>
      <c r="M278" s="148" t="n">
        <v>47.0623276633841</v>
      </c>
      <c r="N278" s="148" t="n">
        <v>109.892945389436</v>
      </c>
      <c r="O278" s="151">
        <f>IFERROR(N278/M278,0)</f>
        <v/>
      </c>
      <c r="P278" s="148">
        <f>J278+M278</f>
        <v/>
      </c>
      <c r="Q278" s="148">
        <f>K278+N278</f>
        <v/>
      </c>
      <c r="R278" s="151">
        <f>IFERROR(Q278/P278,0)</f>
        <v/>
      </c>
      <c r="S278" s="150">
        <f>IFERROR(P278/SUMIF($A:$A,A278,$P:$P),0)</f>
        <v/>
      </c>
      <c r="T278" s="150">
        <f>IFERROR(P278/E278,0)</f>
        <v/>
      </c>
      <c r="U278" s="148">
        <f>E278-Q278</f>
        <v/>
      </c>
      <c r="V278" s="150">
        <f>IFERROR(U278/E278,0)</f>
        <v/>
      </c>
      <c r="W278" s="148">
        <f>IFERROR(VLOOKUP(A278,周报其他费用!$A:$B,2,FALSE)*H278,0)</f>
        <v/>
      </c>
      <c r="X278" s="148" t="n">
        <v>1276.358</v>
      </c>
      <c r="Y278" s="150">
        <f>IFERROR(X278/F278,0)</f>
        <v/>
      </c>
      <c r="Z278" s="148">
        <f>X278-J278/1.06</f>
        <v/>
      </c>
      <c r="AA278" s="150">
        <f>IFERROR(Z278/F278,0)</f>
        <v/>
      </c>
      <c r="AB278" s="148">
        <f>X278-(P278+W278)/1.06</f>
        <v/>
      </c>
      <c r="AC278" s="150">
        <f>IFERROR(AB278/F278,0)</f>
        <v/>
      </c>
    </row>
    <row r="279" ht="14.25" customHeight="1" s="65">
      <c r="A279" s="140" t="inlineStr">
        <is>
          <t>7.20-7.26</t>
        </is>
      </c>
      <c r="B279" s="141" t="n">
        <v>649369494424</v>
      </c>
      <c r="C279" s="140" t="inlineStr">
        <is>
          <t>24包经典/牛系列</t>
        </is>
      </c>
      <c r="D279" s="140" t="inlineStr">
        <is>
          <t>营多捞面干拌面一整箱24袋装批发泡面混搭宿舍速食方便面火鸡面</t>
        </is>
      </c>
      <c r="E279" s="142" t="n">
        <v>4014.47</v>
      </c>
      <c r="F279" s="142">
        <f>IFERROR(E279/1.13,0)</f>
        <v/>
      </c>
      <c r="G279" s="143" t="n">
        <v>72</v>
      </c>
      <c r="H279" s="144">
        <f>IFERROR(G279/SUMIF($A:$A,A279,$G:$G),0)</f>
        <v/>
      </c>
      <c r="I279" s="142">
        <f>IFERROR(E279/G279,0)</f>
        <v/>
      </c>
      <c r="J279" s="142" t="n">
        <v>477.892611160848</v>
      </c>
      <c r="K279" s="142" t="n">
        <v>2497.31695016413</v>
      </c>
      <c r="L279" s="145">
        <f>IFERROR(K279/J279,0)</f>
        <v/>
      </c>
      <c r="M279" s="142" t="n">
        <v>41.0286959116682</v>
      </c>
      <c r="N279" s="142" t="n">
        <v>95.80410623694419</v>
      </c>
      <c r="O279" s="145">
        <f>IFERROR(N279/M279,0)</f>
        <v/>
      </c>
      <c r="P279" s="142">
        <f>J279+M279</f>
        <v/>
      </c>
      <c r="Q279" s="142">
        <f>K279+N279</f>
        <v/>
      </c>
      <c r="R279" s="145">
        <f>IFERROR(Q279/P279,0)</f>
        <v/>
      </c>
      <c r="S279" s="144">
        <f>IFERROR(P279/SUMIF($A:$A,A279,$P:$P),0)</f>
        <v/>
      </c>
      <c r="T279" s="144">
        <f>IFERROR(P279/E279,0)</f>
        <v/>
      </c>
      <c r="U279" s="142">
        <f>E279-Q279</f>
        <v/>
      </c>
      <c r="V279" s="144">
        <f>IFERROR(U279/E279,0)</f>
        <v/>
      </c>
      <c r="W279" s="142">
        <f>IFERROR(VLOOKUP(A279,周报其他费用!$A:$B,2,FALSE)*H279,0)</f>
        <v/>
      </c>
      <c r="X279" s="142" t="n">
        <v>774.703000000001</v>
      </c>
      <c r="Y279" s="144">
        <f>IFERROR(X279/F279,0)</f>
        <v/>
      </c>
      <c r="Z279" s="142">
        <f>X279-J279/1.06</f>
        <v/>
      </c>
      <c r="AA279" s="144">
        <f>IFERROR(Z279/F279,0)</f>
        <v/>
      </c>
      <c r="AB279" s="142">
        <f>X279-(P279+W279)/1.06</f>
        <v/>
      </c>
      <c r="AC279" s="144">
        <f>IFERROR(AB279/F279,0)</f>
        <v/>
      </c>
    </row>
    <row r="280" ht="14.25" customHeight="1" s="65">
      <c r="A280" s="146" t="inlineStr">
        <is>
          <t>7.20-7.26</t>
        </is>
      </c>
      <c r="B280" s="147" t="n">
        <v>1060999732877</v>
      </c>
      <c r="C280" s="146" t="inlineStr">
        <is>
          <t>原味大包</t>
        </is>
      </c>
      <c r="D280" s="146" t="inlineStr">
        <is>
          <t>indomie印尼进口营多原味大大包129g捞面方便面速食食品宵夜小吃</t>
        </is>
      </c>
      <c r="E280" s="148" t="n">
        <v>2057.03</v>
      </c>
      <c r="F280" s="148">
        <f>IFERROR(E280/1.13,0)</f>
        <v/>
      </c>
      <c r="G280" s="149" t="n">
        <v>71</v>
      </c>
      <c r="H280" s="150">
        <f>IFERROR(G280/SUMIF($A:$A,A280,$G:$G),0)</f>
        <v/>
      </c>
      <c r="I280" s="148">
        <f>IFERROR(E280/G280,0)</f>
        <v/>
      </c>
      <c r="J280" s="148" t="n">
        <v>441.374810504327</v>
      </c>
      <c r="K280" s="148" t="n">
        <v>2613.22654133095</v>
      </c>
      <c r="L280" s="151">
        <f>IFERROR(K280/J280,0)</f>
        <v/>
      </c>
      <c r="M280" s="148" t="n">
        <v>38.6152432109818</v>
      </c>
      <c r="N280" s="148" t="n">
        <v>90.1685705759475</v>
      </c>
      <c r="O280" s="151">
        <f>IFERROR(N280/M280,0)</f>
        <v/>
      </c>
      <c r="P280" s="148">
        <f>J280+M280</f>
        <v/>
      </c>
      <c r="Q280" s="148">
        <f>K280+N280</f>
        <v/>
      </c>
      <c r="R280" s="151">
        <f>IFERROR(Q280/P280,0)</f>
        <v/>
      </c>
      <c r="S280" s="150">
        <f>IFERROR(P280/SUMIF($A:$A,A280,$P:$P),0)</f>
        <v/>
      </c>
      <c r="T280" s="150">
        <f>IFERROR(P280/E280,0)</f>
        <v/>
      </c>
      <c r="U280" s="148">
        <f>E280-Q280</f>
        <v/>
      </c>
      <c r="V280" s="150">
        <f>IFERROR(U280/E280,0)</f>
        <v/>
      </c>
      <c r="W280" s="148">
        <f>IFERROR(VLOOKUP(A280,周报其他费用!$A:$B,2,FALSE)*H280,0)</f>
        <v/>
      </c>
      <c r="X280" s="148" t="n">
        <v>450.416</v>
      </c>
      <c r="Y280" s="150">
        <f>IFERROR(X280/F280,0)</f>
        <v/>
      </c>
      <c r="Z280" s="148">
        <f>X280-J280/1.06</f>
        <v/>
      </c>
      <c r="AA280" s="150">
        <f>IFERROR(Z280/F280,0)</f>
        <v/>
      </c>
      <c r="AB280" s="148">
        <f>X280-(P280+W280)/1.06</f>
        <v/>
      </c>
      <c r="AC280" s="150">
        <f>IFERROR(AB280/F280,0)</f>
        <v/>
      </c>
    </row>
    <row r="281" ht="14.25" customHeight="1" s="65">
      <c r="A281" s="140" t="inlineStr">
        <is>
          <t>7.20-7.26</t>
        </is>
      </c>
      <c r="B281" s="141" t="n">
        <v>649014937782</v>
      </c>
      <c r="C281" s="140" t="inlineStr">
        <is>
          <t>24包</t>
        </is>
      </c>
      <c r="D281" s="140" t="inlineStr">
        <is>
          <t>印尼营多捞面干拌面一整箱24袋装批发泡面宿舍速食方便面火鸡面</t>
        </is>
      </c>
      <c r="E281" s="142" t="n">
        <v>3471.15</v>
      </c>
      <c r="F281" s="142">
        <f>IFERROR(E281/1.13,0)</f>
        <v/>
      </c>
      <c r="G281" s="143" t="n">
        <v>62</v>
      </c>
      <c r="H281" s="144">
        <f>IFERROR(G281/SUMIF($A:$A,A281,$G:$G),0)</f>
        <v/>
      </c>
      <c r="I281" s="142">
        <f>IFERROR(E281/G281,0)</f>
        <v/>
      </c>
      <c r="J281" s="142" t="n">
        <v>822.1992091912859</v>
      </c>
      <c r="K281" s="142" t="n">
        <v>3075.51572366458</v>
      </c>
      <c r="L281" s="145">
        <f>IFERROR(K281/J281,0)</f>
        <v/>
      </c>
      <c r="M281" s="142" t="n">
        <v>33.7883378096091</v>
      </c>
      <c r="N281" s="142" t="n">
        <v>78.89749925395409</v>
      </c>
      <c r="O281" s="145">
        <f>IFERROR(N281/M281,0)</f>
        <v/>
      </c>
      <c r="P281" s="142">
        <f>J281+M281</f>
        <v/>
      </c>
      <c r="Q281" s="142">
        <f>K281+N281</f>
        <v/>
      </c>
      <c r="R281" s="145">
        <f>IFERROR(Q281/P281,0)</f>
        <v/>
      </c>
      <c r="S281" s="144">
        <f>IFERROR(P281/SUMIF($A:$A,A281,$P:$P),0)</f>
        <v/>
      </c>
      <c r="T281" s="144">
        <f>IFERROR(P281/E281,0)</f>
        <v/>
      </c>
      <c r="U281" s="142">
        <f>E281-Q281</f>
        <v/>
      </c>
      <c r="V281" s="144">
        <f>IFERROR(U281/E281,0)</f>
        <v/>
      </c>
      <c r="W281" s="142">
        <f>IFERROR(VLOOKUP(A281,周报其他费用!$A:$B,2,FALSE)*H281,0)</f>
        <v/>
      </c>
      <c r="X281" s="142" t="n">
        <v>663.587</v>
      </c>
      <c r="Y281" s="144">
        <f>IFERROR(X281/F281,0)</f>
        <v/>
      </c>
      <c r="Z281" s="142">
        <f>X281-J281/1.06</f>
        <v/>
      </c>
      <c r="AA281" s="144">
        <f>IFERROR(Z281/F281,0)</f>
        <v/>
      </c>
      <c r="AB281" s="142">
        <f>X281-(P281+W281)/1.06</f>
        <v/>
      </c>
      <c r="AC281" s="144">
        <f>IFERROR(AB281/F281,0)</f>
        <v/>
      </c>
    </row>
    <row r="282" ht="14.25" customHeight="1" s="65">
      <c r="A282" s="146" t="inlineStr">
        <is>
          <t>7.20-7.26</t>
        </is>
      </c>
      <c r="B282" s="147" t="n">
        <v>648598580775</v>
      </c>
      <c r="C282" s="146" t="inlineStr">
        <is>
          <t>15包</t>
        </is>
      </c>
      <c r="D282" s="146" t="inlineStr">
        <is>
          <t>进口营多捞面15包Indomie方便面干拌面夜宵方便速食五连包85g*5</t>
        </is>
      </c>
      <c r="E282" s="148" t="n">
        <v>2089.77</v>
      </c>
      <c r="F282" s="148">
        <f>IFERROR(E282/1.13,0)</f>
        <v/>
      </c>
      <c r="G282" s="149" t="n">
        <v>57</v>
      </c>
      <c r="H282" s="150">
        <f>IFERROR(G282/SUMIF($A:$A,A282,$G:$G),0)</f>
        <v/>
      </c>
      <c r="I282" s="148">
        <f>IFERROR(E282/G282,0)</f>
        <v/>
      </c>
      <c r="J282" s="148" t="n">
        <v>400.237508206506</v>
      </c>
      <c r="K282" s="148" t="n">
        <v>1430.6201104148</v>
      </c>
      <c r="L282" s="151">
        <f>IFERROR(K282/J282,0)</f>
        <v/>
      </c>
      <c r="M282" s="148" t="n">
        <v>30.1681587585795</v>
      </c>
      <c r="N282" s="148" t="n">
        <v>70.444195762459</v>
      </c>
      <c r="O282" s="151">
        <f>IFERROR(N282/M282,0)</f>
        <v/>
      </c>
      <c r="P282" s="148">
        <f>J282+M282</f>
        <v/>
      </c>
      <c r="Q282" s="148">
        <f>K282+N282</f>
        <v/>
      </c>
      <c r="R282" s="151">
        <f>IFERROR(Q282/P282,0)</f>
        <v/>
      </c>
      <c r="S282" s="150">
        <f>IFERROR(P282/SUMIF($A:$A,A282,$P:$P),0)</f>
        <v/>
      </c>
      <c r="T282" s="150">
        <f>IFERROR(P282/E282,0)</f>
        <v/>
      </c>
      <c r="U282" s="148">
        <f>E282-Q282</f>
        <v/>
      </c>
      <c r="V282" s="150">
        <f>IFERROR(U282/E282,0)</f>
        <v/>
      </c>
      <c r="W282" s="148">
        <f>IFERROR(VLOOKUP(A282,周报其他费用!$A:$B,2,FALSE)*H282,0)</f>
        <v/>
      </c>
      <c r="X282" s="148" t="n">
        <v>355.677</v>
      </c>
      <c r="Y282" s="150">
        <f>IFERROR(X282/F282,0)</f>
        <v/>
      </c>
      <c r="Z282" s="148">
        <f>X282-J282/1.06</f>
        <v/>
      </c>
      <c r="AA282" s="150">
        <f>IFERROR(Z282/F282,0)</f>
        <v/>
      </c>
      <c r="AB282" s="148">
        <f>X282-(P282+W282)/1.06</f>
        <v/>
      </c>
      <c r="AC282" s="150">
        <f>IFERROR(AB282/F282,0)</f>
        <v/>
      </c>
    </row>
    <row r="283" ht="14.25" customHeight="1" s="65">
      <c r="A283" s="140" t="inlineStr">
        <is>
          <t>7.20-7.26</t>
        </is>
      </c>
      <c r="B283" s="141" t="n">
        <v>648681860568</v>
      </c>
      <c r="C283" s="140" t="inlineStr">
        <is>
          <t>杯面次链接</t>
        </is>
      </c>
      <c r="D283" s="140" t="inlineStr">
        <is>
          <t>营多捞面杯装方便面泡面速食干拌面原味整箱批发印尼进口桶装拌面</t>
        </is>
      </c>
      <c r="E283" s="142" t="n">
        <v>1154.67</v>
      </c>
      <c r="F283" s="142">
        <f>IFERROR(E283/1.13,0)</f>
        <v/>
      </c>
      <c r="G283" s="143" t="n">
        <v>49</v>
      </c>
      <c r="H283" s="144">
        <f>IFERROR(G283/SUMIF($A:$A,A283,$G:$G),0)</f>
        <v/>
      </c>
      <c r="I283" s="142">
        <f>IFERROR(E283/G283,0)</f>
        <v/>
      </c>
      <c r="J283" s="142" t="n">
        <v>147.802757385855</v>
      </c>
      <c r="K283" s="142" t="n">
        <v>712.7070993733209</v>
      </c>
      <c r="L283" s="145">
        <f>IFERROR(K283/J283,0)</f>
        <v/>
      </c>
      <c r="M283" s="142" t="n">
        <v>27.1513428827216</v>
      </c>
      <c r="N283" s="142" t="n">
        <v>63.3997761862131</v>
      </c>
      <c r="O283" s="145">
        <f>IFERROR(N283/M283,0)</f>
        <v/>
      </c>
      <c r="P283" s="142">
        <f>J283+M283</f>
        <v/>
      </c>
      <c r="Q283" s="142">
        <f>K283+N283</f>
        <v/>
      </c>
      <c r="R283" s="145">
        <f>IFERROR(Q283/P283,0)</f>
        <v/>
      </c>
      <c r="S283" s="144">
        <f>IFERROR(P283/SUMIF($A:$A,A283,$P:$P),0)</f>
        <v/>
      </c>
      <c r="T283" s="144">
        <f>IFERROR(P283/E283,0)</f>
        <v/>
      </c>
      <c r="U283" s="142">
        <f>E283-Q283</f>
        <v/>
      </c>
      <c r="V283" s="144">
        <f>IFERROR(U283/E283,0)</f>
        <v/>
      </c>
      <c r="W283" s="142">
        <f>IFERROR(VLOOKUP(A283,周报其他费用!$A:$B,2,FALSE)*H283,0)</f>
        <v/>
      </c>
      <c r="X283" s="142" t="n">
        <v>81.669</v>
      </c>
      <c r="Y283" s="144">
        <f>IFERROR(X283/F283,0)</f>
        <v/>
      </c>
      <c r="Z283" s="142">
        <f>X283-J283/1.06</f>
        <v/>
      </c>
      <c r="AA283" s="144">
        <f>IFERROR(Z283/F283,0)</f>
        <v/>
      </c>
      <c r="AB283" s="142">
        <f>X283-(P283+W283)/1.06</f>
        <v/>
      </c>
      <c r="AC283" s="144">
        <f>IFERROR(AB283/F283,0)</f>
        <v/>
      </c>
    </row>
    <row r="284" ht="14.25" customHeight="1" s="65">
      <c r="A284" s="146" t="inlineStr">
        <is>
          <t>7.20-7.26</t>
        </is>
      </c>
      <c r="B284" s="147" t="n">
        <v>1013887677295</v>
      </c>
      <c r="C284" s="146" t="inlineStr">
        <is>
          <t>原味大包</t>
        </is>
      </c>
      <c r="D284" s="146" t="inlineStr">
        <is>
          <t>indomie印尼进口营多原味大大包129g捞面方便面速食食品宵夜小吃</t>
        </is>
      </c>
      <c r="E284" s="148" t="n">
        <v>1044.58</v>
      </c>
      <c r="F284" s="148">
        <f>IFERROR(E284/1.13,0)</f>
        <v/>
      </c>
      <c r="G284" s="149" t="n">
        <v>35</v>
      </c>
      <c r="H284" s="150">
        <f>IFERROR(G284/SUMIF($A:$A,A284,$G:$G),0)</f>
        <v/>
      </c>
      <c r="I284" s="148">
        <f>IFERROR(E284/G284,0)</f>
        <v/>
      </c>
      <c r="J284" s="148" t="n">
        <v>338.002405252164</v>
      </c>
      <c r="K284" s="148" t="n">
        <v>691.003270665473</v>
      </c>
      <c r="L284" s="151">
        <f>IFERROR(K284/J284,0)</f>
        <v/>
      </c>
      <c r="M284" s="148" t="n">
        <v>19.3076216054909</v>
      </c>
      <c r="N284" s="148" t="n">
        <v>45.0842852879737</v>
      </c>
      <c r="O284" s="151">
        <f>IFERROR(N284/M284,0)</f>
        <v/>
      </c>
      <c r="P284" s="148">
        <f>J284+M284</f>
        <v/>
      </c>
      <c r="Q284" s="148">
        <f>K284+N284</f>
        <v/>
      </c>
      <c r="R284" s="151">
        <f>IFERROR(Q284/P284,0)</f>
        <v/>
      </c>
      <c r="S284" s="150">
        <f>IFERROR(P284/SUMIF($A:$A,A284,$P:$P),0)</f>
        <v/>
      </c>
      <c r="T284" s="150">
        <f>IFERROR(P284/E284,0)</f>
        <v/>
      </c>
      <c r="U284" s="148">
        <f>E284-Q284</f>
        <v/>
      </c>
      <c r="V284" s="150">
        <f>IFERROR(U284/E284,0)</f>
        <v/>
      </c>
      <c r="W284" s="148">
        <f>IFERROR(VLOOKUP(A284,周报其他费用!$A:$B,2,FALSE)*H284,0)</f>
        <v/>
      </c>
      <c r="X284" s="148" t="n">
        <v>132.346</v>
      </c>
      <c r="Y284" s="150">
        <f>IFERROR(X284/F284,0)</f>
        <v/>
      </c>
      <c r="Z284" s="148">
        <f>X284-J284/1.06</f>
        <v/>
      </c>
      <c r="AA284" s="150">
        <f>IFERROR(Z284/F284,0)</f>
        <v/>
      </c>
      <c r="AB284" s="148">
        <f>X284-(P284+W284)/1.06</f>
        <v/>
      </c>
      <c r="AC284" s="150">
        <f>IFERROR(AB284/F284,0)</f>
        <v/>
      </c>
    </row>
    <row r="285" ht="14.25" customHeight="1" s="65">
      <c r="A285" s="140" t="inlineStr">
        <is>
          <t>7.20-7.26</t>
        </is>
      </c>
      <c r="B285" s="141" t="n">
        <v>929504658691</v>
      </c>
      <c r="C285" s="140" t="inlineStr">
        <is>
          <t>巴东牛肉</t>
        </is>
      </c>
      <c r="D285" s="140" t="inlineStr">
        <is>
          <t>营多进口新口味巴东炖牛肉味捞面印尼料理方便面泡面捞面夜宵速食</t>
        </is>
      </c>
      <c r="E285" s="142" t="n">
        <v>652.61</v>
      </c>
      <c r="F285" s="142">
        <f>IFERROR(E285/1.13,0)</f>
        <v/>
      </c>
      <c r="G285" s="143" t="n">
        <v>30</v>
      </c>
      <c r="H285" s="144">
        <f>IFERROR(G285/SUMIF($A:$A,A285,$G:$G),0)</f>
        <v/>
      </c>
      <c r="I285" s="142">
        <f>IFERROR(E285/G285,0)</f>
        <v/>
      </c>
      <c r="J285" s="142" t="n">
        <v>117.583754103253</v>
      </c>
      <c r="K285" s="142" t="n">
        <v>650.365055207401</v>
      </c>
      <c r="L285" s="145">
        <f>IFERROR(K285/J285,0)</f>
        <v/>
      </c>
      <c r="M285" s="142" t="n">
        <v>15.0840793792898</v>
      </c>
      <c r="N285" s="142" t="n">
        <v>35.2220978812295</v>
      </c>
      <c r="O285" s="145">
        <f>IFERROR(N285/M285,0)</f>
        <v/>
      </c>
      <c r="P285" s="142">
        <f>J285+M285</f>
        <v/>
      </c>
      <c r="Q285" s="142">
        <f>K285+N285</f>
        <v/>
      </c>
      <c r="R285" s="145">
        <f>IFERROR(Q285/P285,0)</f>
        <v/>
      </c>
      <c r="S285" s="144">
        <f>IFERROR(P285/SUMIF($A:$A,A285,$P:$P),0)</f>
        <v/>
      </c>
      <c r="T285" s="144">
        <f>IFERROR(P285/E285,0)</f>
        <v/>
      </c>
      <c r="U285" s="142">
        <f>E285-Q285</f>
        <v/>
      </c>
      <c r="V285" s="144">
        <f>IFERROR(U285/E285,0)</f>
        <v/>
      </c>
      <c r="W285" s="142">
        <f>IFERROR(VLOOKUP(A285,周报其他费用!$A:$B,2,FALSE)*H285,0)</f>
        <v/>
      </c>
      <c r="X285" s="142" t="n">
        <v>84.169</v>
      </c>
      <c r="Y285" s="144">
        <f>IFERROR(X285/F285,0)</f>
        <v/>
      </c>
      <c r="Z285" s="142">
        <f>X285-J285/1.06</f>
        <v/>
      </c>
      <c r="AA285" s="144">
        <f>IFERROR(Z285/F285,0)</f>
        <v/>
      </c>
      <c r="AB285" s="142">
        <f>X285-(P285+W285)/1.06</f>
        <v/>
      </c>
      <c r="AC285" s="144">
        <f>IFERROR(AB285/F285,0)</f>
        <v/>
      </c>
    </row>
    <row r="286" ht="14.25" customHeight="1" s="65">
      <c r="A286" s="146" t="inlineStr">
        <is>
          <t>7.20-7.26</t>
        </is>
      </c>
      <c r="B286" s="147" t="n">
        <v>744317232690</v>
      </c>
      <c r="C286" s="146" t="inlineStr">
        <is>
          <t>多规格</t>
        </is>
      </c>
      <c r="D286" s="146" t="inlineStr">
        <is>
          <t>营多捞面汤面清香牛肉味方便面泡面速食食品泡面拉面整箱旅行宿舍</t>
        </is>
      </c>
      <c r="E286" s="148" t="n">
        <v>727.99</v>
      </c>
      <c r="F286" s="148">
        <f>IFERROR(E286/1.13,0)</f>
        <v/>
      </c>
      <c r="G286" s="149" t="n">
        <v>26</v>
      </c>
      <c r="H286" s="150">
        <f>IFERROR(G286/SUMIF($A:$A,A286,$G:$G),0)</f>
        <v/>
      </c>
      <c r="I286" s="148">
        <f>IFERROR(E286/G286,0)</f>
        <v/>
      </c>
      <c r="J286" s="148" t="n">
        <v>62.9537541032528</v>
      </c>
      <c r="K286" s="148" t="n">
        <v>560.375055207401</v>
      </c>
      <c r="L286" s="151">
        <f>IFERROR(K286/J286,0)</f>
        <v/>
      </c>
      <c r="M286" s="148" t="n">
        <v>15.0840793792898</v>
      </c>
      <c r="N286" s="148" t="n">
        <v>35.2220978812295</v>
      </c>
      <c r="O286" s="151">
        <f>IFERROR(N286/M286,0)</f>
        <v/>
      </c>
      <c r="P286" s="148">
        <f>J286+M286</f>
        <v/>
      </c>
      <c r="Q286" s="148">
        <f>K286+N286</f>
        <v/>
      </c>
      <c r="R286" s="151">
        <f>IFERROR(Q286/P286,0)</f>
        <v/>
      </c>
      <c r="S286" s="150">
        <f>IFERROR(P286/SUMIF($A:$A,A286,$P:$P),0)</f>
        <v/>
      </c>
      <c r="T286" s="150">
        <f>IFERROR(P286/E286,0)</f>
        <v/>
      </c>
      <c r="U286" s="148">
        <f>E286-Q286</f>
        <v/>
      </c>
      <c r="V286" s="150">
        <f>IFERROR(U286/E286,0)</f>
        <v/>
      </c>
      <c r="W286" s="148">
        <f>IFERROR(VLOOKUP(A286,周报其他费用!$A:$B,2,FALSE)*H286,0)</f>
        <v/>
      </c>
      <c r="X286" s="148" t="n">
        <v>102.862</v>
      </c>
      <c r="Y286" s="150">
        <f>IFERROR(X286/F286,0)</f>
        <v/>
      </c>
      <c r="Z286" s="148">
        <f>X286-J286/1.06</f>
        <v/>
      </c>
      <c r="AA286" s="150">
        <f>IFERROR(Z286/F286,0)</f>
        <v/>
      </c>
      <c r="AB286" s="148">
        <f>X286-(P286+W286)/1.06</f>
        <v/>
      </c>
      <c r="AC286" s="150">
        <f>IFERROR(AB286/F286,0)</f>
        <v/>
      </c>
    </row>
    <row r="287" ht="14.25" customHeight="1" s="65">
      <c r="A287" s="140" t="inlineStr">
        <is>
          <t>7.20-7.26</t>
        </is>
      </c>
      <c r="B287" s="141" t="n">
        <v>969423151512</v>
      </c>
      <c r="C287" s="140" t="inlineStr">
        <is>
          <t>日韩混搭</t>
        </is>
      </c>
      <c r="D287" s="140" t="inlineStr">
        <is>
          <t>营多捞面甜辣炸鸡火鸡面辣蘑菇泡面方便面速食干拌面宿舍宵夜旅行</t>
        </is>
      </c>
      <c r="E287" s="142" t="n">
        <v>538.1900000000001</v>
      </c>
      <c r="F287" s="142">
        <f>IFERROR(E287/1.13,0)</f>
        <v/>
      </c>
      <c r="G287" s="143" t="n">
        <v>26</v>
      </c>
      <c r="H287" s="144">
        <f>IFERROR(G287/SUMIF($A:$A,A287,$G:$G),0)</f>
        <v/>
      </c>
      <c r="I287" s="142">
        <f>IFERROR(E287/G287,0)</f>
        <v/>
      </c>
      <c r="J287" s="142" t="n">
        <v>79.1098537749926</v>
      </c>
      <c r="K287" s="142" t="n">
        <v>247.539850790809</v>
      </c>
      <c r="L287" s="145">
        <f>IFERROR(K287/J287,0)</f>
        <v/>
      </c>
      <c r="M287" s="142" t="n">
        <v>13.8773530289466</v>
      </c>
      <c r="N287" s="142" t="n">
        <v>32.4043300507311</v>
      </c>
      <c r="O287" s="145">
        <f>IFERROR(N287/M287,0)</f>
        <v/>
      </c>
      <c r="P287" s="142">
        <f>J287+M287</f>
        <v/>
      </c>
      <c r="Q287" s="142">
        <f>K287+N287</f>
        <v/>
      </c>
      <c r="R287" s="145">
        <f>IFERROR(Q287/P287,0)</f>
        <v/>
      </c>
      <c r="S287" s="144">
        <f>IFERROR(P287/SUMIF($A:$A,A287,$P:$P),0)</f>
        <v/>
      </c>
      <c r="T287" s="144">
        <f>IFERROR(P287/E287,0)</f>
        <v/>
      </c>
      <c r="U287" s="142">
        <f>E287-Q287</f>
        <v/>
      </c>
      <c r="V287" s="144">
        <f>IFERROR(U287/E287,0)</f>
        <v/>
      </c>
      <c r="W287" s="142">
        <f>IFERROR(VLOOKUP(A287,周报其他费用!$A:$B,2,FALSE)*H287,0)</f>
        <v/>
      </c>
      <c r="X287" s="142" t="n">
        <v>99.851</v>
      </c>
      <c r="Y287" s="144">
        <f>IFERROR(X287/F287,0)</f>
        <v/>
      </c>
      <c r="Z287" s="142">
        <f>X287-J287/1.06</f>
        <v/>
      </c>
      <c r="AA287" s="144">
        <f>IFERROR(Z287/F287,0)</f>
        <v/>
      </c>
      <c r="AB287" s="142">
        <f>X287-(P287+W287)/1.06</f>
        <v/>
      </c>
      <c r="AC287" s="144">
        <f>IFERROR(AB287/F287,0)</f>
        <v/>
      </c>
    </row>
    <row r="288" ht="14.25" customHeight="1" s="65">
      <c r="A288" s="146" t="inlineStr">
        <is>
          <t>7.20-7.26</t>
        </is>
      </c>
      <c r="B288" s="147" t="n">
        <v>1059563993918</v>
      </c>
      <c r="C288" s="146" t="inlineStr">
        <is>
          <t>巴东牛肉</t>
        </is>
      </c>
      <c r="D288" s="146" t="inlineStr">
        <is>
          <t>营多进口新口味巴东炖牛肉味捞面印尼料理方便面泡面捞面夜宵速食</t>
        </is>
      </c>
      <c r="E288" s="148" t="n">
        <v>248.5</v>
      </c>
      <c r="F288" s="148">
        <f>IFERROR(E288/1.13,0)</f>
        <v/>
      </c>
      <c r="G288" s="149" t="n">
        <v>15</v>
      </c>
      <c r="H288" s="150">
        <f>IFERROR(G288/SUMIF($A:$A,A288,$G:$G),0)</f>
        <v/>
      </c>
      <c r="I288" s="148">
        <f>IFERROR(E288/G288,0)</f>
        <v/>
      </c>
      <c r="J288" s="148" t="n">
        <v>35.7873022978216</v>
      </c>
      <c r="K288" s="148" t="n">
        <v>223.526430916144</v>
      </c>
      <c r="L288" s="151">
        <f>IFERROR(K288/J288,0)</f>
        <v/>
      </c>
      <c r="M288" s="148" t="n">
        <v>8.447084452402271</v>
      </c>
      <c r="N288" s="148" t="n">
        <v>19.7243748134885</v>
      </c>
      <c r="O288" s="151">
        <f>IFERROR(N288/M288,0)</f>
        <v/>
      </c>
      <c r="P288" s="148">
        <f>J288+M288</f>
        <v/>
      </c>
      <c r="Q288" s="148">
        <f>K288+N288</f>
        <v/>
      </c>
      <c r="R288" s="151">
        <f>IFERROR(Q288/P288,0)</f>
        <v/>
      </c>
      <c r="S288" s="150">
        <f>IFERROR(P288/SUMIF($A:$A,A288,$P:$P),0)</f>
        <v/>
      </c>
      <c r="T288" s="150">
        <f>IFERROR(P288/E288,0)</f>
        <v/>
      </c>
      <c r="U288" s="148">
        <f>E288-Q288</f>
        <v/>
      </c>
      <c r="V288" s="150">
        <f>IFERROR(U288/E288,0)</f>
        <v/>
      </c>
      <c r="W288" s="148">
        <f>IFERROR(VLOOKUP(A288,周报其他费用!$A:$B,2,FALSE)*H288,0)</f>
        <v/>
      </c>
      <c r="X288" s="148" t="n">
        <v>21.61</v>
      </c>
      <c r="Y288" s="150">
        <f>IFERROR(X288/F288,0)</f>
        <v/>
      </c>
      <c r="Z288" s="148">
        <f>X288-J288/1.06</f>
        <v/>
      </c>
      <c r="AA288" s="150">
        <f>IFERROR(Z288/F288,0)</f>
        <v/>
      </c>
      <c r="AB288" s="148">
        <f>X288-(P288+W288)/1.06</f>
        <v/>
      </c>
      <c r="AC288" s="150">
        <f>IFERROR(AB288/F288,0)</f>
        <v/>
      </c>
    </row>
    <row r="289" ht="14.25" customHeight="1" s="65">
      <c r="A289" s="140" t="inlineStr">
        <is>
          <t>7.20-7.26</t>
        </is>
      </c>
      <c r="B289" s="141" t="n">
        <v>735014804839</v>
      </c>
      <c r="C289" s="140" t="inlineStr">
        <is>
          <t>24/30包</t>
        </is>
      </c>
      <c r="D289" s="140" t="inlineStr">
        <is>
          <t>进口营多捞面多口味Indomie网红方便面干拌面泡面30包整箱批发面</t>
        </is>
      </c>
      <c r="E289" s="142" t="n">
        <v>1037.08</v>
      </c>
      <c r="F289" s="142">
        <f>IFERROR(E289/1.13,0)</f>
        <v/>
      </c>
      <c r="G289" s="143" t="n">
        <v>15</v>
      </c>
      <c r="H289" s="144">
        <f>IFERROR(G289/SUMIF($A:$A,A289,$G:$G),0)</f>
        <v/>
      </c>
      <c r="I289" s="142">
        <f>IFERROR(E289/G289,0)</f>
        <v/>
      </c>
      <c r="J289" s="142" t="n">
        <v>230.237302297822</v>
      </c>
      <c r="K289" s="142" t="n">
        <v>847.666430916144</v>
      </c>
      <c r="L289" s="145">
        <f>IFERROR(K289/J289,0)</f>
        <v/>
      </c>
      <c r="M289" s="142" t="n">
        <v>8.447084452402271</v>
      </c>
      <c r="N289" s="142" t="n">
        <v>19.7243748134885</v>
      </c>
      <c r="O289" s="145">
        <f>IFERROR(N289/M289,0)</f>
        <v/>
      </c>
      <c r="P289" s="142">
        <f>J289+M289</f>
        <v/>
      </c>
      <c r="Q289" s="142">
        <f>K289+N289</f>
        <v/>
      </c>
      <c r="R289" s="145">
        <f>IFERROR(Q289/P289,0)</f>
        <v/>
      </c>
      <c r="S289" s="144">
        <f>IFERROR(P289/SUMIF($A:$A,A289,$P:$P),0)</f>
        <v/>
      </c>
      <c r="T289" s="144">
        <f>IFERROR(P289/E289,0)</f>
        <v/>
      </c>
      <c r="U289" s="142">
        <f>E289-Q289</f>
        <v/>
      </c>
      <c r="V289" s="144">
        <f>IFERROR(U289/E289,0)</f>
        <v/>
      </c>
      <c r="W289" s="142">
        <f>IFERROR(VLOOKUP(A289,周报其他费用!$A:$B,2,FALSE)*H289,0)</f>
        <v/>
      </c>
      <c r="X289" s="142" t="n">
        <v>210.279</v>
      </c>
      <c r="Y289" s="144">
        <f>IFERROR(X289/F289,0)</f>
        <v/>
      </c>
      <c r="Z289" s="142">
        <f>X289-J289/1.06</f>
        <v/>
      </c>
      <c r="AA289" s="144">
        <f>IFERROR(Z289/F289,0)</f>
        <v/>
      </c>
      <c r="AB289" s="142">
        <f>X289-(P289+W289)/1.06</f>
        <v/>
      </c>
      <c r="AC289" s="144">
        <f>IFERROR(AB289/F289,0)</f>
        <v/>
      </c>
    </row>
    <row r="290" ht="14.25" customHeight="1" s="65">
      <c r="A290" s="146" t="inlineStr">
        <is>
          <t>7.20-7.26</t>
        </is>
      </c>
      <c r="B290" s="147" t="n">
        <v>766165464414</v>
      </c>
      <c r="C290" s="146" t="inlineStr">
        <is>
          <t>12包</t>
        </is>
      </c>
      <c r="D290" s="146" t="inlineStr">
        <is>
          <t>营多印尼进口营多捞面方便面火鸡面干拌面12包宿舍速食泡面夜宵</t>
        </is>
      </c>
      <c r="E290" s="148" t="n">
        <v>435.57</v>
      </c>
      <c r="F290" s="148">
        <f>IFERROR(E290/1.13,0)</f>
        <v/>
      </c>
      <c r="G290" s="149" t="n">
        <v>15</v>
      </c>
      <c r="H290" s="150">
        <f>IFERROR(G290/SUMIF($A:$A,A290,$G:$G),0)</f>
        <v/>
      </c>
      <c r="I290" s="148">
        <f>IFERROR(E290/G290,0)</f>
        <v/>
      </c>
      <c r="J290" s="148" t="n">
        <v>12.3503521336915</v>
      </c>
      <c r="K290" s="148" t="n">
        <v>65.07382870784831</v>
      </c>
      <c r="L290" s="151">
        <f>IFERROR(K290/J290,0)</f>
        <v/>
      </c>
      <c r="M290" s="148" t="n">
        <v>7.84372127723068</v>
      </c>
      <c r="N290" s="148" t="n">
        <v>18.3154908982393</v>
      </c>
      <c r="O290" s="151">
        <f>IFERROR(N290/M290,0)</f>
        <v/>
      </c>
      <c r="P290" s="148">
        <f>J290+M290</f>
        <v/>
      </c>
      <c r="Q290" s="148">
        <f>K290+N290</f>
        <v/>
      </c>
      <c r="R290" s="151">
        <f>IFERROR(Q290/P290,0)</f>
        <v/>
      </c>
      <c r="S290" s="150">
        <f>IFERROR(P290/SUMIF($A:$A,A290,$P:$P),0)</f>
        <v/>
      </c>
      <c r="T290" s="150">
        <f>IFERROR(P290/E290,0)</f>
        <v/>
      </c>
      <c r="U290" s="148">
        <f>E290-Q290</f>
        <v/>
      </c>
      <c r="V290" s="150">
        <f>IFERROR(U290/E290,0)</f>
        <v/>
      </c>
      <c r="W290" s="148">
        <f>IFERROR(VLOOKUP(A290,周报其他费用!$A:$B,2,FALSE)*H290,0)</f>
        <v/>
      </c>
      <c r="X290" s="148" t="n">
        <v>60.107</v>
      </c>
      <c r="Y290" s="150">
        <f>IFERROR(X290/F290,0)</f>
        <v/>
      </c>
      <c r="Z290" s="148">
        <f>X290-J290/1.06</f>
        <v/>
      </c>
      <c r="AA290" s="150">
        <f>IFERROR(Z290/F290,0)</f>
        <v/>
      </c>
      <c r="AB290" s="148">
        <f>X290-(P290+W290)/1.06</f>
        <v/>
      </c>
      <c r="AC290" s="150">
        <f>IFERROR(AB290/F290,0)</f>
        <v/>
      </c>
    </row>
    <row r="291" ht="14.25" customHeight="1" s="65">
      <c r="A291" s="140" t="inlineStr">
        <is>
          <t>7.20-7.26</t>
        </is>
      </c>
      <c r="B291" s="141" t="n">
        <v>886856687067</v>
      </c>
      <c r="C291" s="140" t="inlineStr">
        <is>
          <t>大骨</t>
        </is>
      </c>
      <c r="D291" s="140" t="inlineStr">
        <is>
          <t>营多捞面牛系列大骨牛肉味方便面食品泡面拉面汤面宿舍宵夜旅行</t>
        </is>
      </c>
      <c r="E291" s="142" t="n">
        <v>241.93</v>
      </c>
      <c r="F291" s="142">
        <f>IFERROR(E291/1.13,0)</f>
        <v/>
      </c>
      <c r="G291" s="143" t="n">
        <v>13</v>
      </c>
      <c r="H291" s="144">
        <f>IFERROR(G291/SUMIF($A:$A,A291,$G:$G),0)</f>
        <v/>
      </c>
      <c r="I291" s="142">
        <f>IFERROR(E291/G291,0)</f>
        <v/>
      </c>
      <c r="J291" s="142" t="n">
        <v>10.4964518054312</v>
      </c>
      <c r="K291" s="142" t="n">
        <v>23.5986242912563</v>
      </c>
      <c r="L291" s="145">
        <f>IFERROR(K291/J291,0)</f>
        <v/>
      </c>
      <c r="M291" s="142" t="n">
        <v>6.6369949268875</v>
      </c>
      <c r="N291" s="142" t="n">
        <v>15.497723067741</v>
      </c>
      <c r="O291" s="145">
        <f>IFERROR(N291/M291,0)</f>
        <v/>
      </c>
      <c r="P291" s="142">
        <f>J291+M291</f>
        <v/>
      </c>
      <c r="Q291" s="142">
        <f>K291+N291</f>
        <v/>
      </c>
      <c r="R291" s="145">
        <f>IFERROR(Q291/P291,0)</f>
        <v/>
      </c>
      <c r="S291" s="144">
        <f>IFERROR(P291/SUMIF($A:$A,A291,$P:$P),0)</f>
        <v/>
      </c>
      <c r="T291" s="144">
        <f>IFERROR(P291/E291,0)</f>
        <v/>
      </c>
      <c r="U291" s="142">
        <f>E291-Q291</f>
        <v/>
      </c>
      <c r="V291" s="144">
        <f>IFERROR(U291/E291,0)</f>
        <v/>
      </c>
      <c r="W291" s="142">
        <f>IFERROR(VLOOKUP(A291,周报其他费用!$A:$B,2,FALSE)*H291,0)</f>
        <v/>
      </c>
      <c r="X291" s="142" t="n">
        <v>31.483</v>
      </c>
      <c r="Y291" s="144">
        <f>IFERROR(X291/F291,0)</f>
        <v/>
      </c>
      <c r="Z291" s="142">
        <f>X291-J291/1.06</f>
        <v/>
      </c>
      <c r="AA291" s="144">
        <f>IFERROR(Z291/F291,0)</f>
        <v/>
      </c>
      <c r="AB291" s="142">
        <f>X291-(P291+W291)/1.06</f>
        <v/>
      </c>
      <c r="AC291" s="144">
        <f>IFERROR(AB291/F291,0)</f>
        <v/>
      </c>
    </row>
    <row r="292" ht="14.25" customHeight="1" s="65">
      <c r="A292" s="146" t="inlineStr">
        <is>
          <t>7.20-7.26</t>
        </is>
      </c>
      <c r="B292" s="147" t="n">
        <v>898076297965</v>
      </c>
      <c r="C292" s="146" t="inlineStr">
        <is>
          <t>番茄牛肉</t>
        </is>
      </c>
      <c r="D292" s="146" t="inlineStr">
        <is>
          <t>进口正品意面风味奶香番茄牛肉味意式拌面营多捞面早餐儿童宝妈餐</t>
        </is>
      </c>
      <c r="E292" s="148" t="n">
        <v>193.26</v>
      </c>
      <c r="F292" s="148">
        <f>IFERROR(E292/1.13,0)</f>
        <v/>
      </c>
      <c r="G292" s="149" t="n">
        <v>11</v>
      </c>
      <c r="H292" s="150">
        <f>IFERROR(G292/SUMIF($A:$A,A292,$G:$G),0)</f>
        <v/>
      </c>
      <c r="I292" s="148">
        <f>IFERROR(E292/G292,0)</f>
        <v/>
      </c>
      <c r="J292" s="148" t="n">
        <v>23.3095016413011</v>
      </c>
      <c r="K292" s="148" t="n">
        <v>138.98602208296</v>
      </c>
      <c r="L292" s="151">
        <f>IFERROR(K292/J292,0)</f>
        <v/>
      </c>
      <c r="M292" s="148" t="n">
        <v>6.03363175171591</v>
      </c>
      <c r="N292" s="148" t="n">
        <v>14.0888391524918</v>
      </c>
      <c r="O292" s="151">
        <f>IFERROR(N292/M292,0)</f>
        <v/>
      </c>
      <c r="P292" s="148">
        <f>J292+M292</f>
        <v/>
      </c>
      <c r="Q292" s="148">
        <f>K292+N292</f>
        <v/>
      </c>
      <c r="R292" s="151">
        <f>IFERROR(Q292/P292,0)</f>
        <v/>
      </c>
      <c r="S292" s="150">
        <f>IFERROR(P292/SUMIF($A:$A,A292,$P:$P),0)</f>
        <v/>
      </c>
      <c r="T292" s="150">
        <f>IFERROR(P292/E292,0)</f>
        <v/>
      </c>
      <c r="U292" s="148">
        <f>E292-Q292</f>
        <v/>
      </c>
      <c r="V292" s="150">
        <f>IFERROR(U292/E292,0)</f>
        <v/>
      </c>
      <c r="W292" s="148">
        <f>IFERROR(VLOOKUP(A292,周报其他费用!$A:$B,2,FALSE)*H292,0)</f>
        <v/>
      </c>
      <c r="X292" s="148" t="n">
        <v>13.575</v>
      </c>
      <c r="Y292" s="150">
        <f>IFERROR(X292/F292,0)</f>
        <v/>
      </c>
      <c r="Z292" s="148">
        <f>X292-J292/1.06</f>
        <v/>
      </c>
      <c r="AA292" s="150">
        <f>IFERROR(Z292/F292,0)</f>
        <v/>
      </c>
      <c r="AB292" s="148">
        <f>X292-(P292+W292)/1.06</f>
        <v/>
      </c>
      <c r="AC292" s="150">
        <f>IFERROR(AB292/F292,0)</f>
        <v/>
      </c>
    </row>
    <row r="293" ht="14.25" customHeight="1" s="65">
      <c r="A293" s="140" t="inlineStr">
        <is>
          <t>7.20-7.26</t>
        </is>
      </c>
      <c r="B293" s="141" t="n">
        <v>885645733215</v>
      </c>
      <c r="C293" s="140" t="inlineStr">
        <is>
          <t>大骨牛肉</t>
        </is>
      </c>
      <c r="D293" s="140" t="inlineStr">
        <is>
          <t>进口营多大骨番茄牛肉味营多捞面意式泡面宿舍宿舍宵夜速食方便面</t>
        </is>
      </c>
      <c r="E293" s="142" t="n">
        <v>181.65</v>
      </c>
      <c r="F293" s="142">
        <f>IFERROR(E293/1.13,0)</f>
        <v/>
      </c>
      <c r="G293" s="143" t="n">
        <v>10</v>
      </c>
      <c r="H293" s="144">
        <f>IFERROR(G293/SUMIF($A:$A,A293,$G:$G),0)</f>
        <v/>
      </c>
      <c r="I293" s="142">
        <f>IFERROR(E293/G293,0)</f>
        <v/>
      </c>
      <c r="J293" s="142" t="n">
        <v>14.692551477171</v>
      </c>
      <c r="K293" s="142" t="n">
        <v>73.62341987466419</v>
      </c>
      <c r="L293" s="145">
        <f>IFERROR(K293/J293,0)</f>
        <v/>
      </c>
      <c r="M293" s="142" t="n">
        <v>5.43026857654432</v>
      </c>
      <c r="N293" s="142" t="n">
        <v>12.6799552372426</v>
      </c>
      <c r="O293" s="145">
        <f>IFERROR(N293/M293,0)</f>
        <v/>
      </c>
      <c r="P293" s="142">
        <f>J293+M293</f>
        <v/>
      </c>
      <c r="Q293" s="142">
        <f>K293+N293</f>
        <v/>
      </c>
      <c r="R293" s="145">
        <f>IFERROR(Q293/P293,0)</f>
        <v/>
      </c>
      <c r="S293" s="144">
        <f>IFERROR(P293/SUMIF($A:$A,A293,$P:$P),0)</f>
        <v/>
      </c>
      <c r="T293" s="144">
        <f>IFERROR(P293/E293,0)</f>
        <v/>
      </c>
      <c r="U293" s="142">
        <f>E293-Q293</f>
        <v/>
      </c>
      <c r="V293" s="144">
        <f>IFERROR(U293/E293,0)</f>
        <v/>
      </c>
      <c r="W293" s="142">
        <f>IFERROR(VLOOKUP(A293,周报其他费用!$A:$B,2,FALSE)*H293,0)</f>
        <v/>
      </c>
      <c r="X293" s="142" t="n">
        <v>16.134</v>
      </c>
      <c r="Y293" s="144">
        <f>IFERROR(X293/F293,0)</f>
        <v/>
      </c>
      <c r="Z293" s="142">
        <f>X293-J293/1.06</f>
        <v/>
      </c>
      <c r="AA293" s="144">
        <f>IFERROR(Z293/F293,0)</f>
        <v/>
      </c>
      <c r="AB293" s="142">
        <f>X293-(P293+W293)/1.06</f>
        <v/>
      </c>
      <c r="AC293" s="144">
        <f>IFERROR(AB293/F293,0)</f>
        <v/>
      </c>
    </row>
    <row r="294" ht="14.25" customHeight="1" s="65">
      <c r="A294" s="146" t="inlineStr">
        <is>
          <t>7.20-7.26</t>
        </is>
      </c>
      <c r="B294" s="147" t="n">
        <v>648604228786</v>
      </c>
      <c r="C294" s="146" t="inlineStr">
        <is>
          <t>杯面混搭</t>
        </is>
      </c>
      <c r="D294" s="146" t="inlineStr">
        <is>
          <t>INDOMIE营多日式杯面原味经典泡面整箱批发速食宿舍旅行宵夜宿舍</t>
        </is>
      </c>
      <c r="E294" s="148" t="n">
        <v>212.58</v>
      </c>
      <c r="F294" s="148">
        <f>IFERROR(E294/1.13,0)</f>
        <v/>
      </c>
      <c r="G294" s="149" t="n">
        <v>8</v>
      </c>
      <c r="H294" s="150">
        <f>IFERROR(G294/SUMIF($A:$A,A294,$G:$G),0)</f>
        <v/>
      </c>
      <c r="I294" s="148">
        <f>IFERROR(E294/G294,0)</f>
        <v/>
      </c>
      <c r="J294" s="148" t="n">
        <v>12.0256013130409</v>
      </c>
      <c r="K294" s="148" t="n">
        <v>8.100817666368201</v>
      </c>
      <c r="L294" s="151">
        <f>IFERROR(K294/J294,0)</f>
        <v/>
      </c>
      <c r="M294" s="148" t="n">
        <v>4.82690540137272</v>
      </c>
      <c r="N294" s="148" t="n">
        <v>11.2710713219934</v>
      </c>
      <c r="O294" s="151">
        <f>IFERROR(N294/M294,0)</f>
        <v/>
      </c>
      <c r="P294" s="148">
        <f>J294+M294</f>
        <v/>
      </c>
      <c r="Q294" s="148">
        <f>K294+N294</f>
        <v/>
      </c>
      <c r="R294" s="151">
        <f>IFERROR(Q294/P294,0)</f>
        <v/>
      </c>
      <c r="S294" s="150">
        <f>IFERROR(P294/SUMIF($A:$A,A294,$P:$P),0)</f>
        <v/>
      </c>
      <c r="T294" s="150">
        <f>IFERROR(P294/E294,0)</f>
        <v/>
      </c>
      <c r="U294" s="148">
        <f>E294-Q294</f>
        <v/>
      </c>
      <c r="V294" s="150">
        <f>IFERROR(U294/E294,0)</f>
        <v/>
      </c>
      <c r="W294" s="148">
        <f>IFERROR(VLOOKUP(A294,周报其他费用!$A:$B,2,FALSE)*H294,0)</f>
        <v/>
      </c>
      <c r="X294" s="148" t="n">
        <v>29.185</v>
      </c>
      <c r="Y294" s="150">
        <f>IFERROR(X294/F294,0)</f>
        <v/>
      </c>
      <c r="Z294" s="148">
        <f>X294-J294/1.06</f>
        <v/>
      </c>
      <c r="AA294" s="150">
        <f>IFERROR(Z294/F294,0)</f>
        <v/>
      </c>
      <c r="AB294" s="148">
        <f>X294-(P294+W294)/1.06</f>
        <v/>
      </c>
      <c r="AC294" s="150">
        <f>IFERROR(AB294/F294,0)</f>
        <v/>
      </c>
    </row>
    <row r="295" ht="14.25" customHeight="1" s="65">
      <c r="A295" s="140" t="inlineStr">
        <is>
          <t>7.20-7.26</t>
        </is>
      </c>
      <c r="B295" s="141" t="n">
        <v>976535014785</v>
      </c>
      <c r="C295" s="140" t="inlineStr">
        <is>
          <t>未标注</t>
        </is>
      </c>
      <c r="D295" s="140" t="n"/>
      <c r="E295" s="142" t="n">
        <v>6.87</v>
      </c>
      <c r="F295" s="142">
        <f>IFERROR(E295/1.13,0)</f>
        <v/>
      </c>
      <c r="G295" s="143" t="n">
        <v>7</v>
      </c>
      <c r="H295" s="144">
        <f>IFERROR(G295/SUMIF($A:$A,A295,$G:$G),0)</f>
        <v/>
      </c>
      <c r="I295" s="142">
        <f>IFERROR(E295/G295,0)</f>
        <v/>
      </c>
      <c r="J295" s="142" t="n">
        <v>1.65865114891078</v>
      </c>
      <c r="K295" s="142" t="n">
        <v>7.08821545807218</v>
      </c>
      <c r="L295" s="145">
        <f>IFERROR(K295/J295,0)</f>
        <v/>
      </c>
      <c r="M295" s="142" t="n">
        <v>4.22354222620113</v>
      </c>
      <c r="N295" s="142" t="n">
        <v>9.86218740674426</v>
      </c>
      <c r="O295" s="145">
        <f>IFERROR(N295/M295,0)</f>
        <v/>
      </c>
      <c r="P295" s="142">
        <f>J295+M295</f>
        <v/>
      </c>
      <c r="Q295" s="142">
        <f>K295+N295</f>
        <v/>
      </c>
      <c r="R295" s="145">
        <f>IFERROR(Q295/P295,0)</f>
        <v/>
      </c>
      <c r="S295" s="144">
        <f>IFERROR(P295/SUMIF($A:$A,A295,$P:$P),0)</f>
        <v/>
      </c>
      <c r="T295" s="144">
        <f>IFERROR(P295/E295,0)</f>
        <v/>
      </c>
      <c r="U295" s="142">
        <f>E295-Q295</f>
        <v/>
      </c>
      <c r="V295" s="144">
        <f>IFERROR(U295/E295,0)</f>
        <v/>
      </c>
      <c r="W295" s="142">
        <f>IFERROR(VLOOKUP(A295,周报其他费用!$A:$B,2,FALSE)*H295,0)</f>
        <v/>
      </c>
      <c r="X295" s="142" t="n">
        <v>0</v>
      </c>
      <c r="Y295" s="144">
        <f>IFERROR(X295/F295,0)</f>
        <v/>
      </c>
      <c r="Z295" s="142">
        <f>X295-J295/1.06</f>
        <v/>
      </c>
      <c r="AA295" s="144">
        <f>IFERROR(Z295/F295,0)</f>
        <v/>
      </c>
      <c r="AB295" s="142">
        <f>X295-(P295+W295)/1.06</f>
        <v/>
      </c>
      <c r="AC295" s="144">
        <f>IFERROR(AB295/F295,0)</f>
        <v/>
      </c>
    </row>
    <row r="296" ht="14.25" customHeight="1" s="65">
      <c r="A296" s="146" t="inlineStr">
        <is>
          <t>7.20-7.26</t>
        </is>
      </c>
      <c r="B296" s="147" t="n">
        <v>971242260371</v>
      </c>
      <c r="C296" s="146" t="inlineStr">
        <is>
          <t>韩式袋面</t>
        </is>
      </c>
      <c r="D296" s="146" t="inlineStr">
        <is>
          <t>新品营多捞面韩式辣蘑菇汤面泡面方便面速食干拌面宿舍宵夜旅行</t>
        </is>
      </c>
      <c r="E296" s="148" t="n">
        <v>164.03</v>
      </c>
      <c r="F296" s="148">
        <f>IFERROR(E296/1.13,0)</f>
        <v/>
      </c>
      <c r="G296" s="149" t="n">
        <v>9</v>
      </c>
      <c r="H296" s="150">
        <f>IFERROR(G296/SUMIF($A:$A,A296,$G:$G),0)</f>
        <v/>
      </c>
      <c r="I296" s="148">
        <f>IFERROR(E296/G296,0)</f>
        <v/>
      </c>
      <c r="J296" s="148" t="n">
        <v>26.5786511489108</v>
      </c>
      <c r="K296" s="148" t="n">
        <v>189.348215458072</v>
      </c>
      <c r="L296" s="151">
        <f>IFERROR(K296/J296,0)</f>
        <v/>
      </c>
      <c r="M296" s="148" t="n">
        <v>4.22354222620113</v>
      </c>
      <c r="N296" s="148" t="n">
        <v>9.86218740674426</v>
      </c>
      <c r="O296" s="151">
        <f>IFERROR(N296/M296,0)</f>
        <v/>
      </c>
      <c r="P296" s="148">
        <f>J296+M296</f>
        <v/>
      </c>
      <c r="Q296" s="148">
        <f>K296+N296</f>
        <v/>
      </c>
      <c r="R296" s="151">
        <f>IFERROR(Q296/P296,0)</f>
        <v/>
      </c>
      <c r="S296" s="150">
        <f>IFERROR(P296/SUMIF($A:$A,A296,$P:$P),0)</f>
        <v/>
      </c>
      <c r="T296" s="150">
        <f>IFERROR(P296/E296,0)</f>
        <v/>
      </c>
      <c r="U296" s="148">
        <f>E296-Q296</f>
        <v/>
      </c>
      <c r="V296" s="150">
        <f>IFERROR(U296/E296,0)</f>
        <v/>
      </c>
      <c r="W296" s="148">
        <f>IFERROR(VLOOKUP(A296,周报其他费用!$A:$B,2,FALSE)*H296,0)</f>
        <v/>
      </c>
      <c r="X296" s="148" t="n">
        <v>15.887</v>
      </c>
      <c r="Y296" s="150">
        <f>IFERROR(X296/F296,0)</f>
        <v/>
      </c>
      <c r="Z296" s="148">
        <f>X296-J296/1.06</f>
        <v/>
      </c>
      <c r="AA296" s="150">
        <f>IFERROR(Z296/F296,0)</f>
        <v/>
      </c>
      <c r="AB296" s="148">
        <f>X296-(P296+W296)/1.06</f>
        <v/>
      </c>
      <c r="AC296" s="150">
        <f>IFERROR(AB296/F296,0)</f>
        <v/>
      </c>
    </row>
    <row r="297" ht="14.25" customHeight="1" s="65">
      <c r="A297" s="140" t="inlineStr">
        <is>
          <t>7.20-7.26</t>
        </is>
      </c>
      <c r="B297" s="141" t="n">
        <v>937005385662</v>
      </c>
      <c r="C297" s="140" t="inlineStr">
        <is>
          <t>日式袋面</t>
        </is>
      </c>
      <c r="D297" s="140" t="inlineStr">
        <is>
          <t>进口营多正品捞面日式鸡肉鸡汤辛辣味袋装泡面辣味速食方便面汤面</t>
        </is>
      </c>
      <c r="E297" s="142" t="n">
        <v>218.59</v>
      </c>
      <c r="F297" s="142">
        <f>IFERROR(E297/1.13,0)</f>
        <v/>
      </c>
      <c r="G297" s="143" t="n">
        <v>10</v>
      </c>
      <c r="H297" s="144">
        <f>IFERROR(G297/SUMIF($A:$A,A297,$G:$G),0)</f>
        <v/>
      </c>
      <c r="I297" s="142">
        <f>IFERROR(E297/G297,0)</f>
        <v/>
      </c>
      <c r="J297" s="142" t="n">
        <v>43.1586511489108</v>
      </c>
      <c r="K297" s="142" t="n">
        <v>288.088215458072</v>
      </c>
      <c r="L297" s="145">
        <f>IFERROR(K297/J297,0)</f>
        <v/>
      </c>
      <c r="M297" s="142" t="n">
        <v>4.22354222620113</v>
      </c>
      <c r="N297" s="142" t="n">
        <v>9.86218740674426</v>
      </c>
      <c r="O297" s="145">
        <f>IFERROR(N297/M297,0)</f>
        <v/>
      </c>
      <c r="P297" s="142">
        <f>J297+M297</f>
        <v/>
      </c>
      <c r="Q297" s="142">
        <f>K297+N297</f>
        <v/>
      </c>
      <c r="R297" s="145">
        <f>IFERROR(Q297/P297,0)</f>
        <v/>
      </c>
      <c r="S297" s="144">
        <f>IFERROR(P297/SUMIF($A:$A,A297,$P:$P),0)</f>
        <v/>
      </c>
      <c r="T297" s="144">
        <f>IFERROR(P297/E297,0)</f>
        <v/>
      </c>
      <c r="U297" s="142">
        <f>E297-Q297</f>
        <v/>
      </c>
      <c r="V297" s="144">
        <f>IFERROR(U297/E297,0)</f>
        <v/>
      </c>
      <c r="W297" s="142">
        <f>IFERROR(VLOOKUP(A297,周报其他费用!$A:$B,2,FALSE)*H297,0)</f>
        <v/>
      </c>
      <c r="X297" s="142" t="n">
        <v>30.148</v>
      </c>
      <c r="Y297" s="144">
        <f>IFERROR(X297/F297,0)</f>
        <v/>
      </c>
      <c r="Z297" s="142">
        <f>X297-J297/1.06</f>
        <v/>
      </c>
      <c r="AA297" s="144">
        <f>IFERROR(Z297/F297,0)</f>
        <v/>
      </c>
      <c r="AB297" s="142">
        <f>X297-(P297+W297)/1.06</f>
        <v/>
      </c>
      <c r="AC297" s="144">
        <f>IFERROR(AB297/F297,0)</f>
        <v/>
      </c>
    </row>
    <row r="298" ht="14.25" customHeight="1" s="65">
      <c r="A298" s="146" t="inlineStr">
        <is>
          <t>7.20-7.26</t>
        </is>
      </c>
      <c r="B298" s="147" t="n">
        <v>969433743398</v>
      </c>
      <c r="C298" s="146" t="inlineStr">
        <is>
          <t>韩蘑菇</t>
        </is>
      </c>
      <c r="D298" s="146" t="inlineStr">
        <is>
          <t>新品营多捞面韩式辣蘑菇汤面泡面方便面速食干拌面宿舍宵夜旅行</t>
        </is>
      </c>
      <c r="E298" s="148" t="n">
        <v>142.44</v>
      </c>
      <c r="F298" s="148">
        <f>IFERROR(E298/1.13,0)</f>
        <v/>
      </c>
      <c r="G298" s="149" t="n">
        <v>7</v>
      </c>
      <c r="H298" s="150">
        <f>IFERROR(G298/SUMIF($A:$A,A298,$G:$G),0)</f>
        <v/>
      </c>
      <c r="I298" s="148">
        <f>IFERROR(E298/G298,0)</f>
        <v/>
      </c>
      <c r="J298" s="148" t="n">
        <v>9.001700984780671</v>
      </c>
      <c r="K298" s="148" t="n">
        <v>41.9756132497762</v>
      </c>
      <c r="L298" s="151">
        <f>IFERROR(K298/J298,0)</f>
        <v/>
      </c>
      <c r="M298" s="148" t="n">
        <v>3.62017905102954</v>
      </c>
      <c r="N298" s="148" t="n">
        <v>8.453303491495079</v>
      </c>
      <c r="O298" s="151">
        <f>IFERROR(N298/M298,0)</f>
        <v/>
      </c>
      <c r="P298" s="148">
        <f>J298+M298</f>
        <v/>
      </c>
      <c r="Q298" s="148">
        <f>K298+N298</f>
        <v/>
      </c>
      <c r="R298" s="151">
        <f>IFERROR(Q298/P298,0)</f>
        <v/>
      </c>
      <c r="S298" s="150">
        <f>IFERROR(P298/SUMIF($A:$A,A298,$P:$P),0)</f>
        <v/>
      </c>
      <c r="T298" s="150">
        <f>IFERROR(P298/E298,0)</f>
        <v/>
      </c>
      <c r="U298" s="148">
        <f>E298-Q298</f>
        <v/>
      </c>
      <c r="V298" s="150">
        <f>IFERROR(U298/E298,0)</f>
        <v/>
      </c>
      <c r="W298" s="148">
        <f>IFERROR(VLOOKUP(A298,周报其他费用!$A:$B,2,FALSE)*H298,0)</f>
        <v/>
      </c>
      <c r="X298" s="148" t="n">
        <v>19.197</v>
      </c>
      <c r="Y298" s="150">
        <f>IFERROR(X298/F298,0)</f>
        <v/>
      </c>
      <c r="Z298" s="148">
        <f>X298-J298/1.06</f>
        <v/>
      </c>
      <c r="AA298" s="150">
        <f>IFERROR(Z298/F298,0)</f>
        <v/>
      </c>
      <c r="AB298" s="148">
        <f>X298-(P298+W298)/1.06</f>
        <v/>
      </c>
      <c r="AC298" s="150">
        <f>IFERROR(AB298/F298,0)</f>
        <v/>
      </c>
    </row>
    <row r="299" ht="14.25" customHeight="1" s="65">
      <c r="A299" s="140" t="inlineStr">
        <is>
          <t>7.20-7.26</t>
        </is>
      </c>
      <c r="B299" s="141" t="n">
        <v>1067363868298</v>
      </c>
      <c r="C299" s="140" t="inlineStr">
        <is>
          <t>未标注</t>
        </is>
      </c>
      <c r="D299" s="140" t="n"/>
      <c r="E299" s="142" t="n">
        <v>93.18000000000001</v>
      </c>
      <c r="F299" s="142">
        <f>IFERROR(E299/1.13,0)</f>
        <v/>
      </c>
      <c r="G299" s="143" t="n">
        <v>5</v>
      </c>
      <c r="H299" s="144">
        <f>IFERROR(G299/SUMIF($A:$A,A299,$G:$G),0)</f>
        <v/>
      </c>
      <c r="I299" s="142">
        <f>IFERROR(E299/G299,0)</f>
        <v/>
      </c>
      <c r="J299" s="142" t="n">
        <v>5.82475082065056</v>
      </c>
      <c r="K299" s="142" t="n">
        <v>5.06301104148013</v>
      </c>
      <c r="L299" s="145">
        <f>IFERROR(K299/J299,0)</f>
        <v/>
      </c>
      <c r="M299" s="142" t="n">
        <v>3.01681587585795</v>
      </c>
      <c r="N299" s="142" t="n">
        <v>7.0444195762459</v>
      </c>
      <c r="O299" s="145">
        <f>IFERROR(N299/M299,0)</f>
        <v/>
      </c>
      <c r="P299" s="142">
        <f>J299+M299</f>
        <v/>
      </c>
      <c r="Q299" s="142">
        <f>K299+N299</f>
        <v/>
      </c>
      <c r="R299" s="145">
        <f>IFERROR(Q299/P299,0)</f>
        <v/>
      </c>
      <c r="S299" s="144">
        <f>IFERROR(P299/SUMIF($A:$A,A299,$P:$P),0)</f>
        <v/>
      </c>
      <c r="T299" s="144">
        <f>IFERROR(P299/E299,0)</f>
        <v/>
      </c>
      <c r="U299" s="142">
        <f>E299-Q299</f>
        <v/>
      </c>
      <c r="V299" s="144">
        <f>IFERROR(U299/E299,0)</f>
        <v/>
      </c>
      <c r="W299" s="142">
        <f>IFERROR(VLOOKUP(A299,周报其他费用!$A:$B,2,FALSE)*H299,0)</f>
        <v/>
      </c>
      <c r="X299" s="142" t="n">
        <v>6.925</v>
      </c>
      <c r="Y299" s="144">
        <f>IFERROR(X299/F299,0)</f>
        <v/>
      </c>
      <c r="Z299" s="142">
        <f>X299-J299/1.06</f>
        <v/>
      </c>
      <c r="AA299" s="144">
        <f>IFERROR(Z299/F299,0)</f>
        <v/>
      </c>
      <c r="AB299" s="142">
        <f>X299-(P299+W299)/1.06</f>
        <v/>
      </c>
      <c r="AC299" s="144">
        <f>IFERROR(AB299/F299,0)</f>
        <v/>
      </c>
    </row>
    <row r="300" ht="14.25" customHeight="1" s="65">
      <c r="A300" s="146" t="inlineStr">
        <is>
          <t>7.20-7.26</t>
        </is>
      </c>
      <c r="B300" s="147" t="n">
        <v>649731447266</v>
      </c>
      <c r="C300" s="146" t="inlineStr">
        <is>
          <t>20包经典/牛系列</t>
        </is>
      </c>
      <c r="D300" s="146" t="inlineStr">
        <is>
          <t>营多印尼进口营多捞面方便面火鸡面干拌面20包宿舍速食泡面夜宵</t>
        </is>
      </c>
      <c r="E300" s="148" t="n">
        <v>243.5</v>
      </c>
      <c r="F300" s="148">
        <f>IFERROR(E300/1.13,0)</f>
        <v/>
      </c>
      <c r="G300" s="149" t="n">
        <v>5</v>
      </c>
      <c r="H300" s="150">
        <f>IFERROR(G300/SUMIF($A:$A,A300,$G:$G),0)</f>
        <v/>
      </c>
      <c r="I300" s="148">
        <f>IFERROR(E300/G300,0)</f>
        <v/>
      </c>
      <c r="J300" s="148" t="n">
        <v>11.0947508206506</v>
      </c>
      <c r="K300" s="148" t="n">
        <v>5.06301104148013</v>
      </c>
      <c r="L300" s="151">
        <f>IFERROR(K300/J300,0)</f>
        <v/>
      </c>
      <c r="M300" s="148" t="n">
        <v>3.01681587585795</v>
      </c>
      <c r="N300" s="148" t="n">
        <v>7.0444195762459</v>
      </c>
      <c r="O300" s="151">
        <f>IFERROR(N300/M300,0)</f>
        <v/>
      </c>
      <c r="P300" s="148">
        <f>J300+M300</f>
        <v/>
      </c>
      <c r="Q300" s="148">
        <f>K300+N300</f>
        <v/>
      </c>
      <c r="R300" s="151">
        <f>IFERROR(Q300/P300,0)</f>
        <v/>
      </c>
      <c r="S300" s="150">
        <f>IFERROR(P300/SUMIF($A:$A,A300,$P:$P),0)</f>
        <v/>
      </c>
      <c r="T300" s="150">
        <f>IFERROR(P300/E300,0)</f>
        <v/>
      </c>
      <c r="U300" s="148">
        <f>E300-Q300</f>
        <v/>
      </c>
      <c r="V300" s="150">
        <f>IFERROR(U300/E300,0)</f>
        <v/>
      </c>
      <c r="W300" s="148">
        <f>IFERROR(VLOOKUP(A300,周报其他费用!$A:$B,2,FALSE)*H300,0)</f>
        <v/>
      </c>
      <c r="X300" s="148" t="n">
        <v>50.194</v>
      </c>
      <c r="Y300" s="150">
        <f>IFERROR(X300/F300,0)</f>
        <v/>
      </c>
      <c r="Z300" s="148">
        <f>X300-J300/1.06</f>
        <v/>
      </c>
      <c r="AA300" s="150">
        <f>IFERROR(Z300/F300,0)</f>
        <v/>
      </c>
      <c r="AB300" s="148">
        <f>X300-(P300+W300)/1.06</f>
        <v/>
      </c>
      <c r="AC300" s="150">
        <f>IFERROR(AB300/F300,0)</f>
        <v/>
      </c>
    </row>
    <row r="301" ht="14.25" customHeight="1" s="65">
      <c r="A301" s="140" t="inlineStr">
        <is>
          <t>7.20-7.26</t>
        </is>
      </c>
      <c r="B301" s="141" t="n">
        <v>1067957289054</v>
      </c>
      <c r="C301" s="140" t="inlineStr">
        <is>
          <t>巴东牛肉</t>
        </is>
      </c>
      <c r="D301" s="140" t="inlineStr">
        <is>
          <t>【新口味】印尼进口营多捞面巴东炖牛肉味泡面方便面宿舍速食宵夜</t>
        </is>
      </c>
      <c r="E301" s="142" t="n">
        <v>60.93</v>
      </c>
      <c r="F301" s="142">
        <f>IFERROR(E301/1.13,0)</f>
        <v/>
      </c>
      <c r="G301" s="143" t="n">
        <v>4</v>
      </c>
      <c r="H301" s="144">
        <f>IFERROR(G301/SUMIF($A:$A,A301,$G:$G),0)</f>
        <v/>
      </c>
      <c r="I301" s="142">
        <f>IFERROR(E301/G301,0)</f>
        <v/>
      </c>
      <c r="J301" s="142" t="n">
        <v>5.84780065652045</v>
      </c>
      <c r="K301" s="142" t="n">
        <v>4.0504088331841</v>
      </c>
      <c r="L301" s="145">
        <f>IFERROR(K301/J301,0)</f>
        <v/>
      </c>
      <c r="M301" s="142" t="n">
        <v>2.41345270068636</v>
      </c>
      <c r="N301" s="142" t="n">
        <v>5.63553566099672</v>
      </c>
      <c r="O301" s="145">
        <f>IFERROR(N301/M301,0)</f>
        <v/>
      </c>
      <c r="P301" s="142">
        <f>J301+M301</f>
        <v/>
      </c>
      <c r="Q301" s="142">
        <f>K301+N301</f>
        <v/>
      </c>
      <c r="R301" s="145">
        <f>IFERROR(Q301/P301,0)</f>
        <v/>
      </c>
      <c r="S301" s="144">
        <f>IFERROR(P301/SUMIF($A:$A,A301,$P:$P),0)</f>
        <v/>
      </c>
      <c r="T301" s="144">
        <f>IFERROR(P301/E301,0)</f>
        <v/>
      </c>
      <c r="U301" s="142">
        <f>E301-Q301</f>
        <v/>
      </c>
      <c r="V301" s="144">
        <f>IFERROR(U301/E301,0)</f>
        <v/>
      </c>
      <c r="W301" s="142">
        <f>IFERROR(VLOOKUP(A301,周报其他费用!$A:$B,2,FALSE)*H301,0)</f>
        <v/>
      </c>
      <c r="X301" s="142" t="n">
        <v>4.936</v>
      </c>
      <c r="Y301" s="144">
        <f>IFERROR(X301/F301,0)</f>
        <v/>
      </c>
      <c r="Z301" s="142">
        <f>X301-J301/1.06</f>
        <v/>
      </c>
      <c r="AA301" s="144">
        <f>IFERROR(Z301/F301,0)</f>
        <v/>
      </c>
      <c r="AB301" s="142">
        <f>X301-(P301+W301)/1.06</f>
        <v/>
      </c>
      <c r="AC301" s="144">
        <f>IFERROR(AB301/F301,0)</f>
        <v/>
      </c>
    </row>
    <row r="302" ht="14.25" customHeight="1" s="65">
      <c r="A302" s="146" t="inlineStr">
        <is>
          <t>7.20-7.26</t>
        </is>
      </c>
      <c r="B302" s="147" t="n">
        <v>976467954327</v>
      </c>
      <c r="C302" s="146" t="inlineStr">
        <is>
          <t>日韩杯面</t>
        </is>
      </c>
      <c r="D302" s="146" t="inlineStr">
        <is>
          <t>【天猫U选】indomie营多捞面辣蘑菇味日式辣味杯面</t>
        </is>
      </c>
      <c r="E302" s="148" t="n">
        <v>28.22</v>
      </c>
      <c r="F302" s="148">
        <f>IFERROR(E302/1.13,0)</f>
        <v/>
      </c>
      <c r="G302" s="149" t="n">
        <v>3</v>
      </c>
      <c r="H302" s="150">
        <f>IFERROR(G302/SUMIF($A:$A,A302,$G:$G),0)</f>
        <v/>
      </c>
      <c r="I302" s="148">
        <f>IFERROR(E302/G302,0)</f>
        <v/>
      </c>
      <c r="J302" s="148" t="n">
        <v>0.710850492390335</v>
      </c>
      <c r="K302" s="148" t="n">
        <v>3.03780662488808</v>
      </c>
      <c r="L302" s="151">
        <f>IFERROR(K302/J302,0)</f>
        <v/>
      </c>
      <c r="M302" s="148" t="n">
        <v>1.81008952551477</v>
      </c>
      <c r="N302" s="148" t="n">
        <v>4.22665174574754</v>
      </c>
      <c r="O302" s="151">
        <f>IFERROR(N302/M302,0)</f>
        <v/>
      </c>
      <c r="P302" s="148">
        <f>J302+M302</f>
        <v/>
      </c>
      <c r="Q302" s="148">
        <f>K302+N302</f>
        <v/>
      </c>
      <c r="R302" s="151">
        <f>IFERROR(Q302/P302,0)</f>
        <v/>
      </c>
      <c r="S302" s="150">
        <f>IFERROR(P302/SUMIF($A:$A,A302,$P:$P),0)</f>
        <v/>
      </c>
      <c r="T302" s="150">
        <f>IFERROR(P302/E302,0)</f>
        <v/>
      </c>
      <c r="U302" s="148">
        <f>E302-Q302</f>
        <v/>
      </c>
      <c r="V302" s="150">
        <f>IFERROR(U302/E302,0)</f>
        <v/>
      </c>
      <c r="W302" s="148">
        <f>IFERROR(VLOOKUP(A302,周报其他费用!$A:$B,2,FALSE)*H302,0)</f>
        <v/>
      </c>
      <c r="X302" s="148" t="n">
        <v>-5.289</v>
      </c>
      <c r="Y302" s="150">
        <f>IFERROR(X302/F302,0)</f>
        <v/>
      </c>
      <c r="Z302" s="148">
        <f>X302-J302/1.06</f>
        <v/>
      </c>
      <c r="AA302" s="150">
        <f>IFERROR(Z302/F302,0)</f>
        <v/>
      </c>
      <c r="AB302" s="148">
        <f>X302-(P302+W302)/1.06</f>
        <v/>
      </c>
      <c r="AC302" s="150">
        <f>IFERROR(AB302/F302,0)</f>
        <v/>
      </c>
    </row>
    <row r="303" ht="14.25" customHeight="1" s="65">
      <c r="A303" s="140" t="inlineStr">
        <is>
          <t>7.20-7.26</t>
        </is>
      </c>
      <c r="B303" s="141" t="n">
        <v>932687928859</v>
      </c>
      <c r="C303" s="140" t="inlineStr">
        <is>
          <t>8包组合</t>
        </is>
      </c>
      <c r="D303" s="140" t="inlineStr">
        <is>
          <t>营多捞面八口味袋装泡面拌面速食面干拌面方便面宿舍宵夜速食家用</t>
        </is>
      </c>
      <c r="E303" s="142" t="n">
        <v>75.92</v>
      </c>
      <c r="F303" s="142">
        <f>IFERROR(E303/1.13,0)</f>
        <v/>
      </c>
      <c r="G303" s="143" t="n">
        <v>3</v>
      </c>
      <c r="H303" s="144">
        <f>IFERROR(G303/SUMIF($A:$A,A303,$G:$G),0)</f>
        <v/>
      </c>
      <c r="I303" s="142">
        <f>IFERROR(E303/G303,0)</f>
        <v/>
      </c>
      <c r="J303" s="142" t="n">
        <v>7.59085049239033</v>
      </c>
      <c r="K303" s="142" t="n">
        <v>3.03780662488808</v>
      </c>
      <c r="L303" s="145">
        <f>IFERROR(K303/J303,0)</f>
        <v/>
      </c>
      <c r="M303" s="142" t="n">
        <v>1.81008952551477</v>
      </c>
      <c r="N303" s="142" t="n">
        <v>4.22665174574754</v>
      </c>
      <c r="O303" s="145">
        <f>IFERROR(N303/M303,0)</f>
        <v/>
      </c>
      <c r="P303" s="142">
        <f>J303+M303</f>
        <v/>
      </c>
      <c r="Q303" s="142">
        <f>K303+N303</f>
        <v/>
      </c>
      <c r="R303" s="145">
        <f>IFERROR(Q303/P303,0)</f>
        <v/>
      </c>
      <c r="S303" s="144">
        <f>IFERROR(P303/SUMIF($A:$A,A303,$P:$P),0)</f>
        <v/>
      </c>
      <c r="T303" s="144">
        <f>IFERROR(P303/E303,0)</f>
        <v/>
      </c>
      <c r="U303" s="142">
        <f>E303-Q303</f>
        <v/>
      </c>
      <c r="V303" s="144">
        <f>IFERROR(U303/E303,0)</f>
        <v/>
      </c>
      <c r="W303" s="142">
        <f>IFERROR(VLOOKUP(A303,周报其他费用!$A:$B,2,FALSE)*H303,0)</f>
        <v/>
      </c>
      <c r="X303" s="142" t="n">
        <v>11.502</v>
      </c>
      <c r="Y303" s="144">
        <f>IFERROR(X303/F303,0)</f>
        <v/>
      </c>
      <c r="Z303" s="142">
        <f>X303-J303/1.06</f>
        <v/>
      </c>
      <c r="AA303" s="144">
        <f>IFERROR(Z303/F303,0)</f>
        <v/>
      </c>
      <c r="AB303" s="142">
        <f>X303-(P303+W303)/1.06</f>
        <v/>
      </c>
      <c r="AC303" s="144">
        <f>IFERROR(AB303/F303,0)</f>
        <v/>
      </c>
    </row>
    <row r="304" ht="14.25" customHeight="1" s="65">
      <c r="A304" s="146" t="inlineStr">
        <is>
          <t>7.20-7.26</t>
        </is>
      </c>
      <c r="B304" s="147" t="n">
        <v>976466902934</v>
      </c>
      <c r="C304" s="146" t="inlineStr">
        <is>
          <t>【U选】日式原杯1+日式辣杯1</t>
        </is>
      </c>
      <c r="D304" s="146" t="inlineStr">
        <is>
          <t>【天猫U选】indomie营多捞面辣火鸡味日式鸡肉原味杯面</t>
        </is>
      </c>
      <c r="E304" s="148" t="n">
        <v>29.5</v>
      </c>
      <c r="F304" s="148">
        <f>IFERROR(E304/1.13,0)</f>
        <v/>
      </c>
      <c r="G304" s="149" t="n">
        <v>3</v>
      </c>
      <c r="H304" s="150">
        <f>IFERROR(G304/SUMIF($A:$A,A304,$G:$G),0)</f>
        <v/>
      </c>
      <c r="I304" s="148">
        <f>IFERROR(E304/G304,0)</f>
        <v/>
      </c>
      <c r="J304" s="148" t="n">
        <v>0.710850492390335</v>
      </c>
      <c r="K304" s="148" t="n">
        <v>3.03780662488808</v>
      </c>
      <c r="L304" s="151">
        <f>IFERROR(K304/J304,0)</f>
        <v/>
      </c>
      <c r="M304" s="148" t="n">
        <v>1.81008952551477</v>
      </c>
      <c r="N304" s="148" t="n">
        <v>4.22665174574754</v>
      </c>
      <c r="O304" s="151">
        <f>IFERROR(N304/M304,0)</f>
        <v/>
      </c>
      <c r="P304" s="148">
        <f>J304+M304</f>
        <v/>
      </c>
      <c r="Q304" s="148">
        <f>K304+N304</f>
        <v/>
      </c>
      <c r="R304" s="151">
        <f>IFERROR(Q304/P304,0)</f>
        <v/>
      </c>
      <c r="S304" s="150">
        <f>IFERROR(P304/SUMIF($A:$A,A304,$P:$P),0)</f>
        <v/>
      </c>
      <c r="T304" s="150">
        <f>IFERROR(P304/E304,0)</f>
        <v/>
      </c>
      <c r="U304" s="148">
        <f>E304-Q304</f>
        <v/>
      </c>
      <c r="V304" s="150">
        <f>IFERROR(U304/E304,0)</f>
        <v/>
      </c>
      <c r="W304" s="148">
        <f>IFERROR(VLOOKUP(A304,周报其他费用!$A:$B,2,FALSE)*H304,0)</f>
        <v/>
      </c>
      <c r="X304" s="148" t="n">
        <v>-4.241</v>
      </c>
      <c r="Y304" s="150">
        <f>IFERROR(X304/F304,0)</f>
        <v/>
      </c>
      <c r="Z304" s="148">
        <f>X304-J304/1.06</f>
        <v/>
      </c>
      <c r="AA304" s="150">
        <f>IFERROR(Z304/F304,0)</f>
        <v/>
      </c>
      <c r="AB304" s="148">
        <f>X304-(P304+W304)/1.06</f>
        <v/>
      </c>
      <c r="AC304" s="150">
        <f>IFERROR(AB304/F304,0)</f>
        <v/>
      </c>
    </row>
    <row r="305" ht="14.25" customHeight="1" s="65">
      <c r="A305" s="140" t="inlineStr">
        <is>
          <t>7.20-7.26</t>
        </is>
      </c>
      <c r="B305" s="141" t="n">
        <v>1067350828719</v>
      </c>
      <c r="C305" s="140" t="inlineStr">
        <is>
          <t>未标注</t>
        </is>
      </c>
      <c r="D305" s="140" t="n"/>
      <c r="E305" s="142" t="n">
        <v>148.7</v>
      </c>
      <c r="F305" s="142">
        <f>IFERROR(E305/1.13,0)</f>
        <v/>
      </c>
      <c r="G305" s="143" t="n">
        <v>3</v>
      </c>
      <c r="H305" s="144">
        <f>IFERROR(G305/SUMIF($A:$A,A305,$G:$G),0)</f>
        <v/>
      </c>
      <c r="I305" s="142">
        <f>IFERROR(E305/G305,0)</f>
        <v/>
      </c>
      <c r="J305" s="142" t="n">
        <v>3.75390032826022</v>
      </c>
      <c r="K305" s="142" t="n">
        <v>20.4852044165921</v>
      </c>
      <c r="L305" s="145">
        <f>IFERROR(K305/J305,0)</f>
        <v/>
      </c>
      <c r="M305" s="142" t="n">
        <v>1.20672635034318</v>
      </c>
      <c r="N305" s="142" t="n">
        <v>2.81776783049836</v>
      </c>
      <c r="O305" s="145">
        <f>IFERROR(N305/M305,0)</f>
        <v/>
      </c>
      <c r="P305" s="142">
        <f>J305+M305</f>
        <v/>
      </c>
      <c r="Q305" s="142">
        <f>K305+N305</f>
        <v/>
      </c>
      <c r="R305" s="145">
        <f>IFERROR(Q305/P305,0)</f>
        <v/>
      </c>
      <c r="S305" s="144">
        <f>IFERROR(P305/SUMIF($A:$A,A305,$P:$P),0)</f>
        <v/>
      </c>
      <c r="T305" s="144">
        <f>IFERROR(P305/E305,0)</f>
        <v/>
      </c>
      <c r="U305" s="142">
        <f>E305-Q305</f>
        <v/>
      </c>
      <c r="V305" s="144">
        <f>IFERROR(U305/E305,0)</f>
        <v/>
      </c>
      <c r="W305" s="142">
        <f>IFERROR(VLOOKUP(A305,周报其他费用!$A:$B,2,FALSE)*H305,0)</f>
        <v/>
      </c>
      <c r="X305" s="142" t="n">
        <v>31.483</v>
      </c>
      <c r="Y305" s="144">
        <f>IFERROR(X305/F305,0)</f>
        <v/>
      </c>
      <c r="Z305" s="142">
        <f>X305-J305/1.06</f>
        <v/>
      </c>
      <c r="AA305" s="144">
        <f>IFERROR(Z305/F305,0)</f>
        <v/>
      </c>
      <c r="AB305" s="142">
        <f>X305-(P305+W305)/1.06</f>
        <v/>
      </c>
      <c r="AC305" s="144">
        <f>IFERROR(AB305/F305,0)</f>
        <v/>
      </c>
    </row>
    <row r="306" ht="14.25" customHeight="1" s="65">
      <c r="A306" s="146" t="inlineStr">
        <is>
          <t>7.20-7.26</t>
        </is>
      </c>
      <c r="B306" s="147" t="n">
        <v>975092562679</v>
      </c>
      <c r="C306" s="146" t="inlineStr">
        <is>
          <t>杯面混搭</t>
        </is>
      </c>
      <c r="D306" s="146" t="inlineStr">
        <is>
          <t>营多韩式甜辣炸鸡火鸡面辣蘑菇杯面拌面泡面方便面速食宵夜旅行</t>
        </is>
      </c>
      <c r="E306" s="148" t="n">
        <v>59.33</v>
      </c>
      <c r="F306" s="148">
        <f>IFERROR(E306/1.13,0)</f>
        <v/>
      </c>
      <c r="G306" s="149" t="n">
        <v>2</v>
      </c>
      <c r="H306" s="150">
        <f>IFERROR(G306/SUMIF($A:$A,A306,$G:$G),0)</f>
        <v/>
      </c>
      <c r="I306" s="148">
        <f>IFERROR(E306/G306,0)</f>
        <v/>
      </c>
      <c r="J306" s="148" t="n">
        <v>1.71390032826022</v>
      </c>
      <c r="K306" s="148" t="n">
        <v>51.9252044165921</v>
      </c>
      <c r="L306" s="151">
        <f>IFERROR(K306/J306,0)</f>
        <v/>
      </c>
      <c r="M306" s="148" t="n">
        <v>1.20672635034318</v>
      </c>
      <c r="N306" s="148" t="n">
        <v>2.81776783049836</v>
      </c>
      <c r="O306" s="151">
        <f>IFERROR(N306/M306,0)</f>
        <v/>
      </c>
      <c r="P306" s="148">
        <f>J306+M306</f>
        <v/>
      </c>
      <c r="Q306" s="148">
        <f>K306+N306</f>
        <v/>
      </c>
      <c r="R306" s="151">
        <f>IFERROR(Q306/P306,0)</f>
        <v/>
      </c>
      <c r="S306" s="150">
        <f>IFERROR(P306/SUMIF($A:$A,A306,$P:$P),0)</f>
        <v/>
      </c>
      <c r="T306" s="150">
        <f>IFERROR(P306/E306,0)</f>
        <v/>
      </c>
      <c r="U306" s="148">
        <f>E306-Q306</f>
        <v/>
      </c>
      <c r="V306" s="150">
        <f>IFERROR(U306/E306,0)</f>
        <v/>
      </c>
      <c r="W306" s="148">
        <f>IFERROR(VLOOKUP(A306,周报其他费用!$A:$B,2,FALSE)*H306,0)</f>
        <v/>
      </c>
      <c r="X306" s="148" t="n">
        <v>12.234</v>
      </c>
      <c r="Y306" s="150">
        <f>IFERROR(X306/F306,0)</f>
        <v/>
      </c>
      <c r="Z306" s="148">
        <f>X306-J306/1.06</f>
        <v/>
      </c>
      <c r="AA306" s="150">
        <f>IFERROR(Z306/F306,0)</f>
        <v/>
      </c>
      <c r="AB306" s="148">
        <f>X306-(P306+W306)/1.06</f>
        <v/>
      </c>
      <c r="AC306" s="150">
        <f>IFERROR(AB306/F306,0)</f>
        <v/>
      </c>
    </row>
    <row r="307" ht="14.25" customHeight="1" s="65">
      <c r="A307" s="140" t="inlineStr">
        <is>
          <t>7.20-7.26</t>
        </is>
      </c>
      <c r="B307" s="141" t="n">
        <v>869217868453</v>
      </c>
      <c r="C307" s="140" t="inlineStr">
        <is>
          <t>韩式杯面</t>
        </is>
      </c>
      <c r="D307" s="140" t="inlineStr">
        <is>
          <t>营多捞面韩式甜辣炸鸡辣蘑菇杯面方便面拌面泡面宿舍速食面</t>
        </is>
      </c>
      <c r="E307" s="142" t="n">
        <v>32.79</v>
      </c>
      <c r="F307" s="142">
        <f>IFERROR(E307/1.13,0)</f>
        <v/>
      </c>
      <c r="G307" s="143" t="n">
        <v>2</v>
      </c>
      <c r="H307" s="144">
        <f>IFERROR(G307/SUMIF($A:$A,A307,$G:$G),0)</f>
        <v/>
      </c>
      <c r="I307" s="142">
        <f>IFERROR(E307/G307,0)</f>
        <v/>
      </c>
      <c r="J307" s="142" t="n">
        <v>13.7639003282602</v>
      </c>
      <c r="K307" s="142" t="n">
        <v>123.405204416592</v>
      </c>
      <c r="L307" s="145">
        <f>IFERROR(K307/J307,0)</f>
        <v/>
      </c>
      <c r="M307" s="142" t="n">
        <v>1.20672635034318</v>
      </c>
      <c r="N307" s="142" t="n">
        <v>2.81776783049836</v>
      </c>
      <c r="O307" s="145">
        <f>IFERROR(N307/M307,0)</f>
        <v/>
      </c>
      <c r="P307" s="142">
        <f>J307+M307</f>
        <v/>
      </c>
      <c r="Q307" s="142">
        <f>K307+N307</f>
        <v/>
      </c>
      <c r="R307" s="145">
        <f>IFERROR(Q307/P307,0)</f>
        <v/>
      </c>
      <c r="S307" s="144">
        <f>IFERROR(P307/SUMIF($A:$A,A307,$P:$P),0)</f>
        <v/>
      </c>
      <c r="T307" s="144">
        <f>IFERROR(P307/E307,0)</f>
        <v/>
      </c>
      <c r="U307" s="142">
        <f>E307-Q307</f>
        <v/>
      </c>
      <c r="V307" s="144">
        <f>IFERROR(U307/E307,0)</f>
        <v/>
      </c>
      <c r="W307" s="142">
        <f>IFERROR(VLOOKUP(A307,周报其他费用!$A:$B,2,FALSE)*H307,0)</f>
        <v/>
      </c>
      <c r="X307" s="142" t="n">
        <v>0.66</v>
      </c>
      <c r="Y307" s="144">
        <f>IFERROR(X307/F307,0)</f>
        <v/>
      </c>
      <c r="Z307" s="142">
        <f>X307-J307/1.06</f>
        <v/>
      </c>
      <c r="AA307" s="144">
        <f>IFERROR(Z307/F307,0)</f>
        <v/>
      </c>
      <c r="AB307" s="142">
        <f>X307-(P307+W307)/1.06</f>
        <v/>
      </c>
      <c r="AC307" s="144">
        <f>IFERROR(AB307/F307,0)</f>
        <v/>
      </c>
    </row>
    <row r="308" ht="14.25" customHeight="1" s="65">
      <c r="A308" s="146" t="inlineStr">
        <is>
          <t>7.20-7.26</t>
        </is>
      </c>
      <c r="B308" s="147" t="n">
        <v>976479938842</v>
      </c>
      <c r="C308" s="146" t="inlineStr">
        <is>
          <t>杯面混搭</t>
        </is>
      </c>
      <c r="D308" s="146" t="inlineStr">
        <is>
          <t>营多捞面韩式甜辣炸鸡辣蘑菇杯面方便面拌面泡面宿舍速食面</t>
        </is>
      </c>
      <c r="E308" s="148" t="n">
        <v>18.9</v>
      </c>
      <c r="F308" s="148">
        <f>IFERROR(E308/1.13,0)</f>
        <v/>
      </c>
      <c r="G308" s="149" t="n">
        <v>2</v>
      </c>
      <c r="H308" s="150">
        <f>IFERROR(G308/SUMIF($A:$A,A308,$G:$G),0)</f>
        <v/>
      </c>
      <c r="I308" s="148">
        <f>IFERROR(E308/G308,0)</f>
        <v/>
      </c>
      <c r="J308" s="148" t="n">
        <v>0.473900328260223</v>
      </c>
      <c r="K308" s="148" t="n">
        <v>2.02520441659205</v>
      </c>
      <c r="L308" s="151">
        <f>IFERROR(K308/J308,0)</f>
        <v/>
      </c>
      <c r="M308" s="148" t="n">
        <v>1.20672635034318</v>
      </c>
      <c r="N308" s="148" t="n">
        <v>2.81776783049836</v>
      </c>
      <c r="O308" s="151">
        <f>IFERROR(N308/M308,0)</f>
        <v/>
      </c>
      <c r="P308" s="148">
        <f>J308+M308</f>
        <v/>
      </c>
      <c r="Q308" s="148">
        <f>K308+N308</f>
        <v/>
      </c>
      <c r="R308" s="151">
        <f>IFERROR(Q308/P308,0)</f>
        <v/>
      </c>
      <c r="S308" s="150">
        <f>IFERROR(P308/SUMIF($A:$A,A308,$P:$P),0)</f>
        <v/>
      </c>
      <c r="T308" s="150">
        <f>IFERROR(P308/E308,0)</f>
        <v/>
      </c>
      <c r="U308" s="148">
        <f>E308-Q308</f>
        <v/>
      </c>
      <c r="V308" s="150">
        <f>IFERROR(U308/E308,0)</f>
        <v/>
      </c>
      <c r="W308" s="148">
        <f>IFERROR(VLOOKUP(A308,周报其他费用!$A:$B,2,FALSE)*H308,0)</f>
        <v/>
      </c>
      <c r="X308" s="148" t="n">
        <v>-6.263</v>
      </c>
      <c r="Y308" s="150">
        <f>IFERROR(X308/F308,0)</f>
        <v/>
      </c>
      <c r="Z308" s="148">
        <f>X308-J308/1.06</f>
        <v/>
      </c>
      <c r="AA308" s="150">
        <f>IFERROR(Z308/F308,0)</f>
        <v/>
      </c>
      <c r="AB308" s="148">
        <f>X308-(P308+W308)/1.06</f>
        <v/>
      </c>
      <c r="AC308" s="150">
        <f>IFERROR(AB308/F308,0)</f>
        <v/>
      </c>
    </row>
    <row r="309" ht="14.25" customHeight="1" s="65">
      <c r="A309" s="140" t="inlineStr">
        <is>
          <t>7.20-7.26</t>
        </is>
      </c>
      <c r="B309" s="141" t="n">
        <v>903183018417</v>
      </c>
      <c r="C309" s="140" t="inlineStr">
        <is>
          <t>杯面混搭</t>
        </is>
      </c>
      <c r="D309" s="140" t="inlineStr">
        <is>
          <t>印尼进口营多捞面杯面原味甜辣蘑菇味整箱速食拌面拉面泡面方便面</t>
        </is>
      </c>
      <c r="E309" s="142" t="n">
        <v>38.36</v>
      </c>
      <c r="F309" s="142">
        <f>IFERROR(E309/1.13,0)</f>
        <v/>
      </c>
      <c r="G309" s="143" t="n">
        <v>2</v>
      </c>
      <c r="H309" s="144">
        <f>IFERROR(G309/SUMIF($A:$A,A309,$G:$G),0)</f>
        <v/>
      </c>
      <c r="I309" s="142">
        <f>IFERROR(E309/G309,0)</f>
        <v/>
      </c>
      <c r="J309" s="142" t="n">
        <v>3.51390032826022</v>
      </c>
      <c r="K309" s="142" t="n">
        <v>2.02520441659205</v>
      </c>
      <c r="L309" s="145">
        <f>IFERROR(K309/J309,0)</f>
        <v/>
      </c>
      <c r="M309" s="142" t="n">
        <v>1.20672635034318</v>
      </c>
      <c r="N309" s="142" t="n">
        <v>2.81776783049836</v>
      </c>
      <c r="O309" s="145">
        <f>IFERROR(N309/M309,0)</f>
        <v/>
      </c>
      <c r="P309" s="142">
        <f>J309+M309</f>
        <v/>
      </c>
      <c r="Q309" s="142">
        <f>K309+N309</f>
        <v/>
      </c>
      <c r="R309" s="145">
        <f>IFERROR(Q309/P309,0)</f>
        <v/>
      </c>
      <c r="S309" s="144">
        <f>IFERROR(P309/SUMIF($A:$A,A309,$P:$P),0)</f>
        <v/>
      </c>
      <c r="T309" s="144">
        <f>IFERROR(P309/E309,0)</f>
        <v/>
      </c>
      <c r="U309" s="142">
        <f>E309-Q309</f>
        <v/>
      </c>
      <c r="V309" s="144">
        <f>IFERROR(U309/E309,0)</f>
        <v/>
      </c>
      <c r="W309" s="142">
        <f>IFERROR(VLOOKUP(A309,周报其他费用!$A:$B,2,FALSE)*H309,0)</f>
        <v/>
      </c>
      <c r="X309" s="142" t="n">
        <v>3.134</v>
      </c>
      <c r="Y309" s="144">
        <f>IFERROR(X309/F309,0)</f>
        <v/>
      </c>
      <c r="Z309" s="142">
        <f>X309-J309/1.06</f>
        <v/>
      </c>
      <c r="AA309" s="144">
        <f>IFERROR(Z309/F309,0)</f>
        <v/>
      </c>
      <c r="AB309" s="142">
        <f>X309-(P309+W309)/1.06</f>
        <v/>
      </c>
      <c r="AC309" s="144">
        <f>IFERROR(AB309/F309,0)</f>
        <v/>
      </c>
    </row>
    <row r="310" ht="14.25" customHeight="1" s="65">
      <c r="A310" s="146" t="inlineStr">
        <is>
          <t>7.27-8.2</t>
        </is>
      </c>
      <c r="B310" s="147" t="n">
        <v>668566625747</v>
      </c>
      <c r="C310" s="146" t="inlineStr">
        <is>
          <t>袋面主链接</t>
        </is>
      </c>
      <c r="D310" s="146" t="inlineStr">
        <is>
          <t>印尼营多捞面进口网红泡面袋装方便面速食食品拉面火鸡面拌面整箱</t>
        </is>
      </c>
      <c r="E310" s="148" t="n">
        <v>38360.0000000009</v>
      </c>
      <c r="F310" s="148">
        <f>IFERROR(E310/1.13,0)</f>
        <v/>
      </c>
      <c r="G310" s="149" t="n">
        <v>1566</v>
      </c>
      <c r="H310" s="150">
        <f>IFERROR(G310/SUMIF($A:$A,A310,$G:$G),0)</f>
        <v/>
      </c>
      <c r="I310" s="148">
        <f>IFERROR(E310/G310,0)</f>
        <v/>
      </c>
      <c r="J310" s="148" t="n">
        <v>4534.46114762138</v>
      </c>
      <c r="K310" s="148" t="n">
        <v>31378.8711672389</v>
      </c>
      <c r="L310" s="151">
        <f>IFERROR(K310/J310,0)</f>
        <v/>
      </c>
      <c r="M310" s="148" t="n">
        <v>788.990583619421</v>
      </c>
      <c r="N310" s="148" t="n">
        <v>1697.15153997057</v>
      </c>
      <c r="O310" s="151">
        <f>IFERROR(N310/M310,0)</f>
        <v/>
      </c>
      <c r="P310" s="148">
        <f>J310+M310</f>
        <v/>
      </c>
      <c r="Q310" s="148">
        <f>K310+N310</f>
        <v/>
      </c>
      <c r="R310" s="151">
        <f>IFERROR(Q310/P310,0)</f>
        <v/>
      </c>
      <c r="S310" s="150">
        <f>IFERROR(P310/SUMIF($A:$A,A310,$P:$P),0)</f>
        <v/>
      </c>
      <c r="T310" s="150">
        <f>IFERROR(P310/E310,0)</f>
        <v/>
      </c>
      <c r="U310" s="148">
        <f>E310-Q310</f>
        <v/>
      </c>
      <c r="V310" s="150">
        <f>IFERROR(U310/E310,0)</f>
        <v/>
      </c>
      <c r="W310" s="148">
        <f>IFERROR(VLOOKUP(A310,周报其他费用!$A:$B,2,FALSE)*H310,0)</f>
        <v/>
      </c>
      <c r="X310" s="148" t="n">
        <v>5163.45700000005</v>
      </c>
      <c r="Y310" s="150">
        <f>IFERROR(X310/F310,0)</f>
        <v/>
      </c>
      <c r="Z310" s="148">
        <f>X310-J310/1.06</f>
        <v/>
      </c>
      <c r="AA310" s="150">
        <f>IFERROR(Z310/F310,0)</f>
        <v/>
      </c>
      <c r="AB310" s="148">
        <f>X310-(P310+W310)/1.06</f>
        <v/>
      </c>
      <c r="AC310" s="150">
        <f>IFERROR(AB310/F310,0)</f>
        <v/>
      </c>
    </row>
    <row r="311" ht="14.25" customHeight="1" s="65">
      <c r="A311" s="140" t="inlineStr">
        <is>
          <t>7.27-8.2</t>
        </is>
      </c>
      <c r="B311" s="141" t="n">
        <v>649361890551</v>
      </c>
      <c r="C311" s="140" t="inlineStr">
        <is>
          <t>袋面次链接</t>
        </is>
      </c>
      <c r="D311" s="140" t="inlineStr">
        <is>
          <t>营多捞面印尼进口Indomie网红夜宵早餐方便面火鸡面泡面拌面</t>
        </is>
      </c>
      <c r="E311" s="142" t="n">
        <v>15822.6999999999</v>
      </c>
      <c r="F311" s="142">
        <f>IFERROR(E311/1.13,0)</f>
        <v/>
      </c>
      <c r="G311" s="143" t="n">
        <v>793</v>
      </c>
      <c r="H311" s="144">
        <f>IFERROR(G311/SUMIF($A:$A,A311,$G:$G),0)</f>
        <v/>
      </c>
      <c r="I311" s="142">
        <f>IFERROR(E311/G311,0)</f>
        <v/>
      </c>
      <c r="J311" s="142" t="n">
        <v>2709.37466159882</v>
      </c>
      <c r="K311" s="142" t="n">
        <v>14621.8720917116</v>
      </c>
      <c r="L311" s="145">
        <f>IFERROR(K311/J311,0)</f>
        <v/>
      </c>
      <c r="M311" s="142" t="n">
        <v>399.533545855812</v>
      </c>
      <c r="N311" s="142" t="n">
        <v>859.413263854831</v>
      </c>
      <c r="O311" s="145">
        <f>IFERROR(N311/M311,0)</f>
        <v/>
      </c>
      <c r="P311" s="142">
        <f>J311+M311</f>
        <v/>
      </c>
      <c r="Q311" s="142">
        <f>K311+N311</f>
        <v/>
      </c>
      <c r="R311" s="145">
        <f>IFERROR(Q311/P311,0)</f>
        <v/>
      </c>
      <c r="S311" s="144">
        <f>IFERROR(P311/SUMIF($A:$A,A311,$P:$P),0)</f>
        <v/>
      </c>
      <c r="T311" s="144">
        <f>IFERROR(P311/E311,0)</f>
        <v/>
      </c>
      <c r="U311" s="142">
        <f>E311-Q311</f>
        <v/>
      </c>
      <c r="V311" s="144">
        <f>IFERROR(U311/E311,0)</f>
        <v/>
      </c>
      <c r="W311" s="142">
        <f>IFERROR(VLOOKUP(A311,周报其他费用!$A:$B,2,FALSE)*H311,0)</f>
        <v/>
      </c>
      <c r="X311" s="142" t="n">
        <v>1570.04299999999</v>
      </c>
      <c r="Y311" s="144">
        <f>IFERROR(X311/F311,0)</f>
        <v/>
      </c>
      <c r="Z311" s="142">
        <f>X311-J311/1.06</f>
        <v/>
      </c>
      <c r="AA311" s="144">
        <f>IFERROR(Z311/F311,0)</f>
        <v/>
      </c>
      <c r="AB311" s="142">
        <f>X311-(P311+W311)/1.06</f>
        <v/>
      </c>
      <c r="AC311" s="144">
        <f>IFERROR(AB311/F311,0)</f>
        <v/>
      </c>
    </row>
    <row r="312" ht="14.25" customHeight="1" s="65">
      <c r="A312" s="146" t="inlineStr">
        <is>
          <t>7.27-8.2</t>
        </is>
      </c>
      <c r="B312" s="147" t="n">
        <v>649735171438</v>
      </c>
      <c r="C312" s="146" t="inlineStr">
        <is>
          <t>杯面主链接</t>
        </is>
      </c>
      <c r="D312" s="146" t="inlineStr">
        <is>
          <t>印尼进口indomie营多捞面杯面速食泡面干拌面盒桶装方便面火鸡面</t>
        </is>
      </c>
      <c r="E312" s="148" t="n">
        <v>15355.2</v>
      </c>
      <c r="F312" s="148">
        <f>IFERROR(E312/1.13,0)</f>
        <v/>
      </c>
      <c r="G312" s="149" t="n">
        <v>619</v>
      </c>
      <c r="H312" s="150">
        <f>IFERROR(G312/SUMIF($A:$A,A312,$G:$G),0)</f>
        <v/>
      </c>
      <c r="I312" s="148">
        <f>IFERROR(E312/G312,0)</f>
        <v/>
      </c>
      <c r="J312" s="148" t="n">
        <v>2185.03453408534</v>
      </c>
      <c r="K312" s="148" t="n">
        <v>10082.8308509073</v>
      </c>
      <c r="L312" s="151">
        <f>IFERROR(K312/J312,0)</f>
        <v/>
      </c>
      <c r="M312" s="148" t="n">
        <v>311.867925453654</v>
      </c>
      <c r="N312" s="148" t="n">
        <v>670.840870524767</v>
      </c>
      <c r="O312" s="151">
        <f>IFERROR(N312/M312,0)</f>
        <v/>
      </c>
      <c r="P312" s="148">
        <f>J312+M312</f>
        <v/>
      </c>
      <c r="Q312" s="148">
        <f>K312+N312</f>
        <v/>
      </c>
      <c r="R312" s="151">
        <f>IFERROR(Q312/P312,0)</f>
        <v/>
      </c>
      <c r="S312" s="150">
        <f>IFERROR(P312/SUMIF($A:$A,A312,$P:$P),0)</f>
        <v/>
      </c>
      <c r="T312" s="150">
        <f>IFERROR(P312/E312,0)</f>
        <v/>
      </c>
      <c r="U312" s="148">
        <f>E312-Q312</f>
        <v/>
      </c>
      <c r="V312" s="150">
        <f>IFERROR(U312/E312,0)</f>
        <v/>
      </c>
      <c r="W312" s="148">
        <f>IFERROR(VLOOKUP(A312,周报其他费用!$A:$B,2,FALSE)*H312,0)</f>
        <v/>
      </c>
      <c r="X312" s="148" t="n">
        <v>1871.199</v>
      </c>
      <c r="Y312" s="150">
        <f>IFERROR(X312/F312,0)</f>
        <v/>
      </c>
      <c r="Z312" s="148">
        <f>X312-J312/1.06</f>
        <v/>
      </c>
      <c r="AA312" s="150">
        <f>IFERROR(Z312/F312,0)</f>
        <v/>
      </c>
      <c r="AB312" s="148">
        <f>X312-(P312+W312)/1.06</f>
        <v/>
      </c>
      <c r="AC312" s="150">
        <f>IFERROR(AB312/F312,0)</f>
        <v/>
      </c>
    </row>
    <row r="313" ht="14.25" customHeight="1" s="65">
      <c r="A313" s="140" t="inlineStr">
        <is>
          <t>7.27-8.2</t>
        </is>
      </c>
      <c r="B313" s="141" t="n">
        <v>1058280415678</v>
      </c>
      <c r="C313" s="140" t="inlineStr">
        <is>
          <t>原味大包</t>
        </is>
      </c>
      <c r="D313" s="140" t="inlineStr">
        <is>
          <t>印尼进口大大包营多原味捞面5包干拌面速食超大包方便面速食宵夜</t>
        </is>
      </c>
      <c r="E313" s="142" t="n">
        <v>5107.37</v>
      </c>
      <c r="F313" s="142">
        <f>IFERROR(E313/1.13,0)</f>
        <v/>
      </c>
      <c r="G313" s="143" t="n">
        <v>184</v>
      </c>
      <c r="H313" s="144">
        <f>IFERROR(G313/SUMIF($A:$A,A313,$G:$G),0)</f>
        <v/>
      </c>
      <c r="I313" s="142">
        <f>IFERROR(E313/G313,0)</f>
        <v/>
      </c>
      <c r="J313" s="142" t="n">
        <v>858.639215301618</v>
      </c>
      <c r="K313" s="142" t="n">
        <v>4651.71774889652</v>
      </c>
      <c r="L313" s="145">
        <f>IFERROR(K313/J313,0)</f>
        <v/>
      </c>
      <c r="M313" s="142" t="n">
        <v>92.7038744482589</v>
      </c>
      <c r="N313" s="142" t="n">
        <v>199.409887199608</v>
      </c>
      <c r="O313" s="145">
        <f>IFERROR(N313/M313,0)</f>
        <v/>
      </c>
      <c r="P313" s="142">
        <f>J313+M313</f>
        <v/>
      </c>
      <c r="Q313" s="142">
        <f>K313+N313</f>
        <v/>
      </c>
      <c r="R313" s="145">
        <f>IFERROR(Q313/P313,0)</f>
        <v/>
      </c>
      <c r="S313" s="144">
        <f>IFERROR(P313/SUMIF($A:$A,A313,$P:$P),0)</f>
        <v/>
      </c>
      <c r="T313" s="144">
        <f>IFERROR(P313/E313,0)</f>
        <v/>
      </c>
      <c r="U313" s="142">
        <f>E313-Q313</f>
        <v/>
      </c>
      <c r="V313" s="144">
        <f>IFERROR(U313/E313,0)</f>
        <v/>
      </c>
      <c r="W313" s="142">
        <f>IFERROR(VLOOKUP(A313,周报其他费用!$A:$B,2,FALSE)*H313,0)</f>
        <v/>
      </c>
      <c r="X313" s="142" t="n">
        <v>1095.84</v>
      </c>
      <c r="Y313" s="144">
        <f>IFERROR(X313/F313,0)</f>
        <v/>
      </c>
      <c r="Z313" s="142">
        <f>X313-J313/1.06</f>
        <v/>
      </c>
      <c r="AA313" s="144">
        <f>IFERROR(Z313/F313,0)</f>
        <v/>
      </c>
      <c r="AB313" s="142">
        <f>X313-(P313+W313)/1.06</f>
        <v/>
      </c>
      <c r="AC313" s="144">
        <f>IFERROR(AB313/F313,0)</f>
        <v/>
      </c>
    </row>
    <row r="314" ht="14.25" customHeight="1" s="65">
      <c r="A314" s="146" t="inlineStr">
        <is>
          <t>7.27-8.2</t>
        </is>
      </c>
      <c r="B314" s="147" t="n">
        <v>1057479227624</v>
      </c>
      <c r="C314" s="146" t="inlineStr">
        <is>
          <t>巴东牛肉</t>
        </is>
      </c>
      <c r="D314" s="146" t="inlineStr">
        <is>
          <t>【新口味】印尼进口营多捞面巴东炖牛肉味泡面方便面宿舍速食宵夜</t>
        </is>
      </c>
      <c r="E314" s="148" t="n">
        <v>2736.09000000001</v>
      </c>
      <c r="F314" s="148">
        <f>IFERROR(E314/1.13,0)</f>
        <v/>
      </c>
      <c r="G314" s="149" t="n">
        <v>157</v>
      </c>
      <c r="H314" s="150">
        <f>IFERROR(G314/SUMIF($A:$A,A314,$G:$G),0)</f>
        <v/>
      </c>
      <c r="I314" s="148">
        <f>IFERROR(E314/G314,0)</f>
        <v/>
      </c>
      <c r="J314" s="148" t="n">
        <v>805.608678273663</v>
      </c>
      <c r="K314" s="148" t="n">
        <v>3892.90617704757</v>
      </c>
      <c r="L314" s="151">
        <f>IFERROR(K314/J314,0)</f>
        <v/>
      </c>
      <c r="M314" s="148" t="n">
        <v>79.1005885237862</v>
      </c>
      <c r="N314" s="148" t="n">
        <v>170.148653751839</v>
      </c>
      <c r="O314" s="151">
        <f>IFERROR(N314/M314,0)</f>
        <v/>
      </c>
      <c r="P314" s="148">
        <f>J314+M314</f>
        <v/>
      </c>
      <c r="Q314" s="148">
        <f>K314+N314</f>
        <v/>
      </c>
      <c r="R314" s="151">
        <f>IFERROR(Q314/P314,0)</f>
        <v/>
      </c>
      <c r="S314" s="150">
        <f>IFERROR(P314/SUMIF($A:$A,A314,$P:$P),0)</f>
        <v/>
      </c>
      <c r="T314" s="150">
        <f>IFERROR(P314/E314,0)</f>
        <v/>
      </c>
      <c r="U314" s="148">
        <f>E314-Q314</f>
        <v/>
      </c>
      <c r="V314" s="150">
        <f>IFERROR(U314/E314,0)</f>
        <v/>
      </c>
      <c r="W314" s="148">
        <f>IFERROR(VLOOKUP(A314,周报其他费用!$A:$B,2,FALSE)*H314,0)</f>
        <v/>
      </c>
      <c r="X314" s="148" t="n">
        <v>299.643</v>
      </c>
      <c r="Y314" s="150">
        <f>IFERROR(X314/F314,0)</f>
        <v/>
      </c>
      <c r="Z314" s="148">
        <f>X314-J314/1.06</f>
        <v/>
      </c>
      <c r="AA314" s="150">
        <f>IFERROR(Z314/F314,0)</f>
        <v/>
      </c>
      <c r="AB314" s="148">
        <f>X314-(P314+W314)/1.06</f>
        <v/>
      </c>
      <c r="AC314" s="150">
        <f>IFERROR(AB314/F314,0)</f>
        <v/>
      </c>
    </row>
    <row r="315" ht="14.25" customHeight="1" s="65">
      <c r="A315" s="140" t="inlineStr">
        <is>
          <t>7.27-8.2</t>
        </is>
      </c>
      <c r="B315" s="141" t="n">
        <v>648600900806</v>
      </c>
      <c r="C315" s="140" t="inlineStr">
        <is>
          <t>30包</t>
        </is>
      </c>
      <c r="D315" s="140" t="inlineStr">
        <is>
          <t>进口营多捞面一整箱30包网红速食方便面宿舍速食泡面干拌面拉面</t>
        </is>
      </c>
      <c r="E315" s="142" t="n">
        <v>10398.16</v>
      </c>
      <c r="F315" s="142">
        <f>IFERROR(E315/1.13,0)</f>
        <v/>
      </c>
      <c r="G315" s="143" t="n">
        <v>153</v>
      </c>
      <c r="H315" s="144">
        <f>IFERROR(G315/SUMIF($A:$A,A315,$G:$G),0)</f>
        <v/>
      </c>
      <c r="I315" s="142">
        <f>IFERROR(E315/G315,0)</f>
        <v/>
      </c>
      <c r="J315" s="142" t="n">
        <v>2406.26304315841</v>
      </c>
      <c r="K315" s="142" t="n">
        <v>10799.1955738107</v>
      </c>
      <c r="L315" s="145">
        <f>IFERROR(K315/J315,0)</f>
        <v/>
      </c>
      <c r="M315" s="142" t="n">
        <v>77.0852869053458</v>
      </c>
      <c r="N315" s="142" t="n">
        <v>165.813656204022</v>
      </c>
      <c r="O315" s="145">
        <f>IFERROR(N315/M315,0)</f>
        <v/>
      </c>
      <c r="P315" s="142">
        <f>J315+M315</f>
        <v/>
      </c>
      <c r="Q315" s="142">
        <f>K315+N315</f>
        <v/>
      </c>
      <c r="R315" s="145">
        <f>IFERROR(Q315/P315,0)</f>
        <v/>
      </c>
      <c r="S315" s="144">
        <f>IFERROR(P315/SUMIF($A:$A,A315,$P:$P),0)</f>
        <v/>
      </c>
      <c r="T315" s="144">
        <f>IFERROR(P315/E315,0)</f>
        <v/>
      </c>
      <c r="U315" s="142">
        <f>E315-Q315</f>
        <v/>
      </c>
      <c r="V315" s="144">
        <f>IFERROR(U315/E315,0)</f>
        <v/>
      </c>
      <c r="W315" s="142">
        <f>IFERROR(VLOOKUP(A315,周报其他费用!$A:$B,2,FALSE)*H315,0)</f>
        <v/>
      </c>
      <c r="X315" s="142" t="n">
        <v>1930.47</v>
      </c>
      <c r="Y315" s="144">
        <f>IFERROR(X315/F315,0)</f>
        <v/>
      </c>
      <c r="Z315" s="142">
        <f>X315-J315/1.06</f>
        <v/>
      </c>
      <c r="AA315" s="144">
        <f>IFERROR(Z315/F315,0)</f>
        <v/>
      </c>
      <c r="AB315" s="142">
        <f>X315-(P315+W315)/1.06</f>
        <v/>
      </c>
      <c r="AC315" s="144">
        <f>IFERROR(AB315/F315,0)</f>
        <v/>
      </c>
    </row>
    <row r="316" ht="14.25" customHeight="1" s="65">
      <c r="A316" s="146" t="inlineStr">
        <is>
          <t>7.27-8.2</t>
        </is>
      </c>
      <c r="B316" s="147" t="n">
        <v>649369494424</v>
      </c>
      <c r="C316" s="146" t="inlineStr">
        <is>
          <t>24包经典/牛系列</t>
        </is>
      </c>
      <c r="D316" s="146" t="inlineStr">
        <is>
          <t>营多捞面干拌面一整箱24袋装批发泡面混搭宿舍速食方便面火鸡面</t>
        </is>
      </c>
      <c r="E316" s="148" t="n">
        <v>4152.8</v>
      </c>
      <c r="F316" s="148">
        <f>IFERROR(E316/1.13,0)</f>
        <v/>
      </c>
      <c r="G316" s="149" t="n">
        <v>75</v>
      </c>
      <c r="H316" s="150">
        <f>IFERROR(G316/SUMIF($A:$A,A316,$G:$G),0)</f>
        <v/>
      </c>
      <c r="I316" s="148">
        <f>IFERROR(E316/G316,0)</f>
        <v/>
      </c>
      <c r="J316" s="148" t="n">
        <v>613.928158410986</v>
      </c>
      <c r="K316" s="148" t="n">
        <v>2197.72881069152</v>
      </c>
      <c r="L316" s="151">
        <f>IFERROR(K316/J316,0)</f>
        <v/>
      </c>
      <c r="M316" s="148" t="n">
        <v>37.7869053457577</v>
      </c>
      <c r="N316" s="148" t="n">
        <v>81.2812040215792</v>
      </c>
      <c r="O316" s="151">
        <f>IFERROR(N316/M316,0)</f>
        <v/>
      </c>
      <c r="P316" s="148">
        <f>J316+M316</f>
        <v/>
      </c>
      <c r="Q316" s="148">
        <f>K316+N316</f>
        <v/>
      </c>
      <c r="R316" s="151">
        <f>IFERROR(Q316/P316,0)</f>
        <v/>
      </c>
      <c r="S316" s="150">
        <f>IFERROR(P316/SUMIF($A:$A,A316,$P:$P),0)</f>
        <v/>
      </c>
      <c r="T316" s="150">
        <f>IFERROR(P316/E316,0)</f>
        <v/>
      </c>
      <c r="U316" s="148">
        <f>E316-Q316</f>
        <v/>
      </c>
      <c r="V316" s="150">
        <f>IFERROR(U316/E316,0)</f>
        <v/>
      </c>
      <c r="W316" s="148">
        <f>IFERROR(VLOOKUP(A316,周报其他费用!$A:$B,2,FALSE)*H316,0)</f>
        <v/>
      </c>
      <c r="X316" s="148" t="n">
        <v>783.0660000000011</v>
      </c>
      <c r="Y316" s="150">
        <f>IFERROR(X316/F316,0)</f>
        <v/>
      </c>
      <c r="Z316" s="148">
        <f>X316-J316/1.06</f>
        <v/>
      </c>
      <c r="AA316" s="150">
        <f>IFERROR(Z316/F316,0)</f>
        <v/>
      </c>
      <c r="AB316" s="148">
        <f>X316-(P316+W316)/1.06</f>
        <v/>
      </c>
      <c r="AC316" s="150">
        <f>IFERROR(AB316/F316,0)</f>
        <v/>
      </c>
    </row>
    <row r="317" ht="14.25" customHeight="1" s="65">
      <c r="A317" s="140" t="inlineStr">
        <is>
          <t>7.27-8.2</t>
        </is>
      </c>
      <c r="B317" s="141" t="n">
        <v>648681860568</v>
      </c>
      <c r="C317" s="140" t="inlineStr">
        <is>
          <t>杯面次链接</t>
        </is>
      </c>
      <c r="D317" s="140" t="inlineStr">
        <is>
          <t>营多捞面杯装方便面泡面速食干拌面原味整箱批发印尼进口桶装拌面</t>
        </is>
      </c>
      <c r="E317" s="142" t="n">
        <v>1135.09</v>
      </c>
      <c r="F317" s="142">
        <f>IFERROR(E317/1.13,0)</f>
        <v/>
      </c>
      <c r="G317" s="143" t="n">
        <v>66</v>
      </c>
      <c r="H317" s="144">
        <f>IFERROR(G317/SUMIF($A:$A,A317,$G:$G),0)</f>
        <v/>
      </c>
      <c r="I317" s="142">
        <f>IFERROR(E317/G317,0)</f>
        <v/>
      </c>
      <c r="J317" s="142" t="n">
        <v>250.357979401667</v>
      </c>
      <c r="K317" s="142" t="n">
        <v>1223.82495340853</v>
      </c>
      <c r="L317" s="145">
        <f>IFERROR(K317/J317,0)</f>
        <v/>
      </c>
      <c r="M317" s="142" t="n">
        <v>33.2524767042668</v>
      </c>
      <c r="N317" s="142" t="n">
        <v>71.5274595389897</v>
      </c>
      <c r="O317" s="145">
        <f>IFERROR(N317/M317,0)</f>
        <v/>
      </c>
      <c r="P317" s="142">
        <f>J317+M317</f>
        <v/>
      </c>
      <c r="Q317" s="142">
        <f>K317+N317</f>
        <v/>
      </c>
      <c r="R317" s="145">
        <f>IFERROR(Q317/P317,0)</f>
        <v/>
      </c>
      <c r="S317" s="144">
        <f>IFERROR(P317/SUMIF($A:$A,A317,$P:$P),0)</f>
        <v/>
      </c>
      <c r="T317" s="144">
        <f>IFERROR(P317/E317,0)</f>
        <v/>
      </c>
      <c r="U317" s="142">
        <f>E317-Q317</f>
        <v/>
      </c>
      <c r="V317" s="144">
        <f>IFERROR(U317/E317,0)</f>
        <v/>
      </c>
      <c r="W317" s="142">
        <f>IFERROR(VLOOKUP(A317,周报其他费用!$A:$B,2,FALSE)*H317,0)</f>
        <v/>
      </c>
      <c r="X317" s="142" t="n">
        <v>21.311</v>
      </c>
      <c r="Y317" s="144">
        <f>IFERROR(X317/F317,0)</f>
        <v/>
      </c>
      <c r="Z317" s="142">
        <f>X317-J317/1.06</f>
        <v/>
      </c>
      <c r="AA317" s="144">
        <f>IFERROR(Z317/F317,0)</f>
        <v/>
      </c>
      <c r="AB317" s="142">
        <f>X317-(P317+W317)/1.06</f>
        <v/>
      </c>
      <c r="AC317" s="144">
        <f>IFERROR(AB317/F317,0)</f>
        <v/>
      </c>
    </row>
    <row r="318" ht="14.25" customHeight="1" s="65">
      <c r="A318" s="146" t="inlineStr">
        <is>
          <t>7.27-8.2</t>
        </is>
      </c>
      <c r="B318" s="147" t="n">
        <v>1060999732877</v>
      </c>
      <c r="C318" s="146" t="inlineStr">
        <is>
          <t>原味大包</t>
        </is>
      </c>
      <c r="D318" s="146" t="inlineStr">
        <is>
          <t>indomie印尼进口营多原味大大包129g捞面方便面速食食品宵夜小吃</t>
        </is>
      </c>
      <c r="E318" s="148" t="n">
        <v>1620.28</v>
      </c>
      <c r="F318" s="148">
        <f>IFERROR(E318/1.13,0)</f>
        <v/>
      </c>
      <c r="G318" s="149" t="n">
        <v>62</v>
      </c>
      <c r="H318" s="150">
        <f>IFERROR(G318/SUMIF($A:$A,A318,$G:$G),0)</f>
        <v/>
      </c>
      <c r="I318" s="148">
        <f>IFERROR(E318/G318,0)</f>
        <v/>
      </c>
      <c r="J318" s="148" t="n">
        <v>350.672344286415</v>
      </c>
      <c r="K318" s="148" t="n">
        <v>1896.23435017165</v>
      </c>
      <c r="L318" s="151">
        <f>IFERROR(K318/J318,0)</f>
        <v/>
      </c>
      <c r="M318" s="148" t="n">
        <v>31.2371750858264</v>
      </c>
      <c r="N318" s="148" t="n">
        <v>67.1924619911721</v>
      </c>
      <c r="O318" s="151">
        <f>IFERROR(N318/M318,0)</f>
        <v/>
      </c>
      <c r="P318" s="148">
        <f>J318+M318</f>
        <v/>
      </c>
      <c r="Q318" s="148">
        <f>K318+N318</f>
        <v/>
      </c>
      <c r="R318" s="151">
        <f>IFERROR(Q318/P318,0)</f>
        <v/>
      </c>
      <c r="S318" s="150">
        <f>IFERROR(P318/SUMIF($A:$A,A318,$P:$P),0)</f>
        <v/>
      </c>
      <c r="T318" s="150">
        <f>IFERROR(P318/E318,0)</f>
        <v/>
      </c>
      <c r="U318" s="148">
        <f>E318-Q318</f>
        <v/>
      </c>
      <c r="V318" s="150">
        <f>IFERROR(U318/E318,0)</f>
        <v/>
      </c>
      <c r="W318" s="148">
        <f>IFERROR(VLOOKUP(A318,周报其他费用!$A:$B,2,FALSE)*H318,0)</f>
        <v/>
      </c>
      <c r="X318" s="148" t="n">
        <v>339.432</v>
      </c>
      <c r="Y318" s="150">
        <f>IFERROR(X318/F318,0)</f>
        <v/>
      </c>
      <c r="Z318" s="148">
        <f>X318-J318/1.06</f>
        <v/>
      </c>
      <c r="AA318" s="150">
        <f>IFERROR(Z318/F318,0)</f>
        <v/>
      </c>
      <c r="AB318" s="148">
        <f>X318-(P318+W318)/1.06</f>
        <v/>
      </c>
      <c r="AC318" s="150">
        <f>IFERROR(AB318/F318,0)</f>
        <v/>
      </c>
    </row>
    <row r="319" ht="14.25" customHeight="1" s="65">
      <c r="A319" s="140" t="inlineStr">
        <is>
          <t>7.27-8.2</t>
        </is>
      </c>
      <c r="B319" s="141" t="n">
        <v>648598580775</v>
      </c>
      <c r="C319" s="140" t="inlineStr">
        <is>
          <t>15包</t>
        </is>
      </c>
      <c r="D319" s="140" t="inlineStr">
        <is>
          <t>进口营多捞面15包Indomie方便面干拌面夜宵方便速食五连包85g*5</t>
        </is>
      </c>
      <c r="E319" s="142" t="n">
        <v>2210.84</v>
      </c>
      <c r="F319" s="142">
        <f>IFERROR(E319/1.13,0)</f>
        <v/>
      </c>
      <c r="G319" s="143" t="n">
        <v>60</v>
      </c>
      <c r="H319" s="144">
        <f>IFERROR(G319/SUMIF($A:$A,A319,$G:$G),0)</f>
        <v/>
      </c>
      <c r="I319" s="142">
        <f>IFERROR(E319/G319,0)</f>
        <v/>
      </c>
      <c r="J319" s="142" t="n">
        <v>467.024526728789</v>
      </c>
      <c r="K319" s="142" t="n">
        <v>1635.14904855321</v>
      </c>
      <c r="L319" s="145">
        <f>IFERROR(K319/J319,0)</f>
        <v/>
      </c>
      <c r="M319" s="142" t="n">
        <v>30.2295242766062</v>
      </c>
      <c r="N319" s="142" t="n">
        <v>65.02496321726341</v>
      </c>
      <c r="O319" s="145">
        <f>IFERROR(N319/M319,0)</f>
        <v/>
      </c>
      <c r="P319" s="142">
        <f>J319+M319</f>
        <v/>
      </c>
      <c r="Q319" s="142">
        <f>K319+N319</f>
        <v/>
      </c>
      <c r="R319" s="145">
        <f>IFERROR(Q319/P319,0)</f>
        <v/>
      </c>
      <c r="S319" s="144">
        <f>IFERROR(P319/SUMIF($A:$A,A319,$P:$P),0)</f>
        <v/>
      </c>
      <c r="T319" s="144">
        <f>IFERROR(P319/E319,0)</f>
        <v/>
      </c>
      <c r="U319" s="142">
        <f>E319-Q319</f>
        <v/>
      </c>
      <c r="V319" s="144">
        <f>IFERROR(U319/E319,0)</f>
        <v/>
      </c>
      <c r="W319" s="142">
        <f>IFERROR(VLOOKUP(A319,周报其他费用!$A:$B,2,FALSE)*H319,0)</f>
        <v/>
      </c>
      <c r="X319" s="142" t="n">
        <v>413.688</v>
      </c>
      <c r="Y319" s="144">
        <f>IFERROR(X319/F319,0)</f>
        <v/>
      </c>
      <c r="Z319" s="142">
        <f>X319-J319/1.06</f>
        <v/>
      </c>
      <c r="AA319" s="144">
        <f>IFERROR(Z319/F319,0)</f>
        <v/>
      </c>
      <c r="AB319" s="142">
        <f>X319-(P319+W319)/1.06</f>
        <v/>
      </c>
      <c r="AC319" s="144">
        <f>IFERROR(AB319/F319,0)</f>
        <v/>
      </c>
    </row>
    <row r="320" ht="14.25" customHeight="1" s="65">
      <c r="A320" s="146" t="inlineStr">
        <is>
          <t>7.27-8.2</t>
        </is>
      </c>
      <c r="B320" s="147" t="n">
        <v>649014937782</v>
      </c>
      <c r="C320" s="146" t="inlineStr">
        <is>
          <t>24包</t>
        </is>
      </c>
      <c r="D320" s="146" t="inlineStr">
        <is>
          <t>印尼营多捞面干拌面一整箱24袋装批发泡面宿舍速食方便面火鸡面</t>
        </is>
      </c>
      <c r="E320" s="148" t="n">
        <v>3108.81</v>
      </c>
      <c r="F320" s="148">
        <f>IFERROR(E320/1.13,0)</f>
        <v/>
      </c>
      <c r="G320" s="149" t="n">
        <v>56</v>
      </c>
      <c r="H320" s="150">
        <f>IFERROR(G320/SUMIF($A:$A,A320,$G:$G),0)</f>
        <v/>
      </c>
      <c r="I320" s="148">
        <f>IFERROR(E320/G320,0)</f>
        <v/>
      </c>
      <c r="J320" s="148" t="n">
        <v>804.5488916135359</v>
      </c>
      <c r="K320" s="148" t="n">
        <v>2301.44844531633</v>
      </c>
      <c r="L320" s="151">
        <f>IFERROR(K320/J320,0)</f>
        <v/>
      </c>
      <c r="M320" s="148" t="n">
        <v>28.2142226581658</v>
      </c>
      <c r="N320" s="148" t="n">
        <v>60.6899656694458</v>
      </c>
      <c r="O320" s="151">
        <f>IFERROR(N320/M320,0)</f>
        <v/>
      </c>
      <c r="P320" s="148">
        <f>J320+M320</f>
        <v/>
      </c>
      <c r="Q320" s="148">
        <f>K320+N320</f>
        <v/>
      </c>
      <c r="R320" s="151">
        <f>IFERROR(Q320/P320,0)</f>
        <v/>
      </c>
      <c r="S320" s="150">
        <f>IFERROR(P320/SUMIF($A:$A,A320,$P:$P),0)</f>
        <v/>
      </c>
      <c r="T320" s="150">
        <f>IFERROR(P320/E320,0)</f>
        <v/>
      </c>
      <c r="U320" s="148">
        <f>E320-Q320</f>
        <v/>
      </c>
      <c r="V320" s="150">
        <f>IFERROR(U320/E320,0)</f>
        <v/>
      </c>
      <c r="W320" s="148">
        <f>IFERROR(VLOOKUP(A320,周报其他费用!$A:$B,2,FALSE)*H320,0)</f>
        <v/>
      </c>
      <c r="X320" s="148" t="n">
        <v>578.087000000001</v>
      </c>
      <c r="Y320" s="150">
        <f>IFERROR(X320/F320,0)</f>
        <v/>
      </c>
      <c r="Z320" s="148">
        <f>X320-J320/1.06</f>
        <v/>
      </c>
      <c r="AA320" s="150">
        <f>IFERROR(Z320/F320,0)</f>
        <v/>
      </c>
      <c r="AB320" s="148">
        <f>X320-(P320+W320)/1.06</f>
        <v/>
      </c>
      <c r="AC320" s="150">
        <f>IFERROR(AB320/F320,0)</f>
        <v/>
      </c>
    </row>
    <row r="321" ht="14.25" customHeight="1" s="65">
      <c r="A321" s="140" t="inlineStr">
        <is>
          <t>7.27-8.2</t>
        </is>
      </c>
      <c r="B321" s="141" t="n">
        <v>1013887677295</v>
      </c>
      <c r="C321" s="140" t="inlineStr">
        <is>
          <t>原味大包</t>
        </is>
      </c>
      <c r="D321" s="140" t="inlineStr">
        <is>
          <t>indomie印尼进口营多原味大大包129g捞面方便面速食食品宵夜小吃</t>
        </is>
      </c>
      <c r="E321" s="142" t="n">
        <v>1457.75</v>
      </c>
      <c r="F321" s="142">
        <f>IFERROR(E321/1.13,0)</f>
        <v/>
      </c>
      <c r="G321" s="143" t="n">
        <v>52</v>
      </c>
      <c r="H321" s="144">
        <f>IFERROR(G321/SUMIF($A:$A,A321,$G:$G),0)</f>
        <v/>
      </c>
      <c r="I321" s="142">
        <f>IFERROR(E321/G321,0)</f>
        <v/>
      </c>
      <c r="J321" s="142" t="n">
        <v>270.693256498284</v>
      </c>
      <c r="K321" s="142" t="n">
        <v>985.907842079451</v>
      </c>
      <c r="L321" s="145">
        <f>IFERROR(K321/J321,0)</f>
        <v/>
      </c>
      <c r="M321" s="142" t="n">
        <v>26.1989210397254</v>
      </c>
      <c r="N321" s="142" t="n">
        <v>56.3549681216282</v>
      </c>
      <c r="O321" s="145">
        <f>IFERROR(N321/M321,0)</f>
        <v/>
      </c>
      <c r="P321" s="142">
        <f>J321+M321</f>
        <v/>
      </c>
      <c r="Q321" s="142">
        <f>K321+N321</f>
        <v/>
      </c>
      <c r="R321" s="145">
        <f>IFERROR(Q321/P321,0)</f>
        <v/>
      </c>
      <c r="S321" s="144">
        <f>IFERROR(P321/SUMIF($A:$A,A321,$P:$P),0)</f>
        <v/>
      </c>
      <c r="T321" s="144">
        <f>IFERROR(P321/E321,0)</f>
        <v/>
      </c>
      <c r="U321" s="142">
        <f>E321-Q321</f>
        <v/>
      </c>
      <c r="V321" s="144">
        <f>IFERROR(U321/E321,0)</f>
        <v/>
      </c>
      <c r="W321" s="142">
        <f>IFERROR(VLOOKUP(A321,周报其他费用!$A:$B,2,FALSE)*H321,0)</f>
        <v/>
      </c>
      <c r="X321" s="142" t="n">
        <v>158.29</v>
      </c>
      <c r="Y321" s="144">
        <f>IFERROR(X321/F321,0)</f>
        <v/>
      </c>
      <c r="Z321" s="142">
        <f>X321-J321/1.06</f>
        <v/>
      </c>
      <c r="AA321" s="144">
        <f>IFERROR(Z321/F321,0)</f>
        <v/>
      </c>
      <c r="AB321" s="142">
        <f>X321-(P321+W321)/1.06</f>
        <v/>
      </c>
      <c r="AC321" s="144">
        <f>IFERROR(AB321/F321,0)</f>
        <v/>
      </c>
    </row>
    <row r="322" ht="14.25" customHeight="1" s="65">
      <c r="A322" s="146" t="inlineStr">
        <is>
          <t>7.27-8.2</t>
        </is>
      </c>
      <c r="B322" s="147" t="n">
        <v>929504658691</v>
      </c>
      <c r="C322" s="146" t="inlineStr">
        <is>
          <t>巴东牛肉</t>
        </is>
      </c>
      <c r="D322" s="146" t="inlineStr">
        <is>
          <t>营多进口新口味巴东炖牛肉味捞面印尼料理方便面泡面捞面夜宵速食</t>
        </is>
      </c>
      <c r="E322" s="148" t="n">
        <v>585.7</v>
      </c>
      <c r="F322" s="148">
        <f>IFERROR(E322/1.13,0)</f>
        <v/>
      </c>
      <c r="G322" s="149" t="n">
        <v>28</v>
      </c>
      <c r="H322" s="150">
        <f>IFERROR(G322/SUMIF($A:$A,A322,$G:$G),0)</f>
        <v/>
      </c>
      <c r="I322" s="148">
        <f>IFERROR(E322/G322,0)</f>
        <v/>
      </c>
      <c r="J322" s="148" t="n">
        <v>130.489445806768</v>
      </c>
      <c r="K322" s="148" t="n">
        <v>527.904222658166</v>
      </c>
      <c r="L322" s="151">
        <f>IFERROR(K322/J322,0)</f>
        <v/>
      </c>
      <c r="M322" s="148" t="n">
        <v>14.1071113290829</v>
      </c>
      <c r="N322" s="148" t="n">
        <v>30.3449828347229</v>
      </c>
      <c r="O322" s="151">
        <f>IFERROR(N322/M322,0)</f>
        <v/>
      </c>
      <c r="P322" s="148">
        <f>J322+M322</f>
        <v/>
      </c>
      <c r="Q322" s="148">
        <f>K322+N322</f>
        <v/>
      </c>
      <c r="R322" s="151">
        <f>IFERROR(Q322/P322,0)</f>
        <v/>
      </c>
      <c r="S322" s="150">
        <f>IFERROR(P322/SUMIF($A:$A,A322,$P:$P),0)</f>
        <v/>
      </c>
      <c r="T322" s="150">
        <f>IFERROR(P322/E322,0)</f>
        <v/>
      </c>
      <c r="U322" s="148">
        <f>E322-Q322</f>
        <v/>
      </c>
      <c r="V322" s="150">
        <f>IFERROR(U322/E322,0)</f>
        <v/>
      </c>
      <c r="W322" s="148">
        <f>IFERROR(VLOOKUP(A322,周报其他费用!$A:$B,2,FALSE)*H322,0)</f>
        <v/>
      </c>
      <c r="X322" s="148" t="n">
        <v>71.306</v>
      </c>
      <c r="Y322" s="150">
        <f>IFERROR(X322/F322,0)</f>
        <v/>
      </c>
      <c r="Z322" s="148">
        <f>X322-J322/1.06</f>
        <v/>
      </c>
      <c r="AA322" s="150">
        <f>IFERROR(Z322/F322,0)</f>
        <v/>
      </c>
      <c r="AB322" s="148">
        <f>X322-(P322+W322)/1.06</f>
        <v/>
      </c>
      <c r="AC322" s="150">
        <f>IFERROR(AB322/F322,0)</f>
        <v/>
      </c>
    </row>
    <row r="323" ht="14.25" customHeight="1" s="65">
      <c r="A323" s="140" t="inlineStr">
        <is>
          <t>7.27-8.2</t>
        </is>
      </c>
      <c r="B323" s="141" t="n">
        <v>969423151512</v>
      </c>
      <c r="C323" s="140" t="inlineStr">
        <is>
          <t>日韩混搭</t>
        </is>
      </c>
      <c r="D323" s="140" t="inlineStr">
        <is>
          <t>营多捞面甜辣炸鸡火鸡面辣蘑菇泡面方便面速食干拌面宿舍宵夜旅行</t>
        </is>
      </c>
      <c r="E323" s="142" t="n">
        <v>510.77</v>
      </c>
      <c r="F323" s="142">
        <f>IFERROR(E323/1.13,0)</f>
        <v/>
      </c>
      <c r="G323" s="143" t="n">
        <v>24</v>
      </c>
      <c r="H323" s="144">
        <f>IFERROR(G323/SUMIF($A:$A,A323,$G:$G),0)</f>
        <v/>
      </c>
      <c r="I323" s="142">
        <f>IFERROR(E323/G323,0)</f>
        <v/>
      </c>
      <c r="J323" s="142" t="n">
        <v>111.833810691515</v>
      </c>
      <c r="K323" s="142" t="n">
        <v>471.773619421285</v>
      </c>
      <c r="L323" s="145">
        <f>IFERROR(K323/J323,0)</f>
        <v/>
      </c>
      <c r="M323" s="142" t="n">
        <v>12.0918097106425</v>
      </c>
      <c r="N323" s="142" t="n">
        <v>26.0099852869053</v>
      </c>
      <c r="O323" s="145">
        <f>IFERROR(N323/M323,0)</f>
        <v/>
      </c>
      <c r="P323" s="142">
        <f>J323+M323</f>
        <v/>
      </c>
      <c r="Q323" s="142">
        <f>K323+N323</f>
        <v/>
      </c>
      <c r="R323" s="145">
        <f>IFERROR(Q323/P323,0)</f>
        <v/>
      </c>
      <c r="S323" s="144">
        <f>IFERROR(P323/SUMIF($A:$A,A323,$P:$P),0)</f>
        <v/>
      </c>
      <c r="T323" s="144">
        <f>IFERROR(P323/E323,0)</f>
        <v/>
      </c>
      <c r="U323" s="142">
        <f>E323-Q323</f>
        <v/>
      </c>
      <c r="V323" s="144">
        <f>IFERROR(U323/E323,0)</f>
        <v/>
      </c>
      <c r="W323" s="142">
        <f>IFERROR(VLOOKUP(A323,周报其他费用!$A:$B,2,FALSE)*H323,0)</f>
        <v/>
      </c>
      <c r="X323" s="142" t="n">
        <v>67.911</v>
      </c>
      <c r="Y323" s="144">
        <f>IFERROR(X323/F323,0)</f>
        <v/>
      </c>
      <c r="Z323" s="142">
        <f>X323-J323/1.06</f>
        <v/>
      </c>
      <c r="AA323" s="144">
        <f>IFERROR(Z323/F323,0)</f>
        <v/>
      </c>
      <c r="AB323" s="142">
        <f>X323-(P323+W323)/1.06</f>
        <v/>
      </c>
      <c r="AC323" s="144">
        <f>IFERROR(AB323/F323,0)</f>
        <v/>
      </c>
    </row>
    <row r="324" ht="14.25" customHeight="1" s="65">
      <c r="A324" s="146" t="inlineStr">
        <is>
          <t>7.27-8.2</t>
        </is>
      </c>
      <c r="B324" s="147" t="n">
        <v>766165464414</v>
      </c>
      <c r="C324" s="146" t="inlineStr">
        <is>
          <t>12包</t>
        </is>
      </c>
      <c r="D324" s="146" t="inlineStr">
        <is>
          <t>营多印尼进口营多捞面方便面火鸡面干拌面12包宿舍速食泡面夜宵</t>
        </is>
      </c>
      <c r="E324" s="148" t="n">
        <v>653.6900000000001</v>
      </c>
      <c r="F324" s="148">
        <f>IFERROR(E324/1.13,0)</f>
        <v/>
      </c>
      <c r="G324" s="149" t="n">
        <v>22</v>
      </c>
      <c r="H324" s="150">
        <f>IFERROR(G324/SUMIF($A:$A,A324,$G:$G),0)</f>
        <v/>
      </c>
      <c r="I324" s="148">
        <f>IFERROR(E324/G324,0)</f>
        <v/>
      </c>
      <c r="J324" s="148" t="n">
        <v>16.5159931338892</v>
      </c>
      <c r="K324" s="148" t="n">
        <v>84.1983178028448</v>
      </c>
      <c r="L324" s="151">
        <f>IFERROR(K324/J324,0)</f>
        <v/>
      </c>
      <c r="M324" s="148" t="n">
        <v>11.0841589014223</v>
      </c>
      <c r="N324" s="148" t="n">
        <v>23.8424865129966</v>
      </c>
      <c r="O324" s="151">
        <f>IFERROR(N324/M324,0)</f>
        <v/>
      </c>
      <c r="P324" s="148">
        <f>J324+M324</f>
        <v/>
      </c>
      <c r="Q324" s="148">
        <f>K324+N324</f>
        <v/>
      </c>
      <c r="R324" s="151">
        <f>IFERROR(Q324/P324,0)</f>
        <v/>
      </c>
      <c r="S324" s="150">
        <f>IFERROR(P324/SUMIF($A:$A,A324,$P:$P),0)</f>
        <v/>
      </c>
      <c r="T324" s="150">
        <f>IFERROR(P324/E324,0)</f>
        <v/>
      </c>
      <c r="U324" s="148">
        <f>E324-Q324</f>
        <v/>
      </c>
      <c r="V324" s="150">
        <f>IFERROR(U324/E324,0)</f>
        <v/>
      </c>
      <c r="W324" s="148">
        <f>IFERROR(VLOOKUP(A324,周报其他费用!$A:$B,2,FALSE)*H324,0)</f>
        <v/>
      </c>
      <c r="X324" s="148" t="n">
        <v>95.274</v>
      </c>
      <c r="Y324" s="150">
        <f>IFERROR(X324/F324,0)</f>
        <v/>
      </c>
      <c r="Z324" s="148">
        <f>X324-J324/1.06</f>
        <v/>
      </c>
      <c r="AA324" s="150">
        <f>IFERROR(Z324/F324,0)</f>
        <v/>
      </c>
      <c r="AB324" s="148">
        <f>X324-(P324+W324)/1.06</f>
        <v/>
      </c>
      <c r="AC324" s="150">
        <f>IFERROR(AB324/F324,0)</f>
        <v/>
      </c>
    </row>
    <row r="325" ht="14.25" customHeight="1" s="65">
      <c r="A325" s="140" t="inlineStr">
        <is>
          <t>7.27-8.2</t>
        </is>
      </c>
      <c r="B325" s="141" t="n">
        <v>735014804839</v>
      </c>
      <c r="C325" s="140" t="inlineStr">
        <is>
          <t>24/30包</t>
        </is>
      </c>
      <c r="D325" s="140" t="inlineStr">
        <is>
          <t>进口营多捞面多口味Indomie网红方便面干拌面泡面30包整箱批发面</t>
        </is>
      </c>
      <c r="E325" s="142" t="n">
        <v>1372.92</v>
      </c>
      <c r="F325" s="142">
        <f>IFERROR(E325/1.13,0)</f>
        <v/>
      </c>
      <c r="G325" s="143" t="n">
        <v>21</v>
      </c>
      <c r="H325" s="144">
        <f>IFERROR(G325/SUMIF($A:$A,A325,$G:$G),0)</f>
        <v/>
      </c>
      <c r="I325" s="142">
        <f>IFERROR(E325/G325,0)</f>
        <v/>
      </c>
      <c r="J325" s="142" t="n">
        <v>242.467084355076</v>
      </c>
      <c r="K325" s="142" t="n">
        <v>1239.30566699362</v>
      </c>
      <c r="L325" s="145">
        <f>IFERROR(K325/J325,0)</f>
        <v/>
      </c>
      <c r="M325" s="142" t="n">
        <v>10.5803334968122</v>
      </c>
      <c r="N325" s="142" t="n">
        <v>22.7587371260422</v>
      </c>
      <c r="O325" s="145">
        <f>IFERROR(N325/M325,0)</f>
        <v/>
      </c>
      <c r="P325" s="142">
        <f>J325+M325</f>
        <v/>
      </c>
      <c r="Q325" s="142">
        <f>K325+N325</f>
        <v/>
      </c>
      <c r="R325" s="145">
        <f>IFERROR(Q325/P325,0)</f>
        <v/>
      </c>
      <c r="S325" s="144">
        <f>IFERROR(P325/SUMIF($A:$A,A325,$P:$P),0)</f>
        <v/>
      </c>
      <c r="T325" s="144">
        <f>IFERROR(P325/E325,0)</f>
        <v/>
      </c>
      <c r="U325" s="142">
        <f>E325-Q325</f>
        <v/>
      </c>
      <c r="V325" s="144">
        <f>IFERROR(U325/E325,0)</f>
        <v/>
      </c>
      <c r="W325" s="142">
        <f>IFERROR(VLOOKUP(A325,周报其他费用!$A:$B,2,FALSE)*H325,0)</f>
        <v/>
      </c>
      <c r="X325" s="142" t="n">
        <v>229.703</v>
      </c>
      <c r="Y325" s="144">
        <f>IFERROR(X325/F325,0)</f>
        <v/>
      </c>
      <c r="Z325" s="142">
        <f>X325-J325/1.06</f>
        <v/>
      </c>
      <c r="AA325" s="144">
        <f>IFERROR(Z325/F325,0)</f>
        <v/>
      </c>
      <c r="AB325" s="142">
        <f>X325-(P325+W325)/1.06</f>
        <v/>
      </c>
      <c r="AC325" s="144">
        <f>IFERROR(AB325/F325,0)</f>
        <v/>
      </c>
    </row>
    <row r="326" ht="14.25" customHeight="1" s="65">
      <c r="A326" s="146" t="inlineStr">
        <is>
          <t>7.27-8.2</t>
        </is>
      </c>
      <c r="B326" s="147" t="n">
        <v>744317232690</v>
      </c>
      <c r="C326" s="146" t="inlineStr">
        <is>
          <t>多规格</t>
        </is>
      </c>
      <c r="D326" s="146" t="inlineStr">
        <is>
          <t>营多捞面汤面清香牛肉味方便面泡面速食食品泡面拉面整箱旅行宿舍</t>
        </is>
      </c>
      <c r="E326" s="148" t="n">
        <v>338.89</v>
      </c>
      <c r="F326" s="148">
        <f>IFERROR(E326/1.13,0)</f>
        <v/>
      </c>
      <c r="G326" s="149" t="n">
        <v>18</v>
      </c>
      <c r="H326" s="150">
        <f>IFERROR(G326/SUMIF($A:$A,A326,$G:$G),0)</f>
        <v/>
      </c>
      <c r="I326" s="148">
        <f>IFERROR(E326/G326,0)</f>
        <v/>
      </c>
      <c r="J326" s="148" t="n">
        <v>63.1603580186366</v>
      </c>
      <c r="K326" s="148" t="n">
        <v>176.677714565964</v>
      </c>
      <c r="L326" s="151">
        <f>IFERROR(K326/J326,0)</f>
        <v/>
      </c>
      <c r="M326" s="148" t="n">
        <v>9.068857282981851</v>
      </c>
      <c r="N326" s="148" t="n">
        <v>19.507488965179</v>
      </c>
      <c r="O326" s="151">
        <f>IFERROR(N326/M326,0)</f>
        <v/>
      </c>
      <c r="P326" s="148">
        <f>J326+M326</f>
        <v/>
      </c>
      <c r="Q326" s="148">
        <f>K326+N326</f>
        <v/>
      </c>
      <c r="R326" s="151">
        <f>IFERROR(Q326/P326,0)</f>
        <v/>
      </c>
      <c r="S326" s="150">
        <f>IFERROR(P326/SUMIF($A:$A,A326,$P:$P),0)</f>
        <v/>
      </c>
      <c r="T326" s="150">
        <f>IFERROR(P326/E326,0)</f>
        <v/>
      </c>
      <c r="U326" s="148">
        <f>E326-Q326</f>
        <v/>
      </c>
      <c r="V326" s="150">
        <f>IFERROR(U326/E326,0)</f>
        <v/>
      </c>
      <c r="W326" s="148">
        <f>IFERROR(VLOOKUP(A326,周报其他费用!$A:$B,2,FALSE)*H326,0)</f>
        <v/>
      </c>
      <c r="X326" s="148" t="n">
        <v>37.021</v>
      </c>
      <c r="Y326" s="150">
        <f>IFERROR(X326/F326,0)</f>
        <v/>
      </c>
      <c r="Z326" s="148">
        <f>X326-J326/1.06</f>
        <v/>
      </c>
      <c r="AA326" s="150">
        <f>IFERROR(Z326/F326,0)</f>
        <v/>
      </c>
      <c r="AB326" s="148">
        <f>X326-(P326+W326)/1.06</f>
        <v/>
      </c>
      <c r="AC326" s="150">
        <f>IFERROR(AB326/F326,0)</f>
        <v/>
      </c>
    </row>
    <row r="327" ht="14.25" customHeight="1" s="65">
      <c r="A327" s="140" t="inlineStr">
        <is>
          <t>7.27-8.2</t>
        </is>
      </c>
      <c r="B327" s="141" t="n">
        <v>1059563993918</v>
      </c>
      <c r="C327" s="140" t="inlineStr">
        <is>
          <t>巴东牛肉</t>
        </is>
      </c>
      <c r="D327" s="140" t="inlineStr">
        <is>
          <t>营多进口新口味巴东炖牛肉味捞面印尼料理方便面泡面捞面夜宵速食</t>
        </is>
      </c>
      <c r="E327" s="142" t="n">
        <v>290.01</v>
      </c>
      <c r="F327" s="142">
        <f>IFERROR(E327/1.13,0)</f>
        <v/>
      </c>
      <c r="G327" s="143" t="n">
        <v>17</v>
      </c>
      <c r="H327" s="144">
        <f>IFERROR(G327/SUMIF($A:$A,A327,$G:$G),0)</f>
        <v/>
      </c>
      <c r="I327" s="142">
        <f>IFERROR(E327/G327,0)</f>
        <v/>
      </c>
      <c r="J327" s="142" t="n">
        <v>48.3214492398234</v>
      </c>
      <c r="K327" s="142" t="n">
        <v>254.365063756744</v>
      </c>
      <c r="L327" s="145">
        <f>IFERROR(K327/J327,0)</f>
        <v/>
      </c>
      <c r="M327" s="142" t="n">
        <v>8.56503187837175</v>
      </c>
      <c r="N327" s="142" t="n">
        <v>18.4237395782246</v>
      </c>
      <c r="O327" s="145">
        <f>IFERROR(N327/M327,0)</f>
        <v/>
      </c>
      <c r="P327" s="142">
        <f>J327+M327</f>
        <v/>
      </c>
      <c r="Q327" s="142">
        <f>K327+N327</f>
        <v/>
      </c>
      <c r="R327" s="145">
        <f>IFERROR(Q327/P327,0)</f>
        <v/>
      </c>
      <c r="S327" s="144">
        <f>IFERROR(P327/SUMIF($A:$A,A327,$P:$P),0)</f>
        <v/>
      </c>
      <c r="T327" s="144">
        <f>IFERROR(P327/E327,0)</f>
        <v/>
      </c>
      <c r="U327" s="142">
        <f>E327-Q327</f>
        <v/>
      </c>
      <c r="V327" s="144">
        <f>IFERROR(U327/E327,0)</f>
        <v/>
      </c>
      <c r="W327" s="142">
        <f>IFERROR(VLOOKUP(A327,周报其他费用!$A:$B,2,FALSE)*H327,0)</f>
        <v/>
      </c>
      <c r="X327" s="142" t="n">
        <v>32.063</v>
      </c>
      <c r="Y327" s="144">
        <f>IFERROR(X327/F327,0)</f>
        <v/>
      </c>
      <c r="Z327" s="142">
        <f>X327-J327/1.06</f>
        <v/>
      </c>
      <c r="AA327" s="144">
        <f>IFERROR(Z327/F327,0)</f>
        <v/>
      </c>
      <c r="AB327" s="142">
        <f>X327-(P327+W327)/1.06</f>
        <v/>
      </c>
      <c r="AC327" s="144">
        <f>IFERROR(AB327/F327,0)</f>
        <v/>
      </c>
    </row>
    <row r="328" ht="14.25" customHeight="1" s="65">
      <c r="A328" s="146" t="inlineStr">
        <is>
          <t>7.27-8.2</t>
        </is>
      </c>
      <c r="B328" s="147" t="n">
        <v>971242260371</v>
      </c>
      <c r="C328" s="146" t="inlineStr">
        <is>
          <t>韩式袋面</t>
        </is>
      </c>
      <c r="D328" s="146" t="inlineStr">
        <is>
          <t>新品营多捞面韩式辣蘑菇汤面泡面方便面速食干拌面宿舍宵夜旅行</t>
        </is>
      </c>
      <c r="E328" s="148" t="n">
        <v>268.55</v>
      </c>
      <c r="F328" s="148">
        <f>IFERROR(E328/1.13,0)</f>
        <v/>
      </c>
      <c r="G328" s="149" t="n">
        <v>12</v>
      </c>
      <c r="H328" s="150">
        <f>IFERROR(G328/SUMIF($A:$A,A328,$G:$G),0)</f>
        <v/>
      </c>
      <c r="I328" s="148">
        <f>IFERROR(E328/G328,0)</f>
        <v/>
      </c>
      <c r="J328" s="148" t="n">
        <v>61.5969053457577</v>
      </c>
      <c r="K328" s="148" t="n">
        <v>285.211809710643</v>
      </c>
      <c r="L328" s="151">
        <f>IFERROR(K328/J328,0)</f>
        <v/>
      </c>
      <c r="M328" s="148" t="n">
        <v>6.04590485532124</v>
      </c>
      <c r="N328" s="148" t="n">
        <v>13.0049926434527</v>
      </c>
      <c r="O328" s="151">
        <f>IFERROR(N328/M328,0)</f>
        <v/>
      </c>
      <c r="P328" s="148">
        <f>J328+M328</f>
        <v/>
      </c>
      <c r="Q328" s="148">
        <f>K328+N328</f>
        <v/>
      </c>
      <c r="R328" s="151">
        <f>IFERROR(Q328/P328,0)</f>
        <v/>
      </c>
      <c r="S328" s="150">
        <f>IFERROR(P328/SUMIF($A:$A,A328,$P:$P),0)</f>
        <v/>
      </c>
      <c r="T328" s="150">
        <f>IFERROR(P328/E328,0)</f>
        <v/>
      </c>
      <c r="U328" s="148">
        <f>E328-Q328</f>
        <v/>
      </c>
      <c r="V328" s="150">
        <f>IFERROR(U328/E328,0)</f>
        <v/>
      </c>
      <c r="W328" s="148">
        <f>IFERROR(VLOOKUP(A328,周报其他费用!$A:$B,2,FALSE)*H328,0)</f>
        <v/>
      </c>
      <c r="X328" s="148" t="n">
        <v>39.409</v>
      </c>
      <c r="Y328" s="150">
        <f>IFERROR(X328/F328,0)</f>
        <v/>
      </c>
      <c r="Z328" s="148">
        <f>X328-J328/1.06</f>
        <v/>
      </c>
      <c r="AA328" s="150">
        <f>IFERROR(Z328/F328,0)</f>
        <v/>
      </c>
      <c r="AB328" s="148">
        <f>X328-(P328+W328)/1.06</f>
        <v/>
      </c>
      <c r="AC328" s="150">
        <f>IFERROR(AB328/F328,0)</f>
        <v/>
      </c>
    </row>
    <row r="329" ht="14.25" customHeight="1" s="65">
      <c r="A329" s="140" t="inlineStr">
        <is>
          <t>7.27-8.2</t>
        </is>
      </c>
      <c r="B329" s="141" t="n">
        <v>937005385662</v>
      </c>
      <c r="C329" s="140" t="inlineStr">
        <is>
          <t>日式袋面</t>
        </is>
      </c>
      <c r="D329" s="140" t="inlineStr">
        <is>
          <t>进口营多正品捞面日式鸡肉鸡汤辛辣味袋装泡面辣味速食方便面汤面</t>
        </is>
      </c>
      <c r="E329" s="142" t="n">
        <v>230.53</v>
      </c>
      <c r="F329" s="142">
        <f>IFERROR(E329/1.13,0)</f>
        <v/>
      </c>
      <c r="G329" s="143" t="n">
        <v>11</v>
      </c>
      <c r="H329" s="144">
        <f>IFERROR(G329/SUMIF($A:$A,A329,$G:$G),0)</f>
        <v/>
      </c>
      <c r="I329" s="142">
        <f>IFERROR(E329/G329,0)</f>
        <v/>
      </c>
      <c r="J329" s="142" t="n">
        <v>88.8679965669446</v>
      </c>
      <c r="K329" s="142" t="n">
        <v>266.479158901422</v>
      </c>
      <c r="L329" s="145">
        <f>IFERROR(K329/J329,0)</f>
        <v/>
      </c>
      <c r="M329" s="142" t="n">
        <v>5.54207945071113</v>
      </c>
      <c r="N329" s="142" t="n">
        <v>11.9212432564983</v>
      </c>
      <c r="O329" s="145">
        <f>IFERROR(N329/M329,0)</f>
        <v/>
      </c>
      <c r="P329" s="142">
        <f>J329+M329</f>
        <v/>
      </c>
      <c r="Q329" s="142">
        <f>K329+N329</f>
        <v/>
      </c>
      <c r="R329" s="145">
        <f>IFERROR(Q329/P329,0)</f>
        <v/>
      </c>
      <c r="S329" s="144">
        <f>IFERROR(P329/SUMIF($A:$A,A329,$P:$P),0)</f>
        <v/>
      </c>
      <c r="T329" s="144">
        <f>IFERROR(P329/E329,0)</f>
        <v/>
      </c>
      <c r="U329" s="142">
        <f>E329-Q329</f>
        <v/>
      </c>
      <c r="V329" s="144">
        <f>IFERROR(U329/E329,0)</f>
        <v/>
      </c>
      <c r="W329" s="142">
        <f>IFERROR(VLOOKUP(A329,周报其他费用!$A:$B,2,FALSE)*H329,0)</f>
        <v/>
      </c>
      <c r="X329" s="142" t="n">
        <v>26.764</v>
      </c>
      <c r="Y329" s="144">
        <f>IFERROR(X329/F329,0)</f>
        <v/>
      </c>
      <c r="Z329" s="142">
        <f>X329-J329/1.06</f>
        <v/>
      </c>
      <c r="AA329" s="144">
        <f>IFERROR(Z329/F329,0)</f>
        <v/>
      </c>
      <c r="AB329" s="142">
        <f>X329-(P329+W329)/1.06</f>
        <v/>
      </c>
      <c r="AC329" s="144">
        <f>IFERROR(AB329/F329,0)</f>
        <v/>
      </c>
    </row>
    <row r="330" ht="14.25" customHeight="1" s="65">
      <c r="A330" s="146" t="inlineStr">
        <is>
          <t>7.27-8.2</t>
        </is>
      </c>
      <c r="B330" s="147" t="n">
        <v>898076297965</v>
      </c>
      <c r="C330" s="146" t="inlineStr">
        <is>
          <t>番茄牛肉</t>
        </is>
      </c>
      <c r="D330" s="146" t="inlineStr">
        <is>
          <t>进口正品意面风味奶香番茄牛肉味意式拌面营多捞面早餐儿童宝妈餐</t>
        </is>
      </c>
      <c r="E330" s="148" t="n">
        <v>158.89</v>
      </c>
      <c r="F330" s="148">
        <f>IFERROR(E330/1.13,0)</f>
        <v/>
      </c>
      <c r="G330" s="149" t="n">
        <v>10</v>
      </c>
      <c r="H330" s="150">
        <f>IFERROR(G330/SUMIF($A:$A,A330,$G:$G),0)</f>
        <v/>
      </c>
      <c r="I330" s="148">
        <f>IFERROR(E330/G330,0)</f>
        <v/>
      </c>
      <c r="J330" s="148" t="n">
        <v>19.7690877881314</v>
      </c>
      <c r="K330" s="148" t="n">
        <v>136.816508092202</v>
      </c>
      <c r="L330" s="151">
        <f>IFERROR(K330/J330,0)</f>
        <v/>
      </c>
      <c r="M330" s="148" t="n">
        <v>5.03825404610103</v>
      </c>
      <c r="N330" s="148" t="n">
        <v>10.8374938695439</v>
      </c>
      <c r="O330" s="151">
        <f>IFERROR(N330/M330,0)</f>
        <v/>
      </c>
      <c r="P330" s="148">
        <f>J330+M330</f>
        <v/>
      </c>
      <c r="Q330" s="148">
        <f>K330+N330</f>
        <v/>
      </c>
      <c r="R330" s="151">
        <f>IFERROR(Q330/P330,0)</f>
        <v/>
      </c>
      <c r="S330" s="150">
        <f>IFERROR(P330/SUMIF($A:$A,A330,$P:$P),0)</f>
        <v/>
      </c>
      <c r="T330" s="150">
        <f>IFERROR(P330/E330,0)</f>
        <v/>
      </c>
      <c r="U330" s="148">
        <f>E330-Q330</f>
        <v/>
      </c>
      <c r="V330" s="150">
        <f>IFERROR(U330/E330,0)</f>
        <v/>
      </c>
      <c r="W330" s="148">
        <f>IFERROR(VLOOKUP(A330,周报其他费用!$A:$B,2,FALSE)*H330,0)</f>
        <v/>
      </c>
      <c r="X330" s="148" t="n">
        <v>8.856</v>
      </c>
      <c r="Y330" s="150">
        <f>IFERROR(X330/F330,0)</f>
        <v/>
      </c>
      <c r="Z330" s="148">
        <f>X330-J330/1.06</f>
        <v/>
      </c>
      <c r="AA330" s="150">
        <f>IFERROR(Z330/F330,0)</f>
        <v/>
      </c>
      <c r="AB330" s="148">
        <f>X330-(P330+W330)/1.06</f>
        <v/>
      </c>
      <c r="AC330" s="150">
        <f>IFERROR(AB330/F330,0)</f>
        <v/>
      </c>
    </row>
    <row r="331" ht="14.25" customHeight="1" s="65">
      <c r="A331" s="140" t="inlineStr">
        <is>
          <t>7.27-8.2</t>
        </is>
      </c>
      <c r="B331" s="141" t="n">
        <v>886856687067</v>
      </c>
      <c r="C331" s="140" t="inlineStr">
        <is>
          <t>大骨</t>
        </is>
      </c>
      <c r="D331" s="140" t="inlineStr">
        <is>
          <t>营多捞面牛系列大骨牛肉味方便面食品泡面拉面汤面宿舍宵夜旅行</t>
        </is>
      </c>
      <c r="E331" s="142" t="n">
        <v>128.26</v>
      </c>
      <c r="F331" s="142">
        <f>IFERROR(E331/1.13,0)</f>
        <v/>
      </c>
      <c r="G331" s="143" t="n">
        <v>9</v>
      </c>
      <c r="H331" s="144">
        <f>IFERROR(G331/SUMIF($A:$A,A331,$G:$G),0)</f>
        <v/>
      </c>
      <c r="I331" s="142">
        <f>IFERROR(E331/G331,0)</f>
        <v/>
      </c>
      <c r="J331" s="142" t="n">
        <v>11.1201790093183</v>
      </c>
      <c r="K331" s="142" t="n">
        <v>24.453857282982</v>
      </c>
      <c r="L331" s="145">
        <f>IFERROR(K331/J331,0)</f>
        <v/>
      </c>
      <c r="M331" s="142" t="n">
        <v>4.53442864149093</v>
      </c>
      <c r="N331" s="142" t="n">
        <v>9.7537444825895</v>
      </c>
      <c r="O331" s="145">
        <f>IFERROR(N331/M331,0)</f>
        <v/>
      </c>
      <c r="P331" s="142">
        <f>J331+M331</f>
        <v/>
      </c>
      <c r="Q331" s="142">
        <f>K331+N331</f>
        <v/>
      </c>
      <c r="R331" s="145">
        <f>IFERROR(Q331/P331,0)</f>
        <v/>
      </c>
      <c r="S331" s="144">
        <f>IFERROR(P331/SUMIF($A:$A,A331,$P:$P),0)</f>
        <v/>
      </c>
      <c r="T331" s="144">
        <f>IFERROR(P331/E331,0)</f>
        <v/>
      </c>
      <c r="U331" s="142">
        <f>E331-Q331</f>
        <v/>
      </c>
      <c r="V331" s="144">
        <f>IFERROR(U331/E331,0)</f>
        <v/>
      </c>
      <c r="W331" s="142">
        <f>IFERROR(VLOOKUP(A331,周报其他费用!$A:$B,2,FALSE)*H331,0)</f>
        <v/>
      </c>
      <c r="X331" s="142" t="n">
        <v>4.525</v>
      </c>
      <c r="Y331" s="144">
        <f>IFERROR(X331/F331,0)</f>
        <v/>
      </c>
      <c r="Z331" s="142">
        <f>X331-J331/1.06</f>
        <v/>
      </c>
      <c r="AA331" s="144">
        <f>IFERROR(Z331/F331,0)</f>
        <v/>
      </c>
      <c r="AB331" s="142">
        <f>X331-(P331+W331)/1.06</f>
        <v/>
      </c>
      <c r="AC331" s="144">
        <f>IFERROR(AB331/F331,0)</f>
        <v/>
      </c>
    </row>
    <row r="332" ht="14.25" customHeight="1" s="65">
      <c r="A332" s="146" t="inlineStr">
        <is>
          <t>7.27-8.2</t>
        </is>
      </c>
      <c r="B332" s="147" t="n">
        <v>869217868453</v>
      </c>
      <c r="C332" s="146" t="inlineStr">
        <is>
          <t>韩式杯面</t>
        </is>
      </c>
      <c r="D332" s="146" t="inlineStr">
        <is>
          <t>营多捞面韩式甜辣炸鸡辣蘑菇杯面方便面拌面泡面宿舍速食面</t>
        </is>
      </c>
      <c r="E332" s="148" t="n">
        <v>194.7</v>
      </c>
      <c r="F332" s="148">
        <f>IFERROR(E332/1.13,0)</f>
        <v/>
      </c>
      <c r="G332" s="149" t="n">
        <v>7</v>
      </c>
      <c r="H332" s="150">
        <f>IFERROR(G332/SUMIF($A:$A,A332,$G:$G),0)</f>
        <v/>
      </c>
      <c r="I332" s="148">
        <f>IFERROR(E332/G332,0)</f>
        <v/>
      </c>
      <c r="J332" s="148" t="n">
        <v>30.872361451692</v>
      </c>
      <c r="K332" s="148" t="n">
        <v>97.9085556645415</v>
      </c>
      <c r="L332" s="151">
        <f>IFERROR(K332/J332,0)</f>
        <v/>
      </c>
      <c r="M332" s="148" t="n">
        <v>3.52677783227072</v>
      </c>
      <c r="N332" s="148" t="n">
        <v>7.58624570868073</v>
      </c>
      <c r="O332" s="151">
        <f>IFERROR(N332/M332,0)</f>
        <v/>
      </c>
      <c r="P332" s="148">
        <f>J332+M332</f>
        <v/>
      </c>
      <c r="Q332" s="148">
        <f>K332+N332</f>
        <v/>
      </c>
      <c r="R332" s="151">
        <f>IFERROR(Q332/P332,0)</f>
        <v/>
      </c>
      <c r="S332" s="150">
        <f>IFERROR(P332/SUMIF($A:$A,A332,$P:$P),0)</f>
        <v/>
      </c>
      <c r="T332" s="150">
        <f>IFERROR(P332/E332,0)</f>
        <v/>
      </c>
      <c r="U332" s="148">
        <f>E332-Q332</f>
        <v/>
      </c>
      <c r="V332" s="150">
        <f>IFERROR(U332/E332,0)</f>
        <v/>
      </c>
      <c r="W332" s="148">
        <f>IFERROR(VLOOKUP(A332,周报其他费用!$A:$B,2,FALSE)*H332,0)</f>
        <v/>
      </c>
      <c r="X332" s="148" t="n">
        <v>24.416</v>
      </c>
      <c r="Y332" s="150">
        <f>IFERROR(X332/F332,0)</f>
        <v/>
      </c>
      <c r="Z332" s="148">
        <f>X332-J332/1.06</f>
        <v/>
      </c>
      <c r="AA332" s="150">
        <f>IFERROR(Z332/F332,0)</f>
        <v/>
      </c>
      <c r="AB332" s="148">
        <f>X332-(P332+W332)/1.06</f>
        <v/>
      </c>
      <c r="AC332" s="150">
        <f>IFERROR(AB332/F332,0)</f>
        <v/>
      </c>
    </row>
    <row r="333" ht="14.25" customHeight="1" s="65">
      <c r="A333" s="140" t="inlineStr">
        <is>
          <t>7.27-8.2</t>
        </is>
      </c>
      <c r="B333" s="141" t="n">
        <v>648604228786</v>
      </c>
      <c r="C333" s="140" t="inlineStr">
        <is>
          <t>杯面混搭</t>
        </is>
      </c>
      <c r="D333" s="140" t="inlineStr">
        <is>
          <t>INDOMIE营多日式杯面原味经典泡面整箱批发速食宿舍旅行宵夜宿舍</t>
        </is>
      </c>
      <c r="E333" s="142" t="n">
        <v>204.64</v>
      </c>
      <c r="F333" s="142">
        <f>IFERROR(E333/1.13,0)</f>
        <v/>
      </c>
      <c r="G333" s="143" t="n">
        <v>7</v>
      </c>
      <c r="H333" s="144">
        <f>IFERROR(G333/SUMIF($A:$A,A333,$G:$G),0)</f>
        <v/>
      </c>
      <c r="I333" s="142">
        <f>IFERROR(E333/G333,0)</f>
        <v/>
      </c>
      <c r="J333" s="142" t="n">
        <v>12.872361451692</v>
      </c>
      <c r="K333" s="142" t="n">
        <v>60.0085556645415</v>
      </c>
      <c r="L333" s="145">
        <f>IFERROR(K333/J333,0)</f>
        <v/>
      </c>
      <c r="M333" s="142" t="n">
        <v>3.52677783227072</v>
      </c>
      <c r="N333" s="142" t="n">
        <v>7.58624570868073</v>
      </c>
      <c r="O333" s="145">
        <f>IFERROR(N333/M333,0)</f>
        <v/>
      </c>
      <c r="P333" s="142">
        <f>J333+M333</f>
        <v/>
      </c>
      <c r="Q333" s="142">
        <f>K333+N333</f>
        <v/>
      </c>
      <c r="R333" s="145">
        <f>IFERROR(Q333/P333,0)</f>
        <v/>
      </c>
      <c r="S333" s="144">
        <f>IFERROR(P333/SUMIF($A:$A,A333,$P:$P),0)</f>
        <v/>
      </c>
      <c r="T333" s="144">
        <f>IFERROR(P333/E333,0)</f>
        <v/>
      </c>
      <c r="U333" s="142">
        <f>E333-Q333</f>
        <v/>
      </c>
      <c r="V333" s="144">
        <f>IFERROR(U333/E333,0)</f>
        <v/>
      </c>
      <c r="W333" s="142">
        <f>IFERROR(VLOOKUP(A333,周报其他费用!$A:$B,2,FALSE)*H333,0)</f>
        <v/>
      </c>
      <c r="X333" s="142" t="n">
        <v>25.85</v>
      </c>
      <c r="Y333" s="144">
        <f>IFERROR(X333/F333,0)</f>
        <v/>
      </c>
      <c r="Z333" s="142">
        <f>X333-J333/1.06</f>
        <v/>
      </c>
      <c r="AA333" s="144">
        <f>IFERROR(Z333/F333,0)</f>
        <v/>
      </c>
      <c r="AB333" s="142">
        <f>X333-(P333+W333)/1.06</f>
        <v/>
      </c>
      <c r="AC333" s="144">
        <f>IFERROR(AB333/F333,0)</f>
        <v/>
      </c>
    </row>
    <row r="334" ht="14.25" customHeight="1" s="65">
      <c r="A334" s="146" t="inlineStr">
        <is>
          <t>7.27-8.2</t>
        </is>
      </c>
      <c r="B334" s="147" t="n">
        <v>1067957289054</v>
      </c>
      <c r="C334" s="146" t="inlineStr">
        <is>
          <t>巴东牛肉</t>
        </is>
      </c>
      <c r="D334" s="146" t="inlineStr">
        <is>
          <t>【新口味】印尼进口营多捞面巴东炖牛肉味泡面方便面宿舍速食宵夜</t>
        </is>
      </c>
      <c r="E334" s="148" t="n">
        <v>73.09999999999999</v>
      </c>
      <c r="F334" s="148">
        <f>IFERROR(E334/1.13,0)</f>
        <v/>
      </c>
      <c r="G334" s="149" t="n">
        <v>5</v>
      </c>
      <c r="H334" s="150">
        <f>IFERROR(G334/SUMIF($A:$A,A334,$G:$G),0)</f>
        <v/>
      </c>
      <c r="I334" s="148">
        <f>IFERROR(E334/G334,0)</f>
        <v/>
      </c>
      <c r="J334" s="148" t="n">
        <v>12.7045438940657</v>
      </c>
      <c r="K334" s="148" t="n">
        <v>5.86325404610109</v>
      </c>
      <c r="L334" s="151">
        <f>IFERROR(K334/J334,0)</f>
        <v/>
      </c>
      <c r="M334" s="148" t="n">
        <v>2.51912702305051</v>
      </c>
      <c r="N334" s="148" t="n">
        <v>5.41874693477195</v>
      </c>
      <c r="O334" s="151">
        <f>IFERROR(N334/M334,0)</f>
        <v/>
      </c>
      <c r="P334" s="148">
        <f>J334+M334</f>
        <v/>
      </c>
      <c r="Q334" s="148">
        <f>K334+N334</f>
        <v/>
      </c>
      <c r="R334" s="151">
        <f>IFERROR(Q334/P334,0)</f>
        <v/>
      </c>
      <c r="S334" s="150">
        <f>IFERROR(P334/SUMIF($A:$A,A334,$P:$P),0)</f>
        <v/>
      </c>
      <c r="T334" s="150">
        <f>IFERROR(P334/E334,0)</f>
        <v/>
      </c>
      <c r="U334" s="148">
        <f>E334-Q334</f>
        <v/>
      </c>
      <c r="V334" s="150">
        <f>IFERROR(U334/E334,0)</f>
        <v/>
      </c>
      <c r="W334" s="148">
        <f>IFERROR(VLOOKUP(A334,周报其他费用!$A:$B,2,FALSE)*H334,0)</f>
        <v/>
      </c>
      <c r="X334" s="148" t="n">
        <v>5.512</v>
      </c>
      <c r="Y334" s="150">
        <f>IFERROR(X334/F334,0)</f>
        <v/>
      </c>
      <c r="Z334" s="148">
        <f>X334-J334/1.06</f>
        <v/>
      </c>
      <c r="AA334" s="150">
        <f>IFERROR(Z334/F334,0)</f>
        <v/>
      </c>
      <c r="AB334" s="148">
        <f>X334-(P334+W334)/1.06</f>
        <v/>
      </c>
      <c r="AC334" s="150">
        <f>IFERROR(AB334/F334,0)</f>
        <v/>
      </c>
    </row>
    <row r="335" ht="14.25" customHeight="1" s="65">
      <c r="A335" s="140" t="inlineStr">
        <is>
          <t>7.27-8.2</t>
        </is>
      </c>
      <c r="B335" s="141" t="n">
        <v>976467954327</v>
      </c>
      <c r="C335" s="140" t="inlineStr">
        <is>
          <t>日韩杯面</t>
        </is>
      </c>
      <c r="D335" s="140" t="inlineStr">
        <is>
          <t>【天猫U选】indomie营多捞面辣蘑菇味日式辣味杯面</t>
        </is>
      </c>
      <c r="E335" s="142" t="n">
        <v>49.3</v>
      </c>
      <c r="F335" s="142">
        <f>IFERROR(E335/1.13,0)</f>
        <v/>
      </c>
      <c r="G335" s="143" t="n">
        <v>5</v>
      </c>
      <c r="H335" s="144">
        <f>IFERROR(G335/SUMIF($A:$A,A335,$G:$G),0)</f>
        <v/>
      </c>
      <c r="I335" s="142">
        <f>IFERROR(E335/G335,0)</f>
        <v/>
      </c>
      <c r="J335" s="142" t="n">
        <v>0.994543894065718</v>
      </c>
      <c r="K335" s="142" t="n">
        <v>5.86325404610109</v>
      </c>
      <c r="L335" s="145">
        <f>IFERROR(K335/J335,0)</f>
        <v/>
      </c>
      <c r="M335" s="142" t="n">
        <v>2.51912702305051</v>
      </c>
      <c r="N335" s="142" t="n">
        <v>5.41874693477195</v>
      </c>
      <c r="O335" s="145">
        <f>IFERROR(N335/M335,0)</f>
        <v/>
      </c>
      <c r="P335" s="142">
        <f>J335+M335</f>
        <v/>
      </c>
      <c r="Q335" s="142">
        <f>K335+N335</f>
        <v/>
      </c>
      <c r="R335" s="145">
        <f>IFERROR(Q335/P335,0)</f>
        <v/>
      </c>
      <c r="S335" s="144">
        <f>IFERROR(P335/SUMIF($A:$A,A335,$P:$P),0)</f>
        <v/>
      </c>
      <c r="T335" s="144">
        <f>IFERROR(P335/E335,0)</f>
        <v/>
      </c>
      <c r="U335" s="142">
        <f>E335-Q335</f>
        <v/>
      </c>
      <c r="V335" s="144">
        <f>IFERROR(U335/E335,0)</f>
        <v/>
      </c>
      <c r="W335" s="142">
        <f>IFERROR(VLOOKUP(A335,周报其他费用!$A:$B,2,FALSE)*H335,0)</f>
        <v/>
      </c>
      <c r="X335" s="142" t="n">
        <v>-6.959</v>
      </c>
      <c r="Y335" s="144">
        <f>IFERROR(X335/F335,0)</f>
        <v/>
      </c>
      <c r="Z335" s="142">
        <f>X335-J335/1.06</f>
        <v/>
      </c>
      <c r="AA335" s="144">
        <f>IFERROR(Z335/F335,0)</f>
        <v/>
      </c>
      <c r="AB335" s="142">
        <f>X335-(P335+W335)/1.06</f>
        <v/>
      </c>
      <c r="AC335" s="144">
        <f>IFERROR(AB335/F335,0)</f>
        <v/>
      </c>
    </row>
    <row r="336" ht="14.25" customHeight="1" s="65">
      <c r="A336" s="146" t="inlineStr">
        <is>
          <t>7.27-8.2</t>
        </is>
      </c>
      <c r="B336" s="147" t="n">
        <v>976479938842</v>
      </c>
      <c r="C336" s="146" t="inlineStr">
        <is>
          <t>【U选】原味5</t>
        </is>
      </c>
      <c r="D336" s="146" t="inlineStr">
        <is>
          <t>【天猫U选】indomie营多大骨牛肉味捞面拌面5包</t>
        </is>
      </c>
      <c r="E336" s="148" t="n">
        <v>47.83</v>
      </c>
      <c r="F336" s="148">
        <f>IFERROR(E336/1.13,0)</f>
        <v/>
      </c>
      <c r="G336" s="149" t="n">
        <v>5</v>
      </c>
      <c r="H336" s="150">
        <f>IFERROR(G336/SUMIF($A:$A,A336,$G:$G),0)</f>
        <v/>
      </c>
      <c r="I336" s="148">
        <f>IFERROR(E336/G336,0)</f>
        <v/>
      </c>
      <c r="J336" s="148" t="n">
        <v>0.994543894065718</v>
      </c>
      <c r="K336" s="148" t="n">
        <v>5.86325404610109</v>
      </c>
      <c r="L336" s="151">
        <f>IFERROR(K336/J336,0)</f>
        <v/>
      </c>
      <c r="M336" s="148" t="n">
        <v>2.51912702305051</v>
      </c>
      <c r="N336" s="148" t="n">
        <v>5.41874693477195</v>
      </c>
      <c r="O336" s="151">
        <f>IFERROR(N336/M336,0)</f>
        <v/>
      </c>
      <c r="P336" s="148">
        <f>J336+M336</f>
        <v/>
      </c>
      <c r="Q336" s="148">
        <f>K336+N336</f>
        <v/>
      </c>
      <c r="R336" s="151">
        <f>IFERROR(Q336/P336,0)</f>
        <v/>
      </c>
      <c r="S336" s="150">
        <f>IFERROR(P336/SUMIF($A:$A,A336,$P:$P),0)</f>
        <v/>
      </c>
      <c r="T336" s="150">
        <f>IFERROR(P336/E336,0)</f>
        <v/>
      </c>
      <c r="U336" s="148">
        <f>E336-Q336</f>
        <v/>
      </c>
      <c r="V336" s="150">
        <f>IFERROR(U336/E336,0)</f>
        <v/>
      </c>
      <c r="W336" s="148">
        <f>IFERROR(VLOOKUP(A336,周报其他费用!$A:$B,2,FALSE)*H336,0)</f>
        <v/>
      </c>
      <c r="X336" s="148" t="n">
        <v>-15.185</v>
      </c>
      <c r="Y336" s="150">
        <f>IFERROR(X336/F336,0)</f>
        <v/>
      </c>
      <c r="Z336" s="148">
        <f>X336-J336/1.06</f>
        <v/>
      </c>
      <c r="AA336" s="150">
        <f>IFERROR(Z336/F336,0)</f>
        <v/>
      </c>
      <c r="AB336" s="148">
        <f>X336-(P336+W336)/1.06</f>
        <v/>
      </c>
      <c r="AC336" s="150">
        <f>IFERROR(AB336/F336,0)</f>
        <v/>
      </c>
    </row>
    <row r="337" ht="14.25" customHeight="1" s="65">
      <c r="A337" s="140" t="inlineStr">
        <is>
          <t>7.27-8.2</t>
        </is>
      </c>
      <c r="B337" s="141" t="n">
        <v>969433743398</v>
      </c>
      <c r="C337" s="140" t="inlineStr">
        <is>
          <t>韩蘑菇</t>
        </is>
      </c>
      <c r="D337" s="140" t="inlineStr">
        <is>
          <t>新品营多捞面韩式辣蘑菇汤面泡面方便面速食干拌面宿舍宵夜旅行</t>
        </is>
      </c>
      <c r="E337" s="142" t="n">
        <v>137.23</v>
      </c>
      <c r="F337" s="142">
        <f>IFERROR(E337/1.13,0)</f>
        <v/>
      </c>
      <c r="G337" s="143" t="n">
        <v>5</v>
      </c>
      <c r="H337" s="144">
        <f>IFERROR(G337/SUMIF($A:$A,A337,$G:$G),0)</f>
        <v/>
      </c>
      <c r="I337" s="142">
        <f>IFERROR(E337/G337,0)</f>
        <v/>
      </c>
      <c r="J337" s="142" t="n">
        <v>12.5945438940657</v>
      </c>
      <c r="K337" s="142" t="n">
        <v>174.003254046101</v>
      </c>
      <c r="L337" s="145">
        <f>IFERROR(K337/J337,0)</f>
        <v/>
      </c>
      <c r="M337" s="142" t="n">
        <v>2.51912702305051</v>
      </c>
      <c r="N337" s="142" t="n">
        <v>5.41874693477195</v>
      </c>
      <c r="O337" s="145">
        <f>IFERROR(N337/M337,0)</f>
        <v/>
      </c>
      <c r="P337" s="142">
        <f>J337+M337</f>
        <v/>
      </c>
      <c r="Q337" s="142">
        <f>K337+N337</f>
        <v/>
      </c>
      <c r="R337" s="145">
        <f>IFERROR(Q337/P337,0)</f>
        <v/>
      </c>
      <c r="S337" s="144">
        <f>IFERROR(P337/SUMIF($A:$A,A337,$P:$P),0)</f>
        <v/>
      </c>
      <c r="T337" s="144">
        <f>IFERROR(P337/E337,0)</f>
        <v/>
      </c>
      <c r="U337" s="142">
        <f>E337-Q337</f>
        <v/>
      </c>
      <c r="V337" s="144">
        <f>IFERROR(U337/E337,0)</f>
        <v/>
      </c>
      <c r="W337" s="142">
        <f>IFERROR(VLOOKUP(A337,周报其他费用!$A:$B,2,FALSE)*H337,0)</f>
        <v/>
      </c>
      <c r="X337" s="142" t="n">
        <v>23.991</v>
      </c>
      <c r="Y337" s="144">
        <f>IFERROR(X337/F337,0)</f>
        <v/>
      </c>
      <c r="Z337" s="142">
        <f>X337-J337/1.06</f>
        <v/>
      </c>
      <c r="AA337" s="144">
        <f>IFERROR(Z337/F337,0)</f>
        <v/>
      </c>
      <c r="AB337" s="142">
        <f>X337-(P337+W337)/1.06</f>
        <v/>
      </c>
      <c r="AC337" s="144">
        <f>IFERROR(AB337/F337,0)</f>
        <v/>
      </c>
    </row>
    <row r="338" ht="14.25" customHeight="1" s="65">
      <c r="A338" s="146" t="inlineStr">
        <is>
          <t>7.27-8.2</t>
        </is>
      </c>
      <c r="B338" s="147" t="n">
        <v>649731447266</v>
      </c>
      <c r="C338" s="146" t="inlineStr">
        <is>
          <t>20包经典/牛系列</t>
        </is>
      </c>
      <c r="D338" s="146" t="inlineStr">
        <is>
          <t>营多印尼进口营多捞面方便面火鸡面干拌面20包宿舍速食泡面夜宵</t>
        </is>
      </c>
      <c r="E338" s="148" t="n">
        <v>231.87</v>
      </c>
      <c r="F338" s="148">
        <f>IFERROR(E338/1.13,0)</f>
        <v/>
      </c>
      <c r="G338" s="149" t="n">
        <v>5</v>
      </c>
      <c r="H338" s="150">
        <f>IFERROR(G338/SUMIF($A:$A,A338,$G:$G),0)</f>
        <v/>
      </c>
      <c r="I338" s="148">
        <f>IFERROR(E338/G338,0)</f>
        <v/>
      </c>
      <c r="J338" s="148" t="n">
        <v>5.90454389406572</v>
      </c>
      <c r="K338" s="148" t="n">
        <v>5.86325404610109</v>
      </c>
      <c r="L338" s="151">
        <f>IFERROR(K338/J338,0)</f>
        <v/>
      </c>
      <c r="M338" s="148" t="n">
        <v>2.51912702305051</v>
      </c>
      <c r="N338" s="148" t="n">
        <v>5.41874693477195</v>
      </c>
      <c r="O338" s="151">
        <f>IFERROR(N338/M338,0)</f>
        <v/>
      </c>
      <c r="P338" s="148">
        <f>J338+M338</f>
        <v/>
      </c>
      <c r="Q338" s="148">
        <f>K338+N338</f>
        <v/>
      </c>
      <c r="R338" s="151">
        <f>IFERROR(Q338/P338,0)</f>
        <v/>
      </c>
      <c r="S338" s="150">
        <f>IFERROR(P338/SUMIF($A:$A,A338,$P:$P),0)</f>
        <v/>
      </c>
      <c r="T338" s="150">
        <f>IFERROR(P338/E338,0)</f>
        <v/>
      </c>
      <c r="U338" s="148">
        <f>E338-Q338</f>
        <v/>
      </c>
      <c r="V338" s="150">
        <f>IFERROR(U338/E338,0)</f>
        <v/>
      </c>
      <c r="W338" s="148">
        <f>IFERROR(VLOOKUP(A338,周报其他费用!$A:$B,2,FALSE)*H338,0)</f>
        <v/>
      </c>
      <c r="X338" s="148" t="n">
        <v>40.67</v>
      </c>
      <c r="Y338" s="150">
        <f>IFERROR(X338/F338,0)</f>
        <v/>
      </c>
      <c r="Z338" s="148">
        <f>X338-J338/1.06</f>
        <v/>
      </c>
      <c r="AA338" s="150">
        <f>IFERROR(Z338/F338,0)</f>
        <v/>
      </c>
      <c r="AB338" s="148">
        <f>X338-(P338+W338)/1.06</f>
        <v/>
      </c>
      <c r="AC338" s="150">
        <f>IFERROR(AB338/F338,0)</f>
        <v/>
      </c>
    </row>
    <row r="339" ht="14.25" customHeight="1" s="65">
      <c r="A339" s="140" t="inlineStr">
        <is>
          <t>7.27-8.2</t>
        </is>
      </c>
      <c r="B339" s="141" t="n">
        <v>1028450344901</v>
      </c>
      <c r="C339" s="140" t="inlineStr">
        <is>
          <t>韩式火鸡</t>
        </is>
      </c>
      <c r="D339" s="140" t="inlineStr">
        <is>
          <t>营多韩式火鸡面袋装拌面干拌面泡面方便面速食面宿舍宵夜旅行</t>
        </is>
      </c>
      <c r="E339" s="142" t="n">
        <v>101.81</v>
      </c>
      <c r="F339" s="142">
        <f>IFERROR(E339/1.13,0)</f>
        <v/>
      </c>
      <c r="G339" s="143" t="n">
        <v>5</v>
      </c>
      <c r="H339" s="144">
        <f>IFERROR(G339/SUMIF($A:$A,A339,$G:$G),0)</f>
        <v/>
      </c>
      <c r="I339" s="142">
        <f>IFERROR(E339/G339,0)</f>
        <v/>
      </c>
      <c r="J339" s="142" t="n">
        <v>6.83454389406572</v>
      </c>
      <c r="K339" s="142" t="n">
        <v>76.8732540461011</v>
      </c>
      <c r="L339" s="145">
        <f>IFERROR(K339/J339,0)</f>
        <v/>
      </c>
      <c r="M339" s="142" t="n">
        <v>2.51912702305051</v>
      </c>
      <c r="N339" s="142" t="n">
        <v>5.41874693477195</v>
      </c>
      <c r="O339" s="145">
        <f>IFERROR(N339/M339,0)</f>
        <v/>
      </c>
      <c r="P339" s="142">
        <f>J339+M339</f>
        <v/>
      </c>
      <c r="Q339" s="142">
        <f>K339+N339</f>
        <v/>
      </c>
      <c r="R339" s="145">
        <f>IFERROR(Q339/P339,0)</f>
        <v/>
      </c>
      <c r="S339" s="144">
        <f>IFERROR(P339/SUMIF($A:$A,A339,$P:$P),0)</f>
        <v/>
      </c>
      <c r="T339" s="144">
        <f>IFERROR(P339/E339,0)</f>
        <v/>
      </c>
      <c r="U339" s="142">
        <f>E339-Q339</f>
        <v/>
      </c>
      <c r="V339" s="144">
        <f>IFERROR(U339/E339,0)</f>
        <v/>
      </c>
      <c r="W339" s="142">
        <f>IFERROR(VLOOKUP(A339,周报其他费用!$A:$B,2,FALSE)*H339,0)</f>
        <v/>
      </c>
      <c r="X339" s="142" t="n">
        <v>12.243</v>
      </c>
      <c r="Y339" s="144">
        <f>IFERROR(X339/F339,0)</f>
        <v/>
      </c>
      <c r="Z339" s="142">
        <f>X339-J339/1.06</f>
        <v/>
      </c>
      <c r="AA339" s="144">
        <f>IFERROR(Z339/F339,0)</f>
        <v/>
      </c>
      <c r="AB339" s="142">
        <f>X339-(P339+W339)/1.06</f>
        <v/>
      </c>
      <c r="AC339" s="144">
        <f>IFERROR(AB339/F339,0)</f>
        <v/>
      </c>
    </row>
    <row r="340" ht="14.25" customHeight="1" s="65">
      <c r="A340" s="146" t="inlineStr">
        <is>
          <t>7.27-8.2</t>
        </is>
      </c>
      <c r="B340" s="147" t="n">
        <v>898120785283</v>
      </c>
      <c r="C340" s="146" t="inlineStr">
        <is>
          <t>番茄</t>
        </is>
      </c>
      <c r="D340" s="146" t="inlineStr">
        <is>
          <t>进口意大利面风味奶香番茄牛肉味意式营多早餐儿童宝妈家庭餐拌面</t>
        </is>
      </c>
      <c r="E340" s="148" t="n">
        <v>90.95</v>
      </c>
      <c r="F340" s="148">
        <f>IFERROR(E340/1.13,0)</f>
        <v/>
      </c>
      <c r="G340" s="149" t="n">
        <v>4</v>
      </c>
      <c r="H340" s="150">
        <f>IFERROR(G340/SUMIF($A:$A,A340,$G:$G),0)</f>
        <v/>
      </c>
      <c r="I340" s="148">
        <f>IFERROR(E340/G340,0)</f>
        <v/>
      </c>
      <c r="J340" s="148" t="n">
        <v>2.11563511525257</v>
      </c>
      <c r="K340" s="148" t="n">
        <v>4.69060323688087</v>
      </c>
      <c r="L340" s="151">
        <f>IFERROR(K340/J340,0)</f>
        <v/>
      </c>
      <c r="M340" s="148" t="n">
        <v>2.01530161844041</v>
      </c>
      <c r="N340" s="148" t="n">
        <v>4.33499754781756</v>
      </c>
      <c r="O340" s="151">
        <f>IFERROR(N340/M340,0)</f>
        <v/>
      </c>
      <c r="P340" s="148">
        <f>J340+M340</f>
        <v/>
      </c>
      <c r="Q340" s="148">
        <f>K340+N340</f>
        <v/>
      </c>
      <c r="R340" s="151">
        <f>IFERROR(Q340/P340,0)</f>
        <v/>
      </c>
      <c r="S340" s="150">
        <f>IFERROR(P340/SUMIF($A:$A,A340,$P:$P),0)</f>
        <v/>
      </c>
      <c r="T340" s="150">
        <f>IFERROR(P340/E340,0)</f>
        <v/>
      </c>
      <c r="U340" s="148">
        <f>E340-Q340</f>
        <v/>
      </c>
      <c r="V340" s="150">
        <f>IFERROR(U340/E340,0)</f>
        <v/>
      </c>
      <c r="W340" s="148">
        <f>IFERROR(VLOOKUP(A340,周报其他费用!$A:$B,2,FALSE)*H340,0)</f>
        <v/>
      </c>
      <c r="X340" s="148" t="n">
        <v>16.641</v>
      </c>
      <c r="Y340" s="150">
        <f>IFERROR(X340/F340,0)</f>
        <v/>
      </c>
      <c r="Z340" s="148">
        <f>X340-J340/1.06</f>
        <v/>
      </c>
      <c r="AA340" s="150">
        <f>IFERROR(Z340/F340,0)</f>
        <v/>
      </c>
      <c r="AB340" s="148">
        <f>X340-(P340+W340)/1.06</f>
        <v/>
      </c>
      <c r="AC340" s="150">
        <f>IFERROR(AB340/F340,0)</f>
        <v/>
      </c>
    </row>
    <row r="341" ht="14.25" customHeight="1" s="65">
      <c r="A341" s="140" t="inlineStr">
        <is>
          <t>7.27-8.2</t>
        </is>
      </c>
      <c r="B341" s="141" t="n">
        <v>903183018417</v>
      </c>
      <c r="C341" s="140" t="inlineStr">
        <is>
          <t>七口味混搭</t>
        </is>
      </c>
      <c r="D341" s="140" t="inlineStr">
        <is>
          <t>进口营多捞面汤面拌面七口味混合方便面速拉面宿舍拌面泡面食食品</t>
        </is>
      </c>
      <c r="E341" s="142" t="n">
        <v>58.53</v>
      </c>
      <c r="F341" s="142">
        <f>IFERROR(E341/1.13,0)</f>
        <v/>
      </c>
      <c r="G341" s="143" t="n">
        <v>3</v>
      </c>
      <c r="H341" s="144">
        <f>IFERROR(G341/SUMIF($A:$A,A341,$G:$G),0)</f>
        <v/>
      </c>
      <c r="I341" s="142">
        <f>IFERROR(E341/G341,0)</f>
        <v/>
      </c>
      <c r="J341" s="142" t="n">
        <v>2.29672633643943</v>
      </c>
      <c r="K341" s="142" t="n">
        <v>22.9479524276607</v>
      </c>
      <c r="L341" s="145">
        <f>IFERROR(K341/J341,0)</f>
        <v/>
      </c>
      <c r="M341" s="142" t="n">
        <v>1.51147621383031</v>
      </c>
      <c r="N341" s="142" t="n">
        <v>3.25124816086317</v>
      </c>
      <c r="O341" s="145">
        <f>IFERROR(N341/M341,0)</f>
        <v/>
      </c>
      <c r="P341" s="142">
        <f>J341+M341</f>
        <v/>
      </c>
      <c r="Q341" s="142">
        <f>K341+N341</f>
        <v/>
      </c>
      <c r="R341" s="145">
        <f>IFERROR(Q341/P341,0)</f>
        <v/>
      </c>
      <c r="S341" s="144">
        <f>IFERROR(P341/SUMIF($A:$A,A341,$P:$P),0)</f>
        <v/>
      </c>
      <c r="T341" s="144">
        <f>IFERROR(P341/E341,0)</f>
        <v/>
      </c>
      <c r="U341" s="142">
        <f>E341-Q341</f>
        <v/>
      </c>
      <c r="V341" s="144">
        <f>IFERROR(U341/E341,0)</f>
        <v/>
      </c>
      <c r="W341" s="142">
        <f>IFERROR(VLOOKUP(A341,周报其他费用!$A:$B,2,FALSE)*H341,0)</f>
        <v/>
      </c>
      <c r="X341" s="142" t="n">
        <v>5.511</v>
      </c>
      <c r="Y341" s="144">
        <f>IFERROR(X341/F341,0)</f>
        <v/>
      </c>
      <c r="Z341" s="142">
        <f>X341-J341/1.06</f>
        <v/>
      </c>
      <c r="AA341" s="144">
        <f>IFERROR(Z341/F341,0)</f>
        <v/>
      </c>
      <c r="AB341" s="142">
        <f>X341-(P341+W341)/1.06</f>
        <v/>
      </c>
      <c r="AC341" s="144">
        <f>IFERROR(AB341/F341,0)</f>
        <v/>
      </c>
    </row>
    <row r="342" ht="14.25" customHeight="1" s="65">
      <c r="A342" s="146" t="inlineStr">
        <is>
          <t>7.27-8.2</t>
        </is>
      </c>
      <c r="B342" s="147" t="n">
        <v>649729851594</v>
      </c>
      <c r="C342" s="146" t="inlineStr">
        <is>
          <t>小规格</t>
        </is>
      </c>
      <c r="D342" s="146" t="inlineStr">
        <is>
          <t>营多捞面袋装8包装泡面宿舍速食面热干面干拌面方便面火鸡面食品</t>
        </is>
      </c>
      <c r="E342" s="148" t="n">
        <v>68.16</v>
      </c>
      <c r="F342" s="148">
        <f>IFERROR(E342/1.13,0)</f>
        <v/>
      </c>
      <c r="G342" s="149" t="n">
        <v>3</v>
      </c>
      <c r="H342" s="150">
        <f>IFERROR(G342/SUMIF($A:$A,A342,$G:$G),0)</f>
        <v/>
      </c>
      <c r="I342" s="148">
        <f>IFERROR(E342/G342,0)</f>
        <v/>
      </c>
      <c r="J342" s="148" t="n">
        <v>0.596726336439431</v>
      </c>
      <c r="K342" s="148" t="n">
        <v>3.51795242766066</v>
      </c>
      <c r="L342" s="151">
        <f>IFERROR(K342/J342,0)</f>
        <v/>
      </c>
      <c r="M342" s="148" t="n">
        <v>1.51147621383031</v>
      </c>
      <c r="N342" s="148" t="n">
        <v>3.25124816086317</v>
      </c>
      <c r="O342" s="151">
        <f>IFERROR(N342/M342,0)</f>
        <v/>
      </c>
      <c r="P342" s="148">
        <f>J342+M342</f>
        <v/>
      </c>
      <c r="Q342" s="148">
        <f>K342+N342</f>
        <v/>
      </c>
      <c r="R342" s="151">
        <f>IFERROR(Q342/P342,0)</f>
        <v/>
      </c>
      <c r="S342" s="150">
        <f>IFERROR(P342/SUMIF($A:$A,A342,$P:$P),0)</f>
        <v/>
      </c>
      <c r="T342" s="150">
        <f>IFERROR(P342/E342,0)</f>
        <v/>
      </c>
      <c r="U342" s="148">
        <f>E342-Q342</f>
        <v/>
      </c>
      <c r="V342" s="150">
        <f>IFERROR(U342/E342,0)</f>
        <v/>
      </c>
      <c r="W342" s="148">
        <f>IFERROR(VLOOKUP(A342,周报其他费用!$A:$B,2,FALSE)*H342,0)</f>
        <v/>
      </c>
      <c r="X342" s="148" t="n">
        <v>11.567</v>
      </c>
      <c r="Y342" s="150">
        <f>IFERROR(X342/F342,0)</f>
        <v/>
      </c>
      <c r="Z342" s="148">
        <f>X342-J342/1.06</f>
        <v/>
      </c>
      <c r="AA342" s="150">
        <f>IFERROR(Z342/F342,0)</f>
        <v/>
      </c>
      <c r="AB342" s="148">
        <f>X342-(P342+W342)/1.06</f>
        <v/>
      </c>
      <c r="AC342" s="150">
        <f>IFERROR(AB342/F342,0)</f>
        <v/>
      </c>
    </row>
    <row r="343" ht="14.25" customHeight="1" s="65">
      <c r="A343" s="140" t="inlineStr">
        <is>
          <t>7.27-8.2</t>
        </is>
      </c>
      <c r="B343" s="141" t="n">
        <v>965545088099</v>
      </c>
      <c r="C343" s="140" t="inlineStr">
        <is>
          <t>十口味混搭</t>
        </is>
      </c>
      <c r="D343" s="140" t="inlineStr">
        <is>
          <t>营多捞面多口味袋装泡面拌面速食面干拌面方便面速食宵夜宿舍旅行</t>
        </is>
      </c>
      <c r="E343" s="142" t="n">
        <v>63.02</v>
      </c>
      <c r="F343" s="142">
        <f>IFERROR(E343/1.13,0)</f>
        <v/>
      </c>
      <c r="G343" s="143" t="n">
        <v>2</v>
      </c>
      <c r="H343" s="144">
        <f>IFERROR(G343/SUMIF($A:$A,A343,$G:$G),0)</f>
        <v/>
      </c>
      <c r="I343" s="142">
        <f>IFERROR(E343/G343,0)</f>
        <v/>
      </c>
      <c r="J343" s="142" t="n">
        <v>1.48781755762629</v>
      </c>
      <c r="K343" s="142" t="n">
        <v>2.34530161844044</v>
      </c>
      <c r="L343" s="145">
        <f>IFERROR(K343/J343,0)</f>
        <v/>
      </c>
      <c r="M343" s="142" t="n">
        <v>1.00765080922021</v>
      </c>
      <c r="N343" s="142" t="n">
        <v>2.16749877390878</v>
      </c>
      <c r="O343" s="145">
        <f>IFERROR(N343/M343,0)</f>
        <v/>
      </c>
      <c r="P343" s="142">
        <f>J343+M343</f>
        <v/>
      </c>
      <c r="Q343" s="142">
        <f>K343+N343</f>
        <v/>
      </c>
      <c r="R343" s="145">
        <f>IFERROR(Q343/P343,0)</f>
        <v/>
      </c>
      <c r="S343" s="144">
        <f>IFERROR(P343/SUMIF($A:$A,A343,$P:$P),0)</f>
        <v/>
      </c>
      <c r="T343" s="144">
        <f>IFERROR(P343/E343,0)</f>
        <v/>
      </c>
      <c r="U343" s="142">
        <f>E343-Q343</f>
        <v/>
      </c>
      <c r="V343" s="144">
        <f>IFERROR(U343/E343,0)</f>
        <v/>
      </c>
      <c r="W343" s="142">
        <f>IFERROR(VLOOKUP(A343,周报其他费用!$A:$B,2,FALSE)*H343,0)</f>
        <v/>
      </c>
      <c r="X343" s="142" t="n">
        <v>13.428</v>
      </c>
      <c r="Y343" s="144">
        <f>IFERROR(X343/F343,0)</f>
        <v/>
      </c>
      <c r="Z343" s="142">
        <f>X343-J343/1.06</f>
        <v/>
      </c>
      <c r="AA343" s="144">
        <f>IFERROR(Z343/F343,0)</f>
        <v/>
      </c>
      <c r="AB343" s="142">
        <f>X343-(P343+W343)/1.06</f>
        <v/>
      </c>
      <c r="AC343" s="144">
        <f>IFERROR(AB343/F343,0)</f>
        <v/>
      </c>
    </row>
    <row r="344" ht="14.25" customHeight="1" s="65">
      <c r="A344" s="146" t="inlineStr">
        <is>
          <t>7.27-8.2</t>
        </is>
      </c>
      <c r="B344" s="147" t="n">
        <v>916072786304</v>
      </c>
      <c r="C344" s="146" t="inlineStr">
        <is>
          <t>小规格</t>
        </is>
      </c>
      <c r="D344" s="146" t="inlineStr">
        <is>
          <t>营多印尼进口营多捞面方便面火鸡面干拌面10包宿舍速食泡面夜宵</t>
        </is>
      </c>
      <c r="E344" s="148" t="n">
        <v>26.99</v>
      </c>
      <c r="F344" s="148">
        <f>IFERROR(E344/1.13,0)</f>
        <v/>
      </c>
      <c r="G344" s="149" t="n">
        <v>2</v>
      </c>
      <c r="H344" s="150">
        <f>IFERROR(G344/SUMIF($A:$A,A344,$G:$G),0)</f>
        <v/>
      </c>
      <c r="I344" s="148">
        <f>IFERROR(E344/G344,0)</f>
        <v/>
      </c>
      <c r="J344" s="148" t="n">
        <v>0.617817557626287</v>
      </c>
      <c r="K344" s="148" t="n">
        <v>2.34530161844044</v>
      </c>
      <c r="L344" s="151">
        <f>IFERROR(K344/J344,0)</f>
        <v/>
      </c>
      <c r="M344" s="148" t="n">
        <v>1.00765080922021</v>
      </c>
      <c r="N344" s="148" t="n">
        <v>2.16749877390878</v>
      </c>
      <c r="O344" s="151">
        <f>IFERROR(N344/M344,0)</f>
        <v/>
      </c>
      <c r="P344" s="148">
        <f>J344+M344</f>
        <v/>
      </c>
      <c r="Q344" s="148">
        <f>K344+N344</f>
        <v/>
      </c>
      <c r="R344" s="151">
        <f>IFERROR(Q344/P344,0)</f>
        <v/>
      </c>
      <c r="S344" s="150">
        <f>IFERROR(P344/SUMIF($A:$A,A344,$P:$P),0)</f>
        <v/>
      </c>
      <c r="T344" s="150">
        <f>IFERROR(P344/E344,0)</f>
        <v/>
      </c>
      <c r="U344" s="148">
        <f>E344-Q344</f>
        <v/>
      </c>
      <c r="V344" s="150">
        <f>IFERROR(U344/E344,0)</f>
        <v/>
      </c>
      <c r="W344" s="148">
        <f>IFERROR(VLOOKUP(A344,周报其他费用!$A:$B,2,FALSE)*H344,0)</f>
        <v/>
      </c>
      <c r="X344" s="148" t="n">
        <v>0.362</v>
      </c>
      <c r="Y344" s="150">
        <f>IFERROR(X344/F344,0)</f>
        <v/>
      </c>
      <c r="Z344" s="148">
        <f>X344-J344/1.06</f>
        <v/>
      </c>
      <c r="AA344" s="150">
        <f>IFERROR(Z344/F344,0)</f>
        <v/>
      </c>
      <c r="AB344" s="148">
        <f>X344-(P344+W344)/1.06</f>
        <v/>
      </c>
      <c r="AC344" s="150">
        <f>IFERROR(AB344/F344,0)</f>
        <v/>
      </c>
    </row>
    <row r="345" ht="14.25" customHeight="1" s="65">
      <c r="A345" s="140" t="inlineStr">
        <is>
          <t>7.27-8.2</t>
        </is>
      </c>
      <c r="B345" s="141" t="n">
        <v>932687928859</v>
      </c>
      <c r="C345" s="140" t="inlineStr">
        <is>
          <t>杯面混搭</t>
        </is>
      </c>
      <c r="D345" s="140" t="inlineStr">
        <is>
          <t>营多捞面韩式甜辣炸鸡辣蘑菇杯面方便面拌面泡面宿舍速食面</t>
        </is>
      </c>
      <c r="E345" s="142" t="n">
        <v>61.08</v>
      </c>
      <c r="F345" s="142">
        <f>IFERROR(E345/1.13,0)</f>
        <v/>
      </c>
      <c r="G345" s="143" t="n">
        <v>2</v>
      </c>
      <c r="H345" s="144">
        <f>IFERROR(G345/SUMIF($A:$A,A345,$G:$G),0)</f>
        <v/>
      </c>
      <c r="I345" s="142">
        <f>IFERROR(E345/G345,0)</f>
        <v/>
      </c>
      <c r="J345" s="142" t="n">
        <v>3.09781755762629</v>
      </c>
      <c r="K345" s="142" t="n">
        <v>32.5253016184404</v>
      </c>
      <c r="L345" s="145">
        <f>IFERROR(K345/J345,0)</f>
        <v/>
      </c>
      <c r="M345" s="142" t="n">
        <v>1.00765080922021</v>
      </c>
      <c r="N345" s="142" t="n">
        <v>2.16749877390878</v>
      </c>
      <c r="O345" s="145">
        <f>IFERROR(N345/M345,0)</f>
        <v/>
      </c>
      <c r="P345" s="142">
        <f>J345+M345</f>
        <v/>
      </c>
      <c r="Q345" s="142">
        <f>K345+N345</f>
        <v/>
      </c>
      <c r="R345" s="145">
        <f>IFERROR(Q345/P345,0)</f>
        <v/>
      </c>
      <c r="S345" s="144">
        <f>IFERROR(P345/SUMIF($A:$A,A345,$P:$P),0)</f>
        <v/>
      </c>
      <c r="T345" s="144">
        <f>IFERROR(P345/E345,0)</f>
        <v/>
      </c>
      <c r="U345" s="142">
        <f>E345-Q345</f>
        <v/>
      </c>
      <c r="V345" s="144">
        <f>IFERROR(U345/E345,0)</f>
        <v/>
      </c>
      <c r="W345" s="142">
        <f>IFERROR(VLOOKUP(A345,周报其他费用!$A:$B,2,FALSE)*H345,0)</f>
        <v/>
      </c>
      <c r="X345" s="142" t="n">
        <v>11.839</v>
      </c>
      <c r="Y345" s="144">
        <f>IFERROR(X345/F345,0)</f>
        <v/>
      </c>
      <c r="Z345" s="142">
        <f>X345-J345/1.06</f>
        <v/>
      </c>
      <c r="AA345" s="144">
        <f>IFERROR(Z345/F345,0)</f>
        <v/>
      </c>
      <c r="AB345" s="142">
        <f>X345-(P345+W345)/1.06</f>
        <v/>
      </c>
      <c r="AC345" s="144">
        <f>IFERROR(AB345/F345,0)</f>
        <v/>
      </c>
    </row>
    <row r="346" ht="14.25" customHeight="1" s="65">
      <c r="A346" s="146" t="inlineStr">
        <is>
          <t>7.27-8.2</t>
        </is>
      </c>
      <c r="B346" s="147" t="n">
        <v>947413291596</v>
      </c>
      <c r="C346" s="146" t="inlineStr">
        <is>
          <t>杯面混搭</t>
        </is>
      </c>
      <c r="D346" s="146" t="inlineStr">
        <is>
          <t>印尼进口营多捞面杯面原味甜辣蘑菇味整箱速食拌面拉面泡面方便面</t>
        </is>
      </c>
      <c r="E346" s="148" t="n">
        <v>55.15</v>
      </c>
      <c r="F346" s="148">
        <f>IFERROR(E346/1.13,0)</f>
        <v/>
      </c>
      <c r="G346" s="149" t="n">
        <v>2</v>
      </c>
      <c r="H346" s="150">
        <f>IFERROR(G346/SUMIF($A:$A,A346,$G:$G),0)</f>
        <v/>
      </c>
      <c r="I346" s="148">
        <f>IFERROR(E346/G346,0)</f>
        <v/>
      </c>
      <c r="J346" s="148" t="n">
        <v>5.54781755762629</v>
      </c>
      <c r="K346" s="148" t="n">
        <v>2.34530161844044</v>
      </c>
      <c r="L346" s="151">
        <f>IFERROR(K346/J346,0)</f>
        <v/>
      </c>
      <c r="M346" s="148" t="n">
        <v>1.00765080922021</v>
      </c>
      <c r="N346" s="148" t="n">
        <v>2.16749877390878</v>
      </c>
      <c r="O346" s="151">
        <f>IFERROR(N346/M346,0)</f>
        <v/>
      </c>
      <c r="P346" s="148">
        <f>J346+M346</f>
        <v/>
      </c>
      <c r="Q346" s="148">
        <f>K346+N346</f>
        <v/>
      </c>
      <c r="R346" s="151">
        <f>IFERROR(Q346/P346,0)</f>
        <v/>
      </c>
      <c r="S346" s="150">
        <f>IFERROR(P346/SUMIF($A:$A,A346,$P:$P),0)</f>
        <v/>
      </c>
      <c r="T346" s="150">
        <f>IFERROR(P346/E346,0)</f>
        <v/>
      </c>
      <c r="U346" s="148">
        <f>E346-Q346</f>
        <v/>
      </c>
      <c r="V346" s="150">
        <f>IFERROR(U346/E346,0)</f>
        <v/>
      </c>
      <c r="W346" s="148">
        <f>IFERROR(VLOOKUP(A346,周报其他费用!$A:$B,2,FALSE)*H346,0)</f>
        <v/>
      </c>
      <c r="X346" s="148" t="n">
        <v>6.768</v>
      </c>
      <c r="Y346" s="150">
        <f>IFERROR(X346/F346,0)</f>
        <v/>
      </c>
      <c r="Z346" s="148">
        <f>X346-J346/1.06</f>
        <v/>
      </c>
      <c r="AA346" s="150">
        <f>IFERROR(Z346/F346,0)</f>
        <v/>
      </c>
      <c r="AB346" s="148">
        <f>X346-(P346+W346)/1.06</f>
        <v/>
      </c>
      <c r="AC346" s="150">
        <f>IFERROR(AB346/F346,0)</f>
        <v/>
      </c>
    </row>
  </sheetData>
  <autoFilter ref="A2:AC346"/>
  <mergeCells count="1">
    <mergeCell ref="A1:AC1"/>
  </mergeCells>
  <pageMargins left="0.75" right="0.75" top="1" bottom="1" header="0.5" footer="0.5"/>
</worksheet>
</file>

<file path=xl/worksheets/sheet8.xml><?xml version="1.0" encoding="utf-8"?>
<worksheet xmlns="http://schemas.openxmlformats.org/spreadsheetml/2006/main">
  <sheetPr>
    <tabColor rgb="002E7D32"/>
    <outlinePr summaryBelow="1" summaryRight="1"/>
    <pageSetUpPr/>
  </sheetPr>
  <dimension ref="A1:C12"/>
  <sheetViews>
    <sheetView workbookViewId="0">
      <pane ySplit="3" topLeftCell="A4" activePane="bottomLeft" state="frozen"/>
      <selection pane="bottomLeft" activeCell="A1" sqref="A1"/>
    </sheetView>
  </sheetViews>
  <sheetFormatPr baseColWidth="8" defaultRowHeight="15"/>
  <cols>
    <col width="14" customWidth="1" style="65" min="1" max="1"/>
    <col width="14" customWidth="1" style="65" min="2" max="2"/>
    <col width="28" customWidth="1" style="65" min="3" max="3"/>
  </cols>
  <sheetData>
    <row r="1" ht="30" customHeight="1" s="65">
      <c r="A1" s="82" t="inlineStr">
        <is>
          <t>周报其他费用（输入表）</t>
        </is>
      </c>
      <c r="B1" s="82" t="n"/>
      <c r="C1" s="82" t="n"/>
    </row>
    <row r="2" ht="22" customHeight="1" s="65">
      <c r="A2" s="83" t="inlineStr">
        <is>
          <t>绿色单元格为输入；数据源其他费用通过 VLOOKUP 引用本表</t>
        </is>
      </c>
      <c r="B2" s="83" t="n"/>
      <c r="C2" s="83" t="n"/>
    </row>
    <row r="3" ht="24" customHeight="1" s="65">
      <c r="A3" s="87" t="inlineStr">
        <is>
          <t>周次</t>
        </is>
      </c>
      <c r="B3" s="87" t="inlineStr">
        <is>
          <t>周报其他费用</t>
        </is>
      </c>
      <c r="C3" s="87" t="inlineStr">
        <is>
          <t>说明</t>
        </is>
      </c>
    </row>
    <row r="4">
      <c r="A4" s="99" t="inlineStr">
        <is>
          <t>5.11-5.17</t>
        </is>
      </c>
      <c r="B4" s="153" t="n">
        <v>1911</v>
      </c>
      <c r="C4" s="154" t="inlineStr">
        <is>
          <t>以旗舰店周报为准（输入）</t>
        </is>
      </c>
    </row>
    <row r="5">
      <c r="A5" s="99" t="inlineStr">
        <is>
          <t>5.25-5.31</t>
        </is>
      </c>
      <c r="B5" s="153" t="n">
        <v>1911</v>
      </c>
      <c r="C5" s="154" t="inlineStr">
        <is>
          <t>以旗舰店周报为准（输入）</t>
        </is>
      </c>
    </row>
    <row r="6">
      <c r="A6" s="99" t="inlineStr">
        <is>
          <t>6.15-6.21</t>
        </is>
      </c>
      <c r="B6" s="153" t="n">
        <v>3605</v>
      </c>
      <c r="C6" s="154" t="inlineStr">
        <is>
          <t>以旗舰店周报为准（输入）</t>
        </is>
      </c>
    </row>
    <row r="7">
      <c r="A7" s="99" t="inlineStr">
        <is>
          <t>6.22-6.28</t>
        </is>
      </c>
      <c r="B7" s="153" t="n">
        <v>3605</v>
      </c>
      <c r="C7" s="154" t="inlineStr">
        <is>
          <t>以旗舰店周报为准（输入）</t>
        </is>
      </c>
    </row>
    <row r="8">
      <c r="A8" s="99" t="inlineStr">
        <is>
          <t>6.29-7.5</t>
        </is>
      </c>
      <c r="B8" s="153" t="n">
        <v>1951</v>
      </c>
      <c r="C8" s="154" t="inlineStr">
        <is>
          <t>以旗舰店周报为准（输入）</t>
        </is>
      </c>
    </row>
    <row r="9">
      <c r="A9" s="99" t="inlineStr">
        <is>
          <t>7.6-7.12</t>
        </is>
      </c>
      <c r="B9" s="153" t="n">
        <v>2054</v>
      </c>
      <c r="C9" s="154" t="inlineStr">
        <is>
          <t>以旗舰店周报为准（输入）</t>
        </is>
      </c>
    </row>
    <row r="10">
      <c r="A10" s="99" t="inlineStr">
        <is>
          <t>7.13-7.19</t>
        </is>
      </c>
      <c r="B10" s="153" t="n">
        <v>2405</v>
      </c>
      <c r="C10" s="154" t="inlineStr">
        <is>
          <t>以旗舰店周报为准（输入）</t>
        </is>
      </c>
    </row>
    <row r="11">
      <c r="A11" s="99" t="inlineStr">
        <is>
          <t>7.20-7.26</t>
        </is>
      </c>
      <c r="B11" s="153" t="n">
        <v>2097</v>
      </c>
      <c r="C11" s="154" t="inlineStr">
        <is>
          <t>以旗舰店周报为准（输入）</t>
        </is>
      </c>
    </row>
    <row r="12">
      <c r="A12" s="99" t="inlineStr">
        <is>
          <t>7.27-8.2</t>
        </is>
      </c>
      <c r="B12" s="153" t="n">
        <v>2127</v>
      </c>
      <c r="C12" s="154" t="inlineStr">
        <is>
          <t>以旗舰店周报为准（输入）</t>
        </is>
      </c>
    </row>
  </sheetData>
  <mergeCells count="2">
    <mergeCell ref="A1:C1"/>
    <mergeCell ref="A2:C2"/>
  </mergeCells>
  <pageMargins left="0.75" right="0.75" top="1" bottom="1" header="0.5" footer="0.5"/>
</worksheet>
</file>

<file path=xl/worksheets/sheet9.xml><?xml version="1.0" encoding="utf-8"?>
<worksheet xmlns="http://schemas.openxmlformats.org/spreadsheetml/2006/main">
  <sheetPr>
    <tabColor rgb="00EF6C00"/>
    <outlinePr summaryBelow="1" summaryRight="1"/>
    <pageSetUpPr/>
  </sheetPr>
  <dimension ref="A1:D33"/>
  <sheetViews>
    <sheetView workbookViewId="0">
      <selection activeCell="A1" sqref="A1"/>
    </sheetView>
  </sheetViews>
  <sheetFormatPr baseColWidth="8" defaultRowHeight="15"/>
  <cols>
    <col width="18" customWidth="1" style="65" min="1" max="1"/>
    <col width="42" customWidth="1" style="65" min="2" max="2"/>
    <col width="14" customWidth="1" style="65" min="3" max="3"/>
    <col width="14" customWidth="1" style="65" min="4" max="4"/>
  </cols>
  <sheetData>
    <row r="1" ht="30" customHeight="1" s="65">
      <c r="A1" s="82" t="inlineStr">
        <is>
          <t>修订说明与一致性核对</t>
        </is>
      </c>
      <c r="B1" s="82" t="n"/>
      <c r="C1" s="82" t="n"/>
      <c r="D1" s="82" t="n"/>
    </row>
    <row r="2" ht="22" customHeight="1" s="65">
      <c r="A2" s="83" t="inlineStr">
        <is>
          <t>标签修订后的结构修复、格式美化，以及仍待人工确认项</t>
        </is>
      </c>
      <c r="B2" s="83" t="n"/>
      <c r="C2" s="83" t="n"/>
      <c r="D2" s="83" t="n"/>
    </row>
    <row r="4" ht="24" customHeight="1" s="65">
      <c r="A4" s="84" t="inlineStr">
        <is>
          <t>一、你已修好（数据源标签）</t>
        </is>
      </c>
      <c r="B4" s="84" t="n"/>
      <c r="C4" s="84" t="n"/>
      <c r="D4" s="84" t="n"/>
    </row>
    <row r="5" ht="32" customHeight="1" s="65">
      <c r="A5" s="95" t="inlineStr">
        <is>
          <t>648600900806 全期→30包；648681860568 全期→杯面次链接；648598580775 全期→15包。当周品名与定位一致。</t>
        </is>
      </c>
      <c r="B5" s="96" t="n"/>
      <c r="C5" s="96" t="n"/>
      <c r="D5" s="96" t="n"/>
    </row>
    <row r="7" ht="24" customHeight="1" s="65">
      <c r="A7" s="84" t="inlineStr">
        <is>
          <t>二、本次已自动修复 / 美化</t>
        </is>
      </c>
      <c r="B7" s="84" t="n"/>
      <c r="C7" s="84" t="n"/>
      <c r="D7" s="84" t="n"/>
    </row>
    <row r="8">
      <c r="A8" s="97" t="inlineStr">
        <is>
          <t>1. 其他费用外链失效 → 本文件「周报其他费用」</t>
        </is>
      </c>
      <c r="B8" s="98" t="n"/>
      <c r="C8" s="98" t="n"/>
      <c r="D8" s="98" t="n"/>
    </row>
    <row r="9">
      <c r="A9" s="93" t="inlineStr">
        <is>
          <t>2. 全量ID外链失效 → 本文件「数据源」</t>
        </is>
      </c>
      <c r="B9" s="94" t="n"/>
      <c r="C9" s="94" t="n"/>
      <c r="D9" s="94" t="n"/>
    </row>
    <row r="10">
      <c r="A10" s="97" t="inlineStr">
        <is>
          <t>3. 整体周趋势改为数据源9周公式（去掉店铺混周）</t>
        </is>
      </c>
      <c r="B10" s="98" t="n"/>
      <c r="C10" s="98" t="n"/>
      <c r="D10" s="98" t="n"/>
    </row>
    <row r="11">
      <c r="A11" s="93" t="inlineStr">
        <is>
          <t>4. 近周归因 / TOP5 / 大大 / 全量ID 与修订标签重同步</t>
        </is>
      </c>
      <c r="B11" s="94" t="n"/>
      <c r="C11" s="94" t="n"/>
      <c r="D11" s="94" t="n"/>
    </row>
    <row r="12">
      <c r="A12" s="97" t="inlineStr">
        <is>
          <t>5. 同义定位归一；空定位补齐；巴东费率改为实测约23%–36%</t>
        </is>
      </c>
      <c r="B12" s="98" t="n"/>
      <c r="C12" s="98" t="n"/>
      <c r="D12" s="98" t="n"/>
    </row>
    <row r="13">
      <c r="A13" s="93" t="inlineStr">
        <is>
          <t>6. 全表统一：标题带、表头、斑马线、数字格式、条件格式、冻结窗格、筛选</t>
        </is>
      </c>
      <c r="B13" s="94" t="n"/>
      <c r="C13" s="94" t="n"/>
      <c r="D13" s="94" t="n"/>
    </row>
    <row r="15" ht="24" customHeight="1" s="65">
      <c r="A15" s="84" t="inlineStr">
        <is>
          <t>三、仍建议人工确认（同一ID跨周品名变化）</t>
        </is>
      </c>
      <c r="B15" s="84" t="n"/>
      <c r="C15" s="84" t="n"/>
      <c r="D15" s="84" t="n"/>
    </row>
    <row r="16" ht="24" customHeight="1" s="65">
      <c r="A16" s="87" t="inlineStr">
        <is>
          <t>商品ID</t>
        </is>
      </c>
      <c r="B16" s="87" t="inlineStr">
        <is>
          <t>现象</t>
        </is>
      </c>
      <c r="C16" s="155" t="n"/>
      <c r="D16" s="155" t="n"/>
    </row>
    <row r="17">
      <c r="A17" s="130" t="inlineStr">
        <is>
          <t>1058280415678</t>
        </is>
      </c>
      <c r="B17" s="132" t="inlineStr">
        <is>
          <t>品名2种 / 定位['原味大包', '巴东牛肉']</t>
        </is>
      </c>
      <c r="C17" s="156" t="n"/>
      <c r="D17" s="156" t="n"/>
    </row>
    <row r="18">
      <c r="A18" s="130" t="inlineStr">
        <is>
          <t>766165464414</t>
        </is>
      </c>
      <c r="B18" s="132" t="inlineStr">
        <is>
          <t>品名2种 / 定位['12包', '巴东牛肉']</t>
        </is>
      </c>
      <c r="C18" s="156" t="n"/>
      <c r="D18" s="156" t="n"/>
    </row>
    <row r="19">
      <c r="A19" s="130" t="inlineStr">
        <is>
          <t>1013887677295</t>
        </is>
      </c>
      <c r="B19" s="132" t="inlineStr">
        <is>
          <t>品名2种 / 定位['原味大包', '混搭5杯']</t>
        </is>
      </c>
      <c r="C19" s="156" t="n"/>
      <c r="D19" s="156" t="n"/>
    </row>
    <row r="20">
      <c r="A20" s="130" t="inlineStr">
        <is>
          <t>1060999732877</t>
        </is>
      </c>
      <c r="B20" s="132" t="inlineStr">
        <is>
          <t>品名2种 / 定位['原味大包']</t>
        </is>
      </c>
      <c r="C20" s="156" t="n"/>
      <c r="D20" s="156" t="n"/>
    </row>
    <row r="21">
      <c r="A21" s="130" t="inlineStr">
        <is>
          <t>929504658691</t>
        </is>
      </c>
      <c r="B21" s="132" t="inlineStr">
        <is>
          <t>品名2种 / 定位['巴东牛肉', '日式袋面', '日韩袋面']</t>
        </is>
      </c>
      <c r="C21" s="156" t="n"/>
      <c r="D21" s="156" t="n"/>
    </row>
    <row r="22">
      <c r="A22" s="130" t="inlineStr">
        <is>
          <t>1059563993918</t>
        </is>
      </c>
      <c r="B22" s="132" t="inlineStr">
        <is>
          <t>品名2种 / 定位['原味大包', '巴东牛肉']</t>
        </is>
      </c>
      <c r="C22" s="156" t="n"/>
      <c r="D22" s="156" t="n"/>
    </row>
    <row r="23">
      <c r="A23" s="130" t="inlineStr">
        <is>
          <t>932687928859</t>
        </is>
      </c>
      <c r="B23" s="132" t="inlineStr">
        <is>
          <t>品名2种 / 定位['8包组合', '杯面混搭']</t>
        </is>
      </c>
      <c r="C23" s="156" t="n"/>
      <c r="D23" s="156" t="n"/>
    </row>
    <row r="24">
      <c r="A24" s="130" t="inlineStr">
        <is>
          <t>947413291596</t>
        </is>
      </c>
      <c r="B24" s="132" t="inlineStr">
        <is>
          <t>品名2种 / 定位['杯面', '杯面混搭']</t>
        </is>
      </c>
      <c r="C24" s="156" t="n"/>
      <c r="D24" s="156" t="n"/>
    </row>
    <row r="25">
      <c r="A25" s="130" t="inlineStr">
        <is>
          <t>903183018417</t>
        </is>
      </c>
      <c r="B25" s="132" t="inlineStr">
        <is>
          <t>品名2种 / 定位['七口味混搭', '杯面混搭']</t>
        </is>
      </c>
      <c r="C25" s="156" t="n"/>
      <c r="D25" s="156" t="n"/>
    </row>
    <row r="26">
      <c r="A26" s="130" t="inlineStr">
        <is>
          <t>976479938842</t>
        </is>
      </c>
      <c r="B26" s="132" t="inlineStr">
        <is>
          <t>品名2种 / 定位['【U选】原味5', '杯面混搭']</t>
        </is>
      </c>
      <c r="C26" s="156" t="n"/>
      <c r="D26" s="156" t="n"/>
    </row>
    <row r="27">
      <c r="A27" s="130" t="inlineStr">
        <is>
          <t>949962665617</t>
        </is>
      </c>
      <c r="B27" s="132" t="inlineStr">
        <is>
          <t>品名2种 / 定位['组合', '韩式袋面']</t>
        </is>
      </c>
      <c r="C27" s="156" t="n"/>
      <c r="D27" s="156" t="n"/>
    </row>
    <row r="28">
      <c r="A28" s="130" t="inlineStr">
        <is>
          <t>898120785283</t>
        </is>
      </c>
      <c r="B28" s="132" t="inlineStr">
        <is>
          <t>品名3种 / 定位['十全十美', '番茄', '韩式袋面']</t>
        </is>
      </c>
      <c r="C28" s="156" t="n"/>
      <c r="D28" s="156" t="n"/>
    </row>
    <row r="29">
      <c r="A29" s="130" t="inlineStr">
        <is>
          <t>976466902934</t>
        </is>
      </c>
      <c r="B29" s="132" t="inlineStr">
        <is>
          <t>品名2种 / 定位['【U选】日式原杯1+日式辣杯1', '日韩杯面', '杯面混搭']</t>
        </is>
      </c>
      <c r="C29" s="156" t="n"/>
      <c r="D29" s="156" t="n"/>
    </row>
    <row r="30">
      <c r="A30" s="130" t="inlineStr">
        <is>
          <t>976467954327</t>
        </is>
      </c>
      <c r="B30" s="132" t="inlineStr">
        <is>
          <t>品名2种 / 定位['【U选】韩式蘑菇1+日式辣杯1', '十全十美', '日韩杯面']</t>
        </is>
      </c>
      <c r="C30" s="156" t="n"/>
      <c r="D30" s="156" t="n"/>
    </row>
    <row r="31">
      <c r="A31" s="130" t="inlineStr">
        <is>
          <t>1019572719528</t>
        </is>
      </c>
      <c r="B31" s="132" t="inlineStr">
        <is>
          <t>品名2种 / 定位['日韩袋面', '杯面混搭']</t>
        </is>
      </c>
      <c r="C31" s="156" t="n"/>
      <c r="D31" s="156" t="n"/>
    </row>
    <row r="33">
      <c r="A33" s="157" t="inlineStr">
        <is>
          <t>影响：按ID加总利润仍可用；按同品环比/定位专题时以当周品名为准。打开后请开启Excel自动计算。</t>
        </is>
      </c>
      <c r="B33" s="158" t="n"/>
      <c r="C33" s="158" t="n"/>
      <c r="D33" s="158" t="n"/>
    </row>
  </sheetData>
  <mergeCells count="28">
    <mergeCell ref="A5:D5"/>
    <mergeCell ref="A8:D8"/>
    <mergeCell ref="B23:D23"/>
    <mergeCell ref="A4:D4"/>
    <mergeCell ref="B17:D17"/>
    <mergeCell ref="B29:D29"/>
    <mergeCell ref="A10:D10"/>
    <mergeCell ref="A13:D13"/>
    <mergeCell ref="B28:D28"/>
    <mergeCell ref="A9:D9"/>
    <mergeCell ref="B19:D19"/>
    <mergeCell ref="A15:D15"/>
    <mergeCell ref="B30:D30"/>
    <mergeCell ref="A11:D11"/>
    <mergeCell ref="B24:D24"/>
    <mergeCell ref="B20:D20"/>
    <mergeCell ref="A1:D1"/>
    <mergeCell ref="B26:D26"/>
    <mergeCell ref="A7:D7"/>
    <mergeCell ref="B25:D25"/>
    <mergeCell ref="B31:D31"/>
    <mergeCell ref="A12:D12"/>
    <mergeCell ref="B22:D22"/>
    <mergeCell ref="B18:D18"/>
    <mergeCell ref="B27:D27"/>
    <mergeCell ref="B21:D21"/>
    <mergeCell ref="A2:D2"/>
    <mergeCell ref="A33:D3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2026-08-11T13:38:00Z</dcterms:created>
  <dcterms:modified xsi:type="dcterms:W3CDTF">2026-08-13T01:49:15Z</dcterms:modified>
  <cp:lastModifiedBy>希孟</cp:lastModifiedBy>
</cp:coreProperties>
</file>

<file path=docProps/custom.xml><?xml version="1.0" encoding="utf-8"?>
<Properties xmlns:vt="http://schemas.openxmlformats.org/officeDocument/2006/docPropsVTypes" xmlns="http://schemas.openxmlformats.org/officeDocument/2006/custom-properties">
  <property name="ICV" fmtid="{D5CDD505-2E9C-101B-9397-08002B2CF9AE}" pid="2">
    <vt:lpwstr>16230D43F17F4FF8A2BAD22A6253B73C_13</vt:lpwstr>
  </property>
  <property name="KSOProductBuildVer" fmtid="{D5CDD505-2E9C-101B-9397-08002B2CF9AE}" pid="3">
    <vt:lpwstr>2052-12.1.0.28043</vt:lpwstr>
  </property>
  <property name="CalculationRule" fmtid="{D5CDD505-2E9C-101B-9397-08002B2CF9AE}" pid="4">
    <vt:i4>0</vt:i4>
  </property>
  <property name="KSOReadingLayout" fmtid="{D5CDD505-2E9C-101B-9397-08002B2CF9AE}" pid="5">
    <vt:bool>1</vt:bool>
  </property>
</Properties>
</file>