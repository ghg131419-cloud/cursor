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近三个月结论" sheetId="1" state="visible" r:id="rId1"/>
    <sheet name="02-近三个月总览" sheetId="2" state="visible" r:id="rId2"/>
    <sheet name="03-五阶段明细" sheetId="3" state="visible" r:id="rId3"/>
    <sheet name="04-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666666"/>
      <sz val="9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548235"/>
      <sz val="10"/>
    </font>
    <font>
      <name val="微软雅黑"/>
      <b val="1"/>
      <color rgb="001F4E79"/>
      <sz val="14"/>
    </font>
    <font>
      <name val="微软雅黑"/>
      <b val="1"/>
      <color rgb="00C65911"/>
      <sz val="12"/>
    </font>
    <font>
      <name val="微软雅黑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0" borderId="1" pivotButton="0" quotePrefix="0" xfId="0"/>
    <xf numFmtId="3" fontId="7" fillId="0" borderId="1" pivotButton="0" quotePrefix="0" xfId="0"/>
    <xf numFmtId="3" fontId="6" fillId="0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近三个月推广后利润</a:t>
            </a:r>
          </a:p>
        </rich>
      </tx>
    </title>
    <plotArea>
      <lineChart>
        <grouping val="standard"/>
        <ser>
          <idx val="0"/>
          <order val="0"/>
          <tx>
            <strRef>
              <f>'01-近三个月结论'!H29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'01-近三个月结论'!$A$30:$A$42</f>
            </numRef>
          </cat>
          <val>
            <numRef>
              <f>'01-近三个月结论'!$H$30:$H$42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推广前利润 vs 推广投入</a:t>
            </a:r>
          </a:p>
        </rich>
      </tx>
    </title>
    <plotArea>
      <lineChart>
        <grouping val="standard"/>
        <ser>
          <idx val="0"/>
          <order val="0"/>
          <tx>
            <strRef>
              <f>'01-近三个月结论'!D29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'01-近三个月结论'!$A$30:$A$42</f>
            </numRef>
          </cat>
          <val>
            <numRef>
              <f>'01-近三个月结论'!$D$30:$D$42</f>
            </numRef>
          </val>
        </ser>
        <ser>
          <idx val="1"/>
          <order val="1"/>
          <tx>
            <strRef>
              <f>'01-近三个月结论'!F29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'01-近三个月结论'!$A$30:$A$42</f>
            </numRef>
          </cat>
          <val>
            <numRef>
              <f>'01-近三个月结论'!$F$30:$F$42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天猫旗舰店近三个月利润下降原因分析</t>
        </is>
      </c>
    </row>
    <row r="2">
      <c r="A2" s="2" t="inlineStr">
        <is>
          <t>分析窗口：5.11-5.17 → 8.3-8.9（共13周）｜店铺级周报｜单位：元</t>
        </is>
      </c>
    </row>
    <row r="4">
      <c r="A4" s="3" t="inlineStr">
        <is>
          <t>一、近三个月利润下降原因</t>
        </is>
      </c>
    </row>
    <row r="5">
      <c r="A5" s="4" t="inlineStr">
        <is>
          <t>序号</t>
        </is>
      </c>
      <c r="B5" s="4" t="inlineStr">
        <is>
          <t>说明</t>
        </is>
      </c>
    </row>
    <row r="6" ht="40" customHeight="1">
      <c r="A6" s="5" t="n">
        <v>1</v>
      </c>
      <c r="B6" s="5" t="inlineStr">
        <is>
          <t>近三个月（5.11-5.17至8.3-8.9）推广后利润周均 -6426，合计 -83535；整体持续亏损。</t>
        </is>
      </c>
    </row>
    <row r="7" ht="40" customHeight="1">
      <c r="A7" s="6" t="n">
        <v>2</v>
      </c>
      <c r="B7" s="6" t="inlineStr">
        <is>
          <t>窗口内最好周：7.6-7.12（-4109）；最差周：6.8-6.14（-8672）；最新周：8.3-8.9（-5821），相对最好周 -1712。</t>
        </is>
      </c>
    </row>
    <row r="8" ht="40" customHeight="1">
      <c r="A8" s="5" t="n">
        <v>3</v>
      </c>
      <c r="B8" s="5" t="inlineStr">
        <is>
          <t>首周→末周：推广后 -7161→-5821（+1340）；推广前 15585→17449（+1864）；推广投入 22200→22254（+54）。</t>
        </is>
      </c>
    </row>
    <row r="9" ht="40" customHeight="1">
      <c r="A9" s="6" t="n">
        <v>4</v>
      </c>
      <c r="B9" s="6" t="inlineStr">
        <is>
          <t>逐周回落归因（仅统计推广后环比为负的周）：主要是推广前利润下降：4周，环比恶化合计 -2998；主要是推广费上升：2周，环比恶化合计 -1170。</t>
        </is>
      </c>
    </row>
    <row r="10" ht="40" customHeight="1">
      <c r="A10" s="5" t="n">
        <v>5</v>
      </c>
      <c r="B10" s="5" t="inlineStr">
        <is>
          <t>结构结论：近三个月呈现“5-6月推广前利润偏弱 → 7.6触达相对最好 → 7月中下旬先因推广前走弱、再因推广费抬升回落 → 7.27短暂修复 → 8.3再因推广费上升恶化”。</t>
        </is>
      </c>
    </row>
    <row r="11" ht="40" customHeight="1">
      <c r="A11" s="6" t="n">
        <v>6</v>
      </c>
      <c r="B11" s="6" t="inlineStr">
        <is>
          <t>一句话：近三个月利润压力=推广前利润不够稳 + 推广费在回落后反弹过快；不是单一周、单一因素。</t>
        </is>
      </c>
    </row>
    <row r="12" ht="40" customHeight="1">
      <c r="A12" s="5" t="n">
        <v>7</v>
      </c>
      <c r="B12" s="5" t="inlineStr">
        <is>
          <t>阶段A 5月中→6月上（5.11-5.17→6.8-6.14）：推广后 -1511；推广前 -1803，推广投入 -2004 → 主要是推广前利润下降。</t>
        </is>
      </c>
    </row>
    <row r="13" ht="40" customHeight="1">
      <c r="A13" s="6" t="n">
        <v>8</v>
      </c>
      <c r="B13" s="6" t="inlineStr">
        <is>
          <t>阶段B 6月上→7月上（6.8-6.14→7.6-7.12）：推广后 +4563；推广前 +3079，推广投入 -22 → 本期改善。</t>
        </is>
      </c>
    </row>
    <row r="14" ht="40" customHeight="1">
      <c r="A14" s="5" t="n">
        <v>9</v>
      </c>
      <c r="B14" s="5" t="inlineStr">
        <is>
          <t>阶段C 7月上→7月中下（7.6-7.12→7.20-7.26）：推广后 -1473；推广前 -3316，推广投入 -1997 → 主要是推广前利润下降。</t>
        </is>
      </c>
    </row>
    <row r="15" ht="40" customHeight="1">
      <c r="A15" s="6" t="n">
        <v>10</v>
      </c>
      <c r="B15" s="6" t="inlineStr">
        <is>
          <t>阶段D 7月下改善（7.20-7.26→7.27-8.2）：推广后 +493；推广前 +1491，推广投入 +1028 → 本期改善。</t>
        </is>
      </c>
    </row>
    <row r="16" ht="40" customHeight="1">
      <c r="A16" s="5" t="n">
        <v>11</v>
      </c>
      <c r="B16" s="5" t="inlineStr">
        <is>
          <t>阶段E 8月初再降（7.27-8.2→8.3-8.9）：推广后 -732；推广前 +2413，推广投入 +3049 → 主要是推广费上升。</t>
        </is>
      </c>
    </row>
    <row r="19">
      <c r="A19" s="3" t="inlineStr">
        <is>
          <t>二、近三个月五阶段拆解</t>
        </is>
      </c>
    </row>
    <row r="20">
      <c r="A20" s="7" t="inlineStr">
        <is>
          <t>阶段</t>
        </is>
      </c>
      <c r="B20" s="7" t="inlineStr">
        <is>
          <t>起点</t>
        </is>
      </c>
      <c r="C20" s="7" t="inlineStr">
        <is>
          <t>终点</t>
        </is>
      </c>
      <c r="D20" s="7" t="inlineStr">
        <is>
          <t>起点推广后</t>
        </is>
      </c>
      <c r="E20" s="7" t="inlineStr">
        <is>
          <t>终点推广后</t>
        </is>
      </c>
      <c r="F20" s="7" t="inlineStr">
        <is>
          <t>推广后变化</t>
        </is>
      </c>
      <c r="G20" s="7" t="inlineStr">
        <is>
          <t>推广前变化</t>
        </is>
      </c>
      <c r="H20" s="7" t="inlineStr">
        <is>
          <t>推广投入变化</t>
        </is>
      </c>
      <c r="I20" s="7" t="inlineStr">
        <is>
          <t>GMV变化</t>
        </is>
      </c>
      <c r="J20" s="7" t="inlineStr">
        <is>
          <t>主因</t>
        </is>
      </c>
      <c r="K20" s="7" t="inlineStr">
        <is>
          <t>说明</t>
        </is>
      </c>
    </row>
    <row r="21">
      <c r="A21" s="8" t="inlineStr">
        <is>
          <t>阶段A 5月中→6月上</t>
        </is>
      </c>
      <c r="B21" s="8" t="inlineStr">
        <is>
          <t>5.11-5.17</t>
        </is>
      </c>
      <c r="C21" s="8" t="inlineStr">
        <is>
          <t>6.8-6.14</t>
        </is>
      </c>
      <c r="D21" s="9" t="n">
        <v>-7161</v>
      </c>
      <c r="E21" s="9" t="n">
        <v>-8672</v>
      </c>
      <c r="F21" s="9" t="n">
        <v>-1511</v>
      </c>
      <c r="G21" s="9" t="n">
        <v>-1803</v>
      </c>
      <c r="H21" s="9" t="n">
        <v>-2004</v>
      </c>
      <c r="I21" s="9" t="n">
        <v>-16446</v>
      </c>
      <c r="J21" s="8" t="inlineStr">
        <is>
          <t>主要是推广前利润下降</t>
        </is>
      </c>
      <c r="K21" s="8" t="inlineStr">
        <is>
          <t>五月末至六月上旬走弱</t>
        </is>
      </c>
    </row>
    <row r="22">
      <c r="A22" s="10" t="inlineStr">
        <is>
          <t>阶段B 6月上→7月上</t>
        </is>
      </c>
      <c r="B22" s="10" t="inlineStr">
        <is>
          <t>6.8-6.14</t>
        </is>
      </c>
      <c r="C22" s="10" t="inlineStr">
        <is>
          <t>7.6-7.12</t>
        </is>
      </c>
      <c r="D22" s="11" t="n">
        <v>-8672</v>
      </c>
      <c r="E22" s="11" t="n">
        <v>-4109</v>
      </c>
      <c r="F22" s="12" t="n">
        <v>4563</v>
      </c>
      <c r="G22" s="12" t="n">
        <v>3079</v>
      </c>
      <c r="H22" s="11" t="n">
        <v>-22</v>
      </c>
      <c r="I22" s="12" t="n">
        <v>18007</v>
      </c>
      <c r="J22" s="10" t="inlineStr">
        <is>
          <t>本期改善</t>
        </is>
      </c>
      <c r="K22" s="10" t="inlineStr">
        <is>
          <t>触底后回升到近3月最好周</t>
        </is>
      </c>
    </row>
    <row r="23">
      <c r="A23" s="8" t="inlineStr">
        <is>
          <t>阶段C 7月上→7月中下</t>
        </is>
      </c>
      <c r="B23" s="8" t="inlineStr">
        <is>
          <t>7.6-7.12</t>
        </is>
      </c>
      <c r="C23" s="8" t="inlineStr">
        <is>
          <t>7.20-7.26</t>
        </is>
      </c>
      <c r="D23" s="9" t="n">
        <v>-4109</v>
      </c>
      <c r="E23" s="9" t="n">
        <v>-5582</v>
      </c>
      <c r="F23" s="9" t="n">
        <v>-1473</v>
      </c>
      <c r="G23" s="9" t="n">
        <v>-3316</v>
      </c>
      <c r="H23" s="9" t="n">
        <v>-1997</v>
      </c>
      <c r="I23" s="9" t="n">
        <v>-24305</v>
      </c>
      <c r="J23" s="8" t="inlineStr">
        <is>
          <t>主要是推广前利润下降</t>
        </is>
      </c>
      <c r="K23" s="8" t="inlineStr">
        <is>
          <t>最好周后连续回落</t>
        </is>
      </c>
    </row>
    <row r="24">
      <c r="A24" s="10" t="inlineStr">
        <is>
          <t>阶段D 7月下改善</t>
        </is>
      </c>
      <c r="B24" s="10" t="inlineStr">
        <is>
          <t>7.20-7.26</t>
        </is>
      </c>
      <c r="C24" s="10" t="inlineStr">
        <is>
          <t>7.27-8.2</t>
        </is>
      </c>
      <c r="D24" s="11" t="n">
        <v>-5582</v>
      </c>
      <c r="E24" s="11" t="n">
        <v>-5089</v>
      </c>
      <c r="F24" s="12" t="n">
        <v>493</v>
      </c>
      <c r="G24" s="12" t="n">
        <v>1491</v>
      </c>
      <c r="H24" s="12" t="n">
        <v>1028</v>
      </c>
      <c r="I24" s="12" t="n">
        <v>11381</v>
      </c>
      <c r="J24" s="10" t="inlineStr">
        <is>
          <t>本期改善</t>
        </is>
      </c>
      <c r="K24" s="10" t="inlineStr">
        <is>
          <t>短暂修复</t>
        </is>
      </c>
    </row>
    <row r="25">
      <c r="A25" s="8" t="inlineStr">
        <is>
          <t>阶段E 8月初再降</t>
        </is>
      </c>
      <c r="B25" s="8" t="inlineStr">
        <is>
          <t>7.27-8.2</t>
        </is>
      </c>
      <c r="C25" s="8" t="inlineStr">
        <is>
          <t>8.3-8.9</t>
        </is>
      </c>
      <c r="D25" s="9" t="n">
        <v>-5089</v>
      </c>
      <c r="E25" s="9" t="n">
        <v>-5821</v>
      </c>
      <c r="F25" s="9" t="n">
        <v>-732</v>
      </c>
      <c r="G25" s="13" t="n">
        <v>2413</v>
      </c>
      <c r="H25" s="13" t="n">
        <v>3049</v>
      </c>
      <c r="I25" s="13" t="n">
        <v>16743</v>
      </c>
      <c r="J25" s="8" t="inlineStr">
        <is>
          <t>主要是推广费上升</t>
        </is>
      </c>
      <c r="K25" s="8" t="inlineStr">
        <is>
          <t>推广费抬升导致再恶化</t>
        </is>
      </c>
    </row>
    <row r="28">
      <c r="A28" s="3" t="inlineStr">
        <is>
          <t>三、近三个月逐周明细</t>
        </is>
      </c>
    </row>
    <row r="29">
      <c r="A29" s="4" t="inlineStr">
        <is>
          <t>周次</t>
        </is>
      </c>
      <c r="B29" s="4" t="inlineStr">
        <is>
          <t>GMV</t>
        </is>
      </c>
      <c r="C29" s="4" t="inlineStr">
        <is>
          <t>去退金额</t>
        </is>
      </c>
      <c r="D29" s="4" t="inlineStr">
        <is>
          <t>推广前利润</t>
        </is>
      </c>
      <c r="E29" s="4" t="inlineStr">
        <is>
          <t>推广前环比</t>
        </is>
      </c>
      <c r="F29" s="4" t="inlineStr">
        <is>
          <t>推广投入</t>
        </is>
      </c>
      <c r="G29" s="4" t="inlineStr">
        <is>
          <t>推广费环比</t>
        </is>
      </c>
      <c r="H29" s="4" t="inlineStr">
        <is>
          <t>推广后利润</t>
        </is>
      </c>
      <c r="I29" s="4" t="inlineStr">
        <is>
          <t>推广后环比</t>
        </is>
      </c>
      <c r="J29" s="4" t="inlineStr">
        <is>
          <t>推广费率</t>
        </is>
      </c>
      <c r="K29" s="4" t="inlineStr">
        <is>
          <t>下降主因</t>
        </is>
      </c>
    </row>
    <row r="30">
      <c r="A30" s="14" t="inlineStr">
        <is>
          <t>5.11-5.17</t>
        </is>
      </c>
      <c r="B30" s="15" t="n">
        <v>130304</v>
      </c>
      <c r="C30" s="15" t="n">
        <v>117828</v>
      </c>
      <c r="D30" s="15" t="n">
        <v>15585</v>
      </c>
      <c r="E30" s="14" t="n"/>
      <c r="F30" s="15" t="n">
        <v>22200</v>
      </c>
      <c r="G30" s="14" t="n"/>
      <c r="H30" s="16" t="n">
        <v>-7161</v>
      </c>
      <c r="I30" s="14" t="n"/>
      <c r="J30" s="17" t="n">
        <v>0.1884</v>
      </c>
      <c r="K30" s="14" t="inlineStr"/>
    </row>
    <row r="31">
      <c r="A31" s="14" t="inlineStr">
        <is>
          <t>5.18-5.24</t>
        </is>
      </c>
      <c r="B31" s="15" t="n">
        <v>139241</v>
      </c>
      <c r="C31" s="15" t="n">
        <v>123811</v>
      </c>
      <c r="D31" s="15" t="n">
        <v>16979</v>
      </c>
      <c r="E31" s="15" t="n">
        <v>1394</v>
      </c>
      <c r="F31" s="15" t="n">
        <v>23198</v>
      </c>
      <c r="G31" s="15" t="n">
        <v>998</v>
      </c>
      <c r="H31" s="16" t="n">
        <v>-6709</v>
      </c>
      <c r="I31" s="15" t="n">
        <v>452</v>
      </c>
      <c r="J31" s="17" t="n">
        <v>0.1874</v>
      </c>
      <c r="K31" s="14" t="inlineStr">
        <is>
          <t>改善/持平</t>
        </is>
      </c>
    </row>
    <row r="32">
      <c r="A32" s="8" t="inlineStr">
        <is>
          <t>5.25-5.31</t>
        </is>
      </c>
      <c r="B32" s="13" t="n">
        <v>139104</v>
      </c>
      <c r="C32" s="13" t="n">
        <v>122700</v>
      </c>
      <c r="D32" s="13" t="n">
        <v>16534</v>
      </c>
      <c r="E32" s="9" t="n">
        <v>-445</v>
      </c>
      <c r="F32" s="13" t="n">
        <v>22867</v>
      </c>
      <c r="G32" s="9" t="n">
        <v>-331</v>
      </c>
      <c r="H32" s="9" t="n">
        <v>-6842</v>
      </c>
      <c r="I32" s="9" t="n">
        <v>-133</v>
      </c>
      <c r="J32" s="18" t="n">
        <v>0.1864</v>
      </c>
      <c r="K32" s="8" t="inlineStr">
        <is>
          <t>主要是推广前利润下降</t>
        </is>
      </c>
    </row>
    <row r="33">
      <c r="A33" s="8" t="inlineStr">
        <is>
          <t>6.1-6.7</t>
        </is>
      </c>
      <c r="B33" s="13" t="n">
        <v>123012</v>
      </c>
      <c r="C33" s="13" t="n">
        <v>110687</v>
      </c>
      <c r="D33" s="13" t="n">
        <v>14905</v>
      </c>
      <c r="E33" s="9" t="n">
        <v>-1629</v>
      </c>
      <c r="F33" s="13" t="n">
        <v>20101</v>
      </c>
      <c r="G33" s="9" t="n">
        <v>-2766</v>
      </c>
      <c r="H33" s="9" t="n">
        <v>-7458</v>
      </c>
      <c r="I33" s="9" t="n">
        <v>-616</v>
      </c>
      <c r="J33" s="18" t="n">
        <v>0.1816</v>
      </c>
      <c r="K33" s="8" t="inlineStr">
        <is>
          <t>主要是推广前利润下降</t>
        </is>
      </c>
    </row>
    <row r="34">
      <c r="A34" s="8" t="inlineStr">
        <is>
          <t>6.8-6.14</t>
        </is>
      </c>
      <c r="B34" s="13" t="n">
        <v>113858</v>
      </c>
      <c r="C34" s="13" t="n">
        <v>102504</v>
      </c>
      <c r="D34" s="13" t="n">
        <v>13782</v>
      </c>
      <c r="E34" s="9" t="n">
        <v>-1123</v>
      </c>
      <c r="F34" s="13" t="n">
        <v>20196</v>
      </c>
      <c r="G34" s="13" t="n">
        <v>95</v>
      </c>
      <c r="H34" s="9" t="n">
        <v>-8672</v>
      </c>
      <c r="I34" s="9" t="n">
        <v>-1214</v>
      </c>
      <c r="J34" s="18" t="n">
        <v>0.197</v>
      </c>
      <c r="K34" s="8" t="inlineStr">
        <is>
          <t>主要是推广前利润下降</t>
        </is>
      </c>
    </row>
    <row r="35">
      <c r="A35" s="14" t="inlineStr">
        <is>
          <t>6.15-6.21</t>
        </is>
      </c>
      <c r="B35" s="15" t="n">
        <v>112643</v>
      </c>
      <c r="C35" s="15" t="n">
        <v>102323</v>
      </c>
      <c r="D35" s="15" t="n">
        <v>13834</v>
      </c>
      <c r="E35" s="15" t="n">
        <v>52</v>
      </c>
      <c r="F35" s="15" t="n">
        <v>19490</v>
      </c>
      <c r="G35" s="16" t="n">
        <v>-706</v>
      </c>
      <c r="H35" s="16" t="n">
        <v>-7953</v>
      </c>
      <c r="I35" s="15" t="n">
        <v>719</v>
      </c>
      <c r="J35" s="17" t="n">
        <v>0.1905</v>
      </c>
      <c r="K35" s="14" t="inlineStr">
        <is>
          <t>改善/持平</t>
        </is>
      </c>
    </row>
    <row r="36">
      <c r="A36" s="14" t="inlineStr">
        <is>
          <t>6.22-6.28</t>
        </is>
      </c>
      <c r="B36" s="15" t="n">
        <v>95317</v>
      </c>
      <c r="C36" s="15" t="n">
        <v>87190</v>
      </c>
      <c r="D36" s="15" t="n">
        <v>11722</v>
      </c>
      <c r="E36" s="16" t="n">
        <v>-2112</v>
      </c>
      <c r="F36" s="15" t="n">
        <v>17051</v>
      </c>
      <c r="G36" s="16" t="n">
        <v>-2439</v>
      </c>
      <c r="H36" s="16" t="n">
        <v>-7765</v>
      </c>
      <c r="I36" s="15" t="n">
        <v>188</v>
      </c>
      <c r="J36" s="17" t="n">
        <v>0.1956</v>
      </c>
      <c r="K36" s="14" t="inlineStr">
        <is>
          <t>改善/持平</t>
        </is>
      </c>
    </row>
    <row r="37">
      <c r="A37" s="14" t="inlineStr">
        <is>
          <t>6.29-7.5</t>
        </is>
      </c>
      <c r="B37" s="15" t="n">
        <v>100176</v>
      </c>
      <c r="C37" s="15" t="n">
        <v>91929</v>
      </c>
      <c r="D37" s="15" t="n">
        <v>12985</v>
      </c>
      <c r="E37" s="15" t="n">
        <v>1263</v>
      </c>
      <c r="F37" s="15" t="n">
        <v>17357</v>
      </c>
      <c r="G37" s="15" t="n">
        <v>306</v>
      </c>
      <c r="H37" s="16" t="n">
        <v>-5230</v>
      </c>
      <c r="I37" s="15" t="n">
        <v>2535</v>
      </c>
      <c r="J37" s="17" t="n">
        <v>0.1888</v>
      </c>
      <c r="K37" s="14" t="inlineStr">
        <is>
          <t>改善/持平</t>
        </is>
      </c>
    </row>
    <row r="38">
      <c r="A38" s="10" t="inlineStr">
        <is>
          <t>7.6-7.12</t>
        </is>
      </c>
      <c r="B38" s="12" t="n">
        <v>131865</v>
      </c>
      <c r="C38" s="12" t="n">
        <v>120260</v>
      </c>
      <c r="D38" s="12" t="n">
        <v>16861</v>
      </c>
      <c r="E38" s="12" t="n">
        <v>3876</v>
      </c>
      <c r="F38" s="12" t="n">
        <v>20174</v>
      </c>
      <c r="G38" s="12" t="n">
        <v>2817</v>
      </c>
      <c r="H38" s="11" t="n">
        <v>-4109</v>
      </c>
      <c r="I38" s="12" t="n">
        <v>1121</v>
      </c>
      <c r="J38" s="19" t="n">
        <v>0.1678</v>
      </c>
      <c r="K38" s="10" t="inlineStr">
        <is>
          <t>改善/持平</t>
        </is>
      </c>
    </row>
    <row r="39">
      <c r="A39" s="8" t="inlineStr">
        <is>
          <t>7.13-7.19</t>
        </is>
      </c>
      <c r="B39" s="13" t="n">
        <v>109087</v>
      </c>
      <c r="C39" s="13" t="n">
        <v>100078</v>
      </c>
      <c r="D39" s="13" t="n">
        <v>13701</v>
      </c>
      <c r="E39" s="9" t="n">
        <v>-3160</v>
      </c>
      <c r="F39" s="13" t="n">
        <v>17570</v>
      </c>
      <c r="G39" s="9" t="n">
        <v>-2604</v>
      </c>
      <c r="H39" s="9" t="n">
        <v>-5144</v>
      </c>
      <c r="I39" s="9" t="n">
        <v>-1035</v>
      </c>
      <c r="J39" s="18" t="n">
        <v>0.1756</v>
      </c>
      <c r="K39" s="8" t="inlineStr">
        <is>
          <t>主要是推广前利润下降</t>
        </is>
      </c>
    </row>
    <row r="40">
      <c r="A40" s="8" t="inlineStr">
        <is>
          <t>7.20-7.26</t>
        </is>
      </c>
      <c r="B40" s="13" t="n">
        <v>107560</v>
      </c>
      <c r="C40" s="13" t="n">
        <v>98481</v>
      </c>
      <c r="D40" s="13" t="n">
        <v>13545</v>
      </c>
      <c r="E40" s="9" t="n">
        <v>-156</v>
      </c>
      <c r="F40" s="13" t="n">
        <v>18177</v>
      </c>
      <c r="G40" s="13" t="n">
        <v>607</v>
      </c>
      <c r="H40" s="9" t="n">
        <v>-5582</v>
      </c>
      <c r="I40" s="9" t="n">
        <v>-438</v>
      </c>
      <c r="J40" s="18" t="n">
        <v>0.1846</v>
      </c>
      <c r="K40" s="8" t="inlineStr">
        <is>
          <t>主要是推广费上升</t>
        </is>
      </c>
    </row>
    <row r="41">
      <c r="A41" s="14" t="inlineStr">
        <is>
          <t>7.27-8.2</t>
        </is>
      </c>
      <c r="B41" s="15" t="n">
        <v>118941</v>
      </c>
      <c r="C41" s="15" t="n">
        <v>107318</v>
      </c>
      <c r="D41" s="15" t="n">
        <v>15036</v>
      </c>
      <c r="E41" s="15" t="n">
        <v>1491</v>
      </c>
      <c r="F41" s="15" t="n">
        <v>19205</v>
      </c>
      <c r="G41" s="15" t="n">
        <v>1028</v>
      </c>
      <c r="H41" s="16" t="n">
        <v>-5089</v>
      </c>
      <c r="I41" s="15" t="n">
        <v>493</v>
      </c>
      <c r="J41" s="17" t="n">
        <v>0.179</v>
      </c>
      <c r="K41" s="14" t="inlineStr">
        <is>
          <t>改善/持平</t>
        </is>
      </c>
    </row>
    <row r="42">
      <c r="A42" s="8" t="inlineStr">
        <is>
          <t>8.3-8.9</t>
        </is>
      </c>
      <c r="B42" s="13" t="n">
        <v>135684</v>
      </c>
      <c r="C42" s="13" t="n">
        <v>121296</v>
      </c>
      <c r="D42" s="13" t="n">
        <v>17449</v>
      </c>
      <c r="E42" s="13" t="n">
        <v>2413</v>
      </c>
      <c r="F42" s="13" t="n">
        <v>22254</v>
      </c>
      <c r="G42" s="13" t="n">
        <v>3049</v>
      </c>
      <c r="H42" s="9" t="n">
        <v>-5821</v>
      </c>
      <c r="I42" s="9" t="n">
        <v>-732</v>
      </c>
      <c r="J42" s="18" t="n">
        <v>0.1835</v>
      </c>
      <c r="K42" s="8" t="inlineStr">
        <is>
          <t>主要是推广费上升</t>
        </is>
      </c>
    </row>
    <row r="59">
      <c r="A59" s="3" t="inlineStr">
        <is>
          <t>四、近三个月：推广前利润 vs 推广投入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20" t="inlineStr">
        <is>
          <t>近三个月关键指标</t>
        </is>
      </c>
    </row>
    <row r="3">
      <c r="A3" s="4" t="inlineStr">
        <is>
          <t>指标</t>
        </is>
      </c>
      <c r="B3" s="4" t="inlineStr">
        <is>
          <t>数值</t>
        </is>
      </c>
    </row>
    <row r="4">
      <c r="A4" s="21" t="inlineStr">
        <is>
          <t>起始周</t>
        </is>
      </c>
      <c r="B4" s="21" t="inlineStr">
        <is>
          <t>5.11-5.17</t>
        </is>
      </c>
    </row>
    <row r="5">
      <c r="A5" s="21" t="inlineStr">
        <is>
          <t>结束周</t>
        </is>
      </c>
      <c r="B5" s="21" t="inlineStr">
        <is>
          <t>8.3-8.9</t>
        </is>
      </c>
    </row>
    <row r="6">
      <c r="A6" s="21" t="inlineStr">
        <is>
          <t>周数</t>
        </is>
      </c>
      <c r="B6" s="22" t="n">
        <v>13</v>
      </c>
    </row>
    <row r="7">
      <c r="A7" s="21" t="inlineStr">
        <is>
          <t>推广后利润合计</t>
        </is>
      </c>
      <c r="B7" s="23" t="n">
        <v>-83535</v>
      </c>
    </row>
    <row r="8">
      <c r="A8" s="21" t="inlineStr">
        <is>
          <t>推广后利润周均</t>
        </is>
      </c>
      <c r="B8" s="23" t="n">
        <v>-6425.76923076923</v>
      </c>
    </row>
    <row r="9">
      <c r="A9" s="21" t="inlineStr">
        <is>
          <t>推广前利润周均</t>
        </is>
      </c>
      <c r="B9" s="22" t="n">
        <v>14839.84615384615</v>
      </c>
    </row>
    <row r="10">
      <c r="A10" s="21" t="inlineStr">
        <is>
          <t>推广投入周均</t>
        </is>
      </c>
      <c r="B10" s="22" t="n">
        <v>19987.69230769231</v>
      </c>
    </row>
    <row r="11">
      <c r="A11" s="21" t="inlineStr">
        <is>
          <t>最好周</t>
        </is>
      </c>
      <c r="B11" s="21" t="inlineStr">
        <is>
          <t>7.6-7.12（-4109）</t>
        </is>
      </c>
    </row>
    <row r="12">
      <c r="A12" s="21" t="inlineStr">
        <is>
          <t>最差周</t>
        </is>
      </c>
      <c r="B12" s="21" t="inlineStr">
        <is>
          <t>6.8-6.14（-8672）</t>
        </is>
      </c>
    </row>
    <row r="13">
      <c r="A13" s="21" t="inlineStr">
        <is>
          <t>最新周相对最好周</t>
        </is>
      </c>
      <c r="B13" s="23" t="n">
        <v>-1712</v>
      </c>
    </row>
    <row r="14">
      <c r="A14" s="21" t="inlineStr">
        <is>
          <t>首周→末周推广后变化</t>
        </is>
      </c>
      <c r="B14" s="22" t="n">
        <v>1340</v>
      </c>
    </row>
    <row r="15">
      <c r="A15" s="21" t="inlineStr">
        <is>
          <t>首周→末周推广前变化</t>
        </is>
      </c>
      <c r="B15" s="22" t="n">
        <v>1864</v>
      </c>
    </row>
    <row r="16">
      <c r="A16" s="21" t="inlineStr">
        <is>
          <t>首周→末周推广投入变化</t>
        </is>
      </c>
      <c r="B16" s="22" t="n">
        <v>54</v>
      </c>
    </row>
    <row r="20">
      <c r="A20" s="24" t="inlineStr">
        <is>
          <t>下降周主因汇总</t>
        </is>
      </c>
    </row>
    <row r="21">
      <c r="A21" s="7" t="inlineStr">
        <is>
          <t>主因</t>
        </is>
      </c>
      <c r="B21" s="7" t="inlineStr">
        <is>
          <t>周数</t>
        </is>
      </c>
      <c r="C21" s="7" t="inlineStr">
        <is>
          <t>推广后环比合计</t>
        </is>
      </c>
    </row>
    <row r="22">
      <c r="A22" s="14" t="inlineStr">
        <is>
          <t>主要是推广前利润下降</t>
        </is>
      </c>
      <c r="B22" s="14" t="n">
        <v>4</v>
      </c>
      <c r="C22" s="16" t="n">
        <v>-2998</v>
      </c>
    </row>
    <row r="23">
      <c r="A23" s="14" t="inlineStr">
        <is>
          <t>主要是推广费上升</t>
        </is>
      </c>
      <c r="B23" s="14" t="n">
        <v>2</v>
      </c>
      <c r="C23" s="16" t="n">
        <v>-1170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28" customWidth="1" min="11" max="11"/>
  </cols>
  <sheetData>
    <row r="1">
      <c r="A1" s="20" t="inlineStr">
        <is>
          <t>近三个月五阶段利润变化</t>
        </is>
      </c>
    </row>
    <row r="3">
      <c r="A3" s="4" t="inlineStr">
        <is>
          <t>阶段</t>
        </is>
      </c>
      <c r="B3" s="4" t="inlineStr">
        <is>
          <t>起点</t>
        </is>
      </c>
      <c r="C3" s="4" t="inlineStr">
        <is>
          <t>终点</t>
        </is>
      </c>
      <c r="D3" s="4" t="inlineStr">
        <is>
          <t>起点推广后</t>
        </is>
      </c>
      <c r="E3" s="4" t="inlineStr">
        <is>
          <t>终点推广后</t>
        </is>
      </c>
      <c r="F3" s="4" t="inlineStr">
        <is>
          <t>推广后变化</t>
        </is>
      </c>
      <c r="G3" s="4" t="inlineStr">
        <is>
          <t>推广前变化</t>
        </is>
      </c>
      <c r="H3" s="4" t="inlineStr">
        <is>
          <t>推广投入变化</t>
        </is>
      </c>
      <c r="I3" s="4" t="inlineStr">
        <is>
          <t>GMV变化</t>
        </is>
      </c>
      <c r="J3" s="4" t="inlineStr">
        <is>
          <t>主因</t>
        </is>
      </c>
      <c r="K3" s="4" t="inlineStr">
        <is>
          <t>说明</t>
        </is>
      </c>
    </row>
    <row r="4">
      <c r="A4" s="14" t="inlineStr">
        <is>
          <t>阶段A 5月中→6月上</t>
        </is>
      </c>
      <c r="B4" s="14" t="inlineStr">
        <is>
          <t>5.11-5.17</t>
        </is>
      </c>
      <c r="C4" s="14" t="inlineStr">
        <is>
          <t>6.8-6.14</t>
        </is>
      </c>
      <c r="D4" s="16" t="n">
        <v>-7161</v>
      </c>
      <c r="E4" s="16" t="n">
        <v>-8672</v>
      </c>
      <c r="F4" s="16" t="n">
        <v>-1511</v>
      </c>
      <c r="G4" s="16" t="n">
        <v>-1803</v>
      </c>
      <c r="H4" s="16" t="n">
        <v>-2004</v>
      </c>
      <c r="I4" s="16" t="n">
        <v>-16446</v>
      </c>
      <c r="J4" s="14" t="inlineStr">
        <is>
          <t>主要是推广前利润下降</t>
        </is>
      </c>
      <c r="K4" s="14" t="inlineStr">
        <is>
          <t>五月末至六月上旬走弱</t>
        </is>
      </c>
    </row>
    <row r="5">
      <c r="A5" s="14" t="inlineStr">
        <is>
          <t>阶段B 6月上→7月上</t>
        </is>
      </c>
      <c r="B5" s="14" t="inlineStr">
        <is>
          <t>6.8-6.14</t>
        </is>
      </c>
      <c r="C5" s="14" t="inlineStr">
        <is>
          <t>7.6-7.12</t>
        </is>
      </c>
      <c r="D5" s="16" t="n">
        <v>-8672</v>
      </c>
      <c r="E5" s="16" t="n">
        <v>-4109</v>
      </c>
      <c r="F5" s="15" t="n">
        <v>4563</v>
      </c>
      <c r="G5" s="15" t="n">
        <v>3079</v>
      </c>
      <c r="H5" s="16" t="n">
        <v>-22</v>
      </c>
      <c r="I5" s="15" t="n">
        <v>18007</v>
      </c>
      <c r="J5" s="14" t="inlineStr">
        <is>
          <t>本期改善</t>
        </is>
      </c>
      <c r="K5" s="14" t="inlineStr">
        <is>
          <t>触底后回升到近3月最好周</t>
        </is>
      </c>
    </row>
    <row r="6">
      <c r="A6" s="14" t="inlineStr">
        <is>
          <t>阶段C 7月上→7月中下</t>
        </is>
      </c>
      <c r="B6" s="14" t="inlineStr">
        <is>
          <t>7.6-7.12</t>
        </is>
      </c>
      <c r="C6" s="14" t="inlineStr">
        <is>
          <t>7.20-7.26</t>
        </is>
      </c>
      <c r="D6" s="16" t="n">
        <v>-4109</v>
      </c>
      <c r="E6" s="16" t="n">
        <v>-5582</v>
      </c>
      <c r="F6" s="16" t="n">
        <v>-1473</v>
      </c>
      <c r="G6" s="16" t="n">
        <v>-3316</v>
      </c>
      <c r="H6" s="16" t="n">
        <v>-1997</v>
      </c>
      <c r="I6" s="16" t="n">
        <v>-24305</v>
      </c>
      <c r="J6" s="14" t="inlineStr">
        <is>
          <t>主要是推广前利润下降</t>
        </is>
      </c>
      <c r="K6" s="14" t="inlineStr">
        <is>
          <t>最好周后连续回落</t>
        </is>
      </c>
    </row>
    <row r="7">
      <c r="A7" s="14" t="inlineStr">
        <is>
          <t>阶段D 7月下改善</t>
        </is>
      </c>
      <c r="B7" s="14" t="inlineStr">
        <is>
          <t>7.20-7.26</t>
        </is>
      </c>
      <c r="C7" s="14" t="inlineStr">
        <is>
          <t>7.27-8.2</t>
        </is>
      </c>
      <c r="D7" s="16" t="n">
        <v>-5582</v>
      </c>
      <c r="E7" s="16" t="n">
        <v>-5089</v>
      </c>
      <c r="F7" s="15" t="n">
        <v>493</v>
      </c>
      <c r="G7" s="15" t="n">
        <v>1491</v>
      </c>
      <c r="H7" s="15" t="n">
        <v>1028</v>
      </c>
      <c r="I7" s="15" t="n">
        <v>11381</v>
      </c>
      <c r="J7" s="14" t="inlineStr">
        <is>
          <t>本期改善</t>
        </is>
      </c>
      <c r="K7" s="14" t="inlineStr">
        <is>
          <t>短暂修复</t>
        </is>
      </c>
    </row>
    <row r="8">
      <c r="A8" s="14" t="inlineStr">
        <is>
          <t>阶段E 8月初再降</t>
        </is>
      </c>
      <c r="B8" s="14" t="inlineStr">
        <is>
          <t>7.27-8.2</t>
        </is>
      </c>
      <c r="C8" s="14" t="inlineStr">
        <is>
          <t>8.3-8.9</t>
        </is>
      </c>
      <c r="D8" s="16" t="n">
        <v>-5089</v>
      </c>
      <c r="E8" s="16" t="n">
        <v>-5821</v>
      </c>
      <c r="F8" s="16" t="n">
        <v>-732</v>
      </c>
      <c r="G8" s="15" t="n">
        <v>2413</v>
      </c>
      <c r="H8" s="15" t="n">
        <v>3049</v>
      </c>
      <c r="I8" s="15" t="n">
        <v>16743</v>
      </c>
      <c r="J8" s="14" t="inlineStr">
        <is>
          <t>主要是推广费上升</t>
        </is>
      </c>
      <c r="K8" s="14" t="inlineStr">
        <is>
          <t>推广费抬升导致再恶化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0" t="inlineStr">
        <is>
          <t>口径说明</t>
        </is>
      </c>
    </row>
    <row r="3" ht="24" customHeight="1">
      <c r="A3" s="25" t="inlineStr">
        <is>
          <t>近三个月窗口定义为 5.11-5.17 至 8.3-8.9（修订后旗舰店周报）。</t>
        </is>
      </c>
    </row>
    <row r="4" ht="24" customHeight="1">
      <c r="A4" s="25" t="inlineStr">
        <is>
          <t>利润口径：推广后利润；拆解使用推广前利润与推广投入。</t>
        </is>
      </c>
    </row>
    <row r="5" ht="24" customHeight="1">
      <c r="A5" s="25" t="inlineStr">
        <is>
          <t>下降主因：仅在推广后环比为负的周判定；比较“推广前减少”与“推广投入增加”谁更大。</t>
        </is>
      </c>
    </row>
    <row r="6" ht="24" customHeight="1">
      <c r="A6" s="25" t="inlineStr">
        <is>
          <t>本报告为店铺合计，不能定位商品ID；ID分析需另附周损益文件。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2026-08-12T05:07:00Z</dcterms:created>
  <dcterms:modified xsi:type="dcterms:W3CDTF">2026-08-12T05:07:00Z</dcterms:modified>
</cp:coreProperties>
</file>